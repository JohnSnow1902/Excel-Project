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charts/chart23.xml" ContentType="application/vnd.openxmlformats-officedocument.drawingml.chart+xml"/>
  <Override PartName="/xl/charts/style21.xml" ContentType="application/vnd.ms-office.chartstyle+xml"/>
  <Override PartName="/xl/charts/colors21.xml" ContentType="application/vnd.ms-office.chartcolorstyle+xml"/>
  <Override PartName="/xl/charts/chart24.xml" ContentType="application/vnd.openxmlformats-officedocument.drawingml.chart+xml"/>
  <Override PartName="/xl/charts/style22.xml" ContentType="application/vnd.ms-office.chartstyle+xml"/>
  <Override PartName="/xl/charts/colors22.xml" ContentType="application/vnd.ms-office.chartcolorstyle+xml"/>
  <Override PartName="/xl/charts/chart25.xml" ContentType="application/vnd.openxmlformats-officedocument.drawingml.chart+xml"/>
  <Override PartName="/xl/charts/style23.xml" ContentType="application/vnd.ms-office.chartstyle+xml"/>
  <Override PartName="/xl/charts/colors23.xml" ContentType="application/vnd.ms-office.chartcolorstyle+xml"/>
  <Override PartName="/xl/charts/chart26.xml" ContentType="application/vnd.openxmlformats-officedocument.drawingml.chart+xml"/>
  <Override PartName="/xl/charts/style24.xml" ContentType="application/vnd.ms-office.chartstyle+xml"/>
  <Override PartName="/xl/charts/colors24.xml" ContentType="application/vnd.ms-office.chartcolorstyle+xml"/>
  <Override PartName="/xl/charts/chart27.xml" ContentType="application/vnd.openxmlformats-officedocument.drawingml.chart+xml"/>
  <Override PartName="/xl/charts/style25.xml" ContentType="application/vnd.ms-office.chartstyle+xml"/>
  <Override PartName="/xl/charts/colors25.xml" ContentType="application/vnd.ms-office.chartcolorstyle+xml"/>
  <Override PartName="/xl/charts/chart28.xml" ContentType="application/vnd.openxmlformats-officedocument.drawingml.chart+xml"/>
  <Override PartName="/xl/charts/style26.xml" ContentType="application/vnd.ms-office.chartstyle+xml"/>
  <Override PartName="/xl/charts/colors26.xml" ContentType="application/vnd.ms-office.chartcolorstyle+xml"/>
  <Override PartName="/xl/charts/chart29.xml" ContentType="application/vnd.openxmlformats-officedocument.drawingml.chart+xml"/>
  <Override PartName="/xl/charts/style27.xml" ContentType="application/vnd.ms-office.chartstyle+xml"/>
  <Override PartName="/xl/charts/colors27.xml" ContentType="application/vnd.ms-office.chartcolorstyle+xml"/>
  <Override PartName="/xl/charts/chart30.xml" ContentType="application/vnd.openxmlformats-officedocument.drawingml.chart+xml"/>
  <Override PartName="/xl/charts/chart31.xml" ContentType="application/vnd.openxmlformats-officedocument.drawingml.chart+xml"/>
  <Override PartName="/xl/charts/style28.xml" ContentType="application/vnd.ms-office.chartstyle+xml"/>
  <Override PartName="/xl/charts/colors28.xml" ContentType="application/vnd.ms-office.chartcolorstyle+xml"/>
  <Override PartName="/xl/charts/chart32.xml" ContentType="application/vnd.openxmlformats-officedocument.drawingml.chart+xml"/>
  <Override PartName="/xl/charts/style29.xml" ContentType="application/vnd.ms-office.chartstyle+xml"/>
  <Override PartName="/xl/charts/colors29.xml" ContentType="application/vnd.ms-office.chartcolorstyle+xml"/>
  <Override PartName="/xl/charts/chart33.xml" ContentType="application/vnd.openxmlformats-officedocument.drawingml.chart+xml"/>
  <Override PartName="/xl/charts/style30.xml" ContentType="application/vnd.ms-office.chartstyle+xml"/>
  <Override PartName="/xl/charts/colors30.xml" ContentType="application/vnd.ms-office.chartcolorstyle+xml"/>
  <Override PartName="/xl/charts/chart34.xml" ContentType="application/vnd.openxmlformats-officedocument.drawingml.chart+xml"/>
  <Override PartName="/xl/charts/style31.xml" ContentType="application/vnd.ms-office.chartstyle+xml"/>
  <Override PartName="/xl/charts/colors3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C:\Users\Omkar Shikhare\Documents\"/>
    </mc:Choice>
  </mc:AlternateContent>
  <xr:revisionPtr revIDLastSave="0" documentId="13_ncr:1_{3DABE783-B131-4109-A8AA-B7788405FB2E}" xr6:coauthVersionLast="47" xr6:coauthVersionMax="47" xr10:uidLastSave="{00000000-0000-0000-0000-000000000000}"/>
  <bookViews>
    <workbookView xWindow="-98" yWindow="-98" windowWidth="21795" windowHeight="12975" xr2:uid="{8BC6D2D6-F757-0C4B-901B-94A06448BC91}"/>
  </bookViews>
  <sheets>
    <sheet name="Dataset" sheetId="1" r:id="rId1"/>
    <sheet name="Dashboard" sheetId="3" r:id="rId2"/>
    <sheet name="Pivot Tables" sheetId="2" r:id="rId3"/>
    <sheet name="Sheet1" sheetId="4" r:id="rId4"/>
  </sheets>
  <definedNames>
    <definedName name="Slicer_Month">#N/A</definedName>
    <definedName name="Slicer_Sale_Team">#N/A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D49" i="2" l="1"/>
  <c r="BV24" i="2"/>
  <c r="BR17" i="2"/>
  <c r="BR19" i="2" s="1"/>
  <c r="BO17" i="2"/>
  <c r="BO19" i="2" s="1"/>
  <c r="BS17" i="2"/>
  <c r="BS19" i="2" s="1"/>
  <c r="BP17" i="2"/>
  <c r="BP19" i="2" s="1"/>
  <c r="BN17" i="2"/>
  <c r="BN19" i="2" s="1"/>
  <c r="BQ17" i="2"/>
  <c r="BQ19" i="2" s="1"/>
  <c r="BD39" i="2"/>
  <c r="BC39" i="2"/>
  <c r="AY55" i="2"/>
  <c r="AY54" i="2"/>
  <c r="AY53" i="2"/>
  <c r="AX27" i="2"/>
  <c r="AX28" i="2"/>
  <c r="AX29" i="2"/>
  <c r="AX30" i="2"/>
  <c r="AX31" i="2"/>
  <c r="AX32" i="2"/>
  <c r="AX33" i="2"/>
  <c r="AX34" i="2"/>
  <c r="AX35" i="2"/>
  <c r="AX36" i="2"/>
  <c r="AX37" i="2"/>
  <c r="AX26" i="2"/>
  <c r="AY27" i="2"/>
  <c r="AY28" i="2"/>
  <c r="AY29" i="2"/>
  <c r="AY30" i="2"/>
  <c r="AY31" i="2"/>
  <c r="AY32" i="2"/>
  <c r="AY33" i="2"/>
  <c r="AY34" i="2"/>
  <c r="AY35" i="2"/>
  <c r="AY36" i="2"/>
  <c r="AY37" i="2"/>
  <c r="AY26" i="2"/>
  <c r="AU20" i="2"/>
  <c r="AU21" i="2"/>
  <c r="AU22" i="2"/>
  <c r="AU23" i="2"/>
  <c r="AU24" i="2"/>
  <c r="AT21" i="2"/>
  <c r="AT22" i="2"/>
  <c r="AT23" i="2"/>
  <c r="AT24" i="2"/>
  <c r="AT20" i="2"/>
  <c r="V13" i="2"/>
  <c r="V12" i="2"/>
  <c r="P32" i="2"/>
  <c r="P31" i="2"/>
  <c r="P30" i="2"/>
  <c r="L5" i="2"/>
  <c r="L6" i="2"/>
  <c r="L7" i="2"/>
  <c r="L8" i="2"/>
  <c r="L9" i="2"/>
  <c r="K6" i="2"/>
  <c r="K7" i="2"/>
  <c r="K8" i="2"/>
  <c r="K9" i="2"/>
  <c r="K5" i="2"/>
  <c r="E9" i="2"/>
  <c r="E8" i="2"/>
  <c r="W12" i="2"/>
  <c r="W13" i="2"/>
  <c r="BS18" i="2" l="1"/>
  <c r="BR18" i="2"/>
  <c r="BQ18" i="2"/>
  <c r="BP18" i="2"/>
  <c r="BO18" i="2"/>
  <c r="BN18" i="2"/>
  <c r="BR27" i="2" l="1"/>
</calcChain>
</file>

<file path=xl/sharedStrings.xml><?xml version="1.0" encoding="utf-8"?>
<sst xmlns="http://schemas.openxmlformats.org/spreadsheetml/2006/main" count="10852" uniqueCount="123">
  <si>
    <t>Fees Status</t>
  </si>
  <si>
    <t>Day</t>
  </si>
  <si>
    <t>Month</t>
  </si>
  <si>
    <t>Advertising Channel</t>
  </si>
  <si>
    <t xml:space="preserve">Advertisement </t>
  </si>
  <si>
    <t>Enrolled Courses</t>
  </si>
  <si>
    <t>Paid Fees</t>
  </si>
  <si>
    <t>Number of phone calls</t>
  </si>
  <si>
    <t>Average call duration</t>
  </si>
  <si>
    <t>Training Models</t>
  </si>
  <si>
    <t>Training Levels</t>
  </si>
  <si>
    <t>Area Code</t>
  </si>
  <si>
    <t>Sale Team</t>
  </si>
  <si>
    <t>Consultant</t>
  </si>
  <si>
    <t>Paid</t>
  </si>
  <si>
    <t>Apr</t>
  </si>
  <si>
    <t>Television Ad</t>
  </si>
  <si>
    <t>AD01-9364</t>
  </si>
  <si>
    <t>GK</t>
  </si>
  <si>
    <t>KJI. L4</t>
  </si>
  <si>
    <t>A7</t>
  </si>
  <si>
    <t>Jood</t>
  </si>
  <si>
    <t>Aug</t>
  </si>
  <si>
    <t>AD01-9361</t>
  </si>
  <si>
    <t>Pre. L8</t>
  </si>
  <si>
    <t>B13</t>
  </si>
  <si>
    <t>Kisho</t>
  </si>
  <si>
    <t>Sep</t>
  </si>
  <si>
    <t>Company Website</t>
  </si>
  <si>
    <t>Fndn. L5</t>
  </si>
  <si>
    <t>A1</t>
  </si>
  <si>
    <t>Rony</t>
  </si>
  <si>
    <t>Facebook Page</t>
  </si>
  <si>
    <t>A2</t>
  </si>
  <si>
    <t>Adam</t>
  </si>
  <si>
    <t>Fndn. L3</t>
  </si>
  <si>
    <t>Khalil</t>
  </si>
  <si>
    <t>Oct</t>
  </si>
  <si>
    <t>WhatsApp</t>
  </si>
  <si>
    <t>Fndn. L1</t>
  </si>
  <si>
    <t>A4</t>
  </si>
  <si>
    <t>Sahar</t>
  </si>
  <si>
    <t>AD01-9362</t>
  </si>
  <si>
    <t>B12</t>
  </si>
  <si>
    <t>Nov</t>
  </si>
  <si>
    <t>AD01-9363</t>
  </si>
  <si>
    <t>BE</t>
  </si>
  <si>
    <t>Pre. L2</t>
  </si>
  <si>
    <t>B18</t>
  </si>
  <si>
    <t>Google Ad</t>
  </si>
  <si>
    <t>Fndn. L6</t>
  </si>
  <si>
    <t>C8</t>
  </si>
  <si>
    <t>Mohmed</t>
  </si>
  <si>
    <t>Dary</t>
  </si>
  <si>
    <t>Reham</t>
  </si>
  <si>
    <t>Jan</t>
  </si>
  <si>
    <t>Pre. L3</t>
  </si>
  <si>
    <t>Feb</t>
  </si>
  <si>
    <t>Mar</t>
  </si>
  <si>
    <t>May</t>
  </si>
  <si>
    <t>Jun</t>
  </si>
  <si>
    <t>CNI</t>
  </si>
  <si>
    <t>Dina</t>
  </si>
  <si>
    <t>John</t>
  </si>
  <si>
    <t>Pre. L4</t>
  </si>
  <si>
    <t>Hisham</t>
  </si>
  <si>
    <t>Ahmed</t>
  </si>
  <si>
    <t>Hany</t>
  </si>
  <si>
    <t>AD01-9365</t>
  </si>
  <si>
    <t>Dec</t>
  </si>
  <si>
    <t>Not Paid</t>
  </si>
  <si>
    <t>Kenza</t>
  </si>
  <si>
    <t>Jul</t>
  </si>
  <si>
    <t>Youtube Channel</t>
  </si>
  <si>
    <t>FC</t>
  </si>
  <si>
    <t>Habib</t>
  </si>
  <si>
    <t>Mohammed</t>
  </si>
  <si>
    <t>Abdullah</t>
  </si>
  <si>
    <t>Salah</t>
  </si>
  <si>
    <t>Sum of Paid Fees</t>
  </si>
  <si>
    <t>Row Labels</t>
  </si>
  <si>
    <t>Grand Total</t>
  </si>
  <si>
    <t>Count of Fees Status</t>
  </si>
  <si>
    <t>Total Earning</t>
  </si>
  <si>
    <t>Total Calls</t>
  </si>
  <si>
    <t>Top Consultant</t>
  </si>
  <si>
    <t>Sum of Paid Fees2</t>
  </si>
  <si>
    <t>MAX</t>
  </si>
  <si>
    <t>AVG</t>
  </si>
  <si>
    <t>MIN</t>
  </si>
  <si>
    <t>PAID/UNPAID CALLS</t>
  </si>
  <si>
    <t>TOTAL EARNING BY MONTHS</t>
  </si>
  <si>
    <t>Enrolled Cources</t>
  </si>
  <si>
    <t>Sum of Enrolled Courses</t>
  </si>
  <si>
    <t>Avg of Enrolled Courses</t>
  </si>
  <si>
    <t>Count of Area Code</t>
  </si>
  <si>
    <t>Training Level Fees By Sales Team</t>
  </si>
  <si>
    <t>Average of Average call duration</t>
  </si>
  <si>
    <t>MONTHS</t>
  </si>
  <si>
    <t>DURATION</t>
  </si>
  <si>
    <t>Enrolled Cource On Training Level</t>
  </si>
  <si>
    <t>Average Paid Call Duration</t>
  </si>
  <si>
    <t>Training Level Consultant</t>
  </si>
  <si>
    <t>Total Sales By Sales Team</t>
  </si>
  <si>
    <t>Consultant total Sales</t>
  </si>
  <si>
    <t>Sum Paid Fees</t>
  </si>
  <si>
    <t>Actual</t>
  </si>
  <si>
    <t>Paid Advertisement</t>
  </si>
  <si>
    <t>Count of Month</t>
  </si>
  <si>
    <t>Advertisement Channel</t>
  </si>
  <si>
    <t>Avg</t>
  </si>
  <si>
    <t>Count of Month2</t>
  </si>
  <si>
    <t>Average Call By Months</t>
  </si>
  <si>
    <t>Column Labels</t>
  </si>
  <si>
    <t>counta</t>
  </si>
  <si>
    <t>Advertisement Total Sales</t>
  </si>
  <si>
    <t>Training Model Fees By Sales Team</t>
  </si>
  <si>
    <t>Training Model Fees By Consultant</t>
  </si>
  <si>
    <t>p</t>
  </si>
  <si>
    <t>ROLL NO</t>
  </si>
  <si>
    <t>ENGLISH</t>
  </si>
  <si>
    <t>SCIENCE</t>
  </si>
  <si>
    <t>MATHS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</si>
</sst>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 #,##0.00_ ;_ * \-#,##0.00_ ;_ * &quot;-&quot;??_ ;_ @_ "/>
    <numFmt numFmtId="164" formatCode="_(&quot;$&quot;* #,##0.00_);_(&quot;$&quot;* \(#,##0.00\);_(&quot;$&quot;* &quot;-&quot;??_);_(@_)"/>
    <numFmt numFmtId="165" formatCode="[$EGP]\ #,##0_);\([$EGP]\ #,##0\)"/>
    <numFmt numFmtId="166" formatCode="[&lt;999950]0.0,&quot;K&quot;;[&lt;999950000]0.0,,&quot;M&quot;;0.0,,,&quot;B&quot;"/>
    <numFmt numFmtId="167" formatCode="_ * #,##0_ ;_ * \-#,##0_ ;_ * &quot;-&quot;??_ ;_ @_ "/>
  </numFmts>
  <fonts count="6" x14ac:knownFonts="1">
    <font>
      <sz val="12"/>
      <color theme="1"/>
      <name val="Calibri"/>
      <family val="2"/>
      <scheme val="minor"/>
    </font>
    <font>
      <sz val="12"/>
      <color theme="1"/>
      <name val="Calibri"/>
      <family val="2"/>
      <scheme val="minor"/>
    </font>
    <font>
      <b/>
      <sz val="12"/>
      <color theme="1"/>
      <name val="Calibri"/>
      <family val="2"/>
      <scheme val="minor"/>
    </font>
    <font>
      <sz val="10"/>
      <color rgb="FF000000"/>
      <name val="Arial"/>
      <family val="2"/>
    </font>
    <font>
      <sz val="11"/>
      <color theme="1"/>
      <name val="Arial"/>
      <family val="2"/>
    </font>
    <font>
      <b/>
      <sz val="11"/>
      <color theme="0"/>
      <name val="Arial"/>
      <family val="2"/>
    </font>
  </fonts>
  <fills count="4">
    <fill>
      <patternFill patternType="none"/>
    </fill>
    <fill>
      <patternFill patternType="gray125"/>
    </fill>
    <fill>
      <patternFill patternType="solid">
        <fgColor theme="1" tint="4.9989318521683403E-2"/>
        <bgColor indexed="64"/>
      </patternFill>
    </fill>
    <fill>
      <patternFill patternType="solid">
        <fgColor rgb="FFF1F0F5"/>
        <bgColor indexed="64"/>
      </patternFill>
    </fill>
  </fills>
  <borders count="4">
    <border>
      <left/>
      <right/>
      <top/>
      <bottom/>
      <diagonal/>
    </border>
    <border>
      <left style="thin">
        <color theme="2" tint="-0.749992370372631"/>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164" fontId="1" fillId="0" borderId="0" applyFont="0" applyFill="0" applyBorder="0" applyAlignment="0" applyProtection="0"/>
    <xf numFmtId="0" fontId="3" fillId="0" borderId="0"/>
    <xf numFmtId="9" fontId="1" fillId="0" borderId="0" applyFont="0" applyFill="0" applyBorder="0" applyAlignment="0" applyProtection="0"/>
    <xf numFmtId="43" fontId="1" fillId="0" borderId="0" applyFont="0" applyFill="0" applyBorder="0" applyAlignment="0" applyProtection="0"/>
  </cellStyleXfs>
  <cellXfs count="28">
    <xf numFmtId="0" fontId="0" fillId="0" borderId="0" xfId="0"/>
    <xf numFmtId="165" fontId="4" fillId="0" borderId="0" xfId="1" applyNumberFormat="1" applyFont="1" applyFill="1" applyBorder="1" applyAlignment="1">
      <alignment horizontal="center" vertical="center"/>
    </xf>
    <xf numFmtId="0" fontId="4" fillId="0" borderId="0" xfId="2" applyFont="1" applyAlignment="1">
      <alignment horizontal="center" vertical="center"/>
    </xf>
    <xf numFmtId="1" fontId="4" fillId="0" borderId="0" xfId="2" applyNumberFormat="1" applyFont="1" applyAlignment="1">
      <alignment horizontal="center" vertical="center"/>
    </xf>
    <xf numFmtId="14" fontId="4" fillId="0" borderId="0" xfId="2" applyNumberFormat="1" applyFont="1" applyAlignment="1">
      <alignment horizontal="center" vertical="center"/>
    </xf>
    <xf numFmtId="3" fontId="4" fillId="0" borderId="0" xfId="2" applyNumberFormat="1" applyFont="1" applyAlignment="1">
      <alignment horizontal="center" vertical="center"/>
    </xf>
    <xf numFmtId="45" fontId="4" fillId="0" borderId="0" xfId="0" applyNumberFormat="1" applyFont="1" applyAlignment="1">
      <alignment horizontal="center" vertical="center"/>
    </xf>
    <xf numFmtId="0" fontId="2" fillId="0" borderId="0" xfId="0" applyFont="1"/>
    <xf numFmtId="0" fontId="5" fillId="2" borderId="0" xfId="2" applyFont="1" applyFill="1" applyAlignment="1">
      <alignment horizontal="center" vertical="center"/>
    </xf>
    <xf numFmtId="15" fontId="5" fillId="2" borderId="0" xfId="2" applyNumberFormat="1" applyFont="1" applyFill="1" applyAlignment="1">
      <alignment horizontal="center" vertical="center"/>
    </xf>
    <xf numFmtId="0" fontId="0" fillId="3" borderId="0" xfId="0" applyFill="1"/>
    <xf numFmtId="3" fontId="0" fillId="0" borderId="0" xfId="0" applyNumberFormat="1"/>
    <xf numFmtId="0" fontId="0" fillId="0" borderId="1" xfId="0" applyBorder="1"/>
    <xf numFmtId="0" fontId="0" fillId="0" borderId="0" xfId="0" pivotButton="1"/>
    <xf numFmtId="0" fontId="0" fillId="0" borderId="0" xfId="0" applyAlignment="1">
      <alignment horizontal="left"/>
    </xf>
    <xf numFmtId="0" fontId="0" fillId="0" borderId="2" xfId="0" applyBorder="1"/>
    <xf numFmtId="166" fontId="0" fillId="0" borderId="0" xfId="0" applyNumberFormat="1"/>
    <xf numFmtId="0" fontId="0" fillId="0" borderId="3" xfId="0" pivotButton="1" applyBorder="1"/>
    <xf numFmtId="0" fontId="0" fillId="0" borderId="3" xfId="0" applyBorder="1"/>
    <xf numFmtId="0" fontId="0" fillId="0" borderId="3" xfId="0" applyBorder="1" applyAlignment="1">
      <alignment horizontal="left"/>
    </xf>
    <xf numFmtId="9" fontId="0" fillId="0" borderId="0" xfId="3" applyFont="1"/>
    <xf numFmtId="167" fontId="0" fillId="0" borderId="3" xfId="4" applyNumberFormat="1" applyFont="1" applyBorder="1"/>
    <xf numFmtId="45" fontId="0" fillId="0" borderId="0" xfId="0" applyNumberFormat="1"/>
    <xf numFmtId="45" fontId="0" fillId="0" borderId="3" xfId="0" applyNumberFormat="1" applyBorder="1"/>
    <xf numFmtId="0" fontId="0" fillId="0" borderId="3" xfId="0" applyBorder="1" applyAlignment="1">
      <alignment vertical="top" wrapText="1"/>
    </xf>
    <xf numFmtId="166" fontId="0" fillId="0" borderId="3" xfId="0" applyNumberFormat="1" applyBorder="1"/>
    <xf numFmtId="1" fontId="0" fillId="0" borderId="0" xfId="0" applyNumberFormat="1"/>
    <xf numFmtId="0" fontId="0" fillId="0" borderId="0" xfId="0" applyAlignment="1">
      <alignment horizontal="left" indent="1"/>
    </xf>
  </cellXfs>
  <cellStyles count="5">
    <cellStyle name="Comma" xfId="4" builtinId="3"/>
    <cellStyle name="Currency" xfId="1" builtinId="4"/>
    <cellStyle name="Normal" xfId="0" builtinId="0"/>
    <cellStyle name="Normal 2" xfId="2" xr:uid="{956AD3D9-F9E9-1446-BC34-0D686802592F}"/>
    <cellStyle name="Percent" xfId="3" builtinId="5"/>
  </cellStyles>
  <dxfs count="13">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sz val="6"/>
        <color theme="0"/>
        <name val="Arial"/>
        <family val="2"/>
        <scheme val="none"/>
      </font>
      <fill>
        <patternFill>
          <bgColor rgb="FFA5C2E3"/>
        </patternFill>
      </fill>
      <border diagonalUp="0" diagonalDown="1">
        <left/>
        <right/>
        <top/>
        <bottom/>
        <diagonal style="thin">
          <color auto="1"/>
        </diagonal>
        <vertical/>
        <horizontal/>
      </border>
    </dxf>
    <dxf>
      <fill>
        <patternFill>
          <bgColor rgb="FFA5C2E3"/>
        </patternFill>
      </fill>
    </dxf>
    <dxf>
      <fill>
        <patternFill>
          <fgColor rgb="FFA5C2E3"/>
        </patternFill>
      </fill>
    </dxf>
    <dxf>
      <fill>
        <patternFill>
          <fgColor rgb="FFA5C2E3"/>
        </patternFill>
      </fill>
    </dxf>
    <dxf>
      <font>
        <b val="0"/>
        <i val="0"/>
        <strike val="0"/>
        <name val="Arial"/>
        <family val="2"/>
        <scheme val="none"/>
      </font>
      <fill>
        <patternFill>
          <fgColor rgb="FFA5C2E3"/>
        </patternFill>
      </fill>
      <border diagonalUp="0" diagonalDown="0">
        <left/>
        <right/>
        <top/>
        <bottom/>
        <vertical/>
        <horizontal/>
      </border>
    </dxf>
    <dxf>
      <font>
        <u val="none"/>
      </font>
      <fill>
        <patternFill>
          <fgColor rgb="FFA5C2E3"/>
        </patternFill>
      </fill>
      <border diagonalUp="0" diagonalDown="0">
        <left/>
        <right/>
        <top/>
        <bottom/>
        <vertical/>
        <horizontal/>
      </border>
    </dxf>
    <dxf>
      <font>
        <strike val="0"/>
        <u val="none"/>
        <color rgb="FFA5C2E3"/>
      </font>
      <fill>
        <patternFill>
          <fgColor rgb="FFA5C2E3"/>
        </patternFill>
      </fill>
    </dxf>
    <dxf>
      <font>
        <color rgb="FFA5C2E3"/>
      </font>
    </dxf>
  </dxfs>
  <tableStyles count="8" defaultTableStyle="TableStyleMedium2" defaultPivotStyle="PivotStyleLight16">
    <tableStyle name="Slicer Style 1" pivot="0" table="0" count="1" xr9:uid="{36B490AD-242D-411C-BAF8-F85D80F79599}">
      <tableStyleElement type="wholeTable" dxfId="12"/>
    </tableStyle>
    <tableStyle name="Slicer Style 2" pivot="0" table="0" count="1" xr9:uid="{3FF15CEF-637A-4CC2-82BB-6ABE2194F56C}">
      <tableStyleElement type="wholeTable" dxfId="11"/>
    </tableStyle>
    <tableStyle name="Slicer Style 3" pivot="0" table="0" count="1" xr9:uid="{B371AE42-E734-4564-8E84-ED0D4A29DCE0}">
      <tableStyleElement type="wholeTable" dxfId="10"/>
    </tableStyle>
    <tableStyle name="Slicer Style 4" pivot="0" table="0" count="1" xr9:uid="{110F4B55-50B2-4CC2-967F-2F2564D7BC6B}">
      <tableStyleElement type="wholeTable" dxfId="9"/>
    </tableStyle>
    <tableStyle name="Slicer Style 5" pivot="0" table="0" count="1" xr9:uid="{C2E653DF-94BB-4603-BBE8-9F98DFBB6B41}"/>
    <tableStyle name="Slicer Style 6" pivot="0" table="0" count="3" xr9:uid="{07D503B8-0B25-4A5C-8760-F2B5111B028F}">
      <tableStyleElement type="wholeTable" dxfId="8"/>
      <tableStyleElement type="headerRow" dxfId="7"/>
    </tableStyle>
    <tableStyle name="Slicer Style 7" pivot="0" table="0" count="1" xr9:uid="{CE5CF81C-3A49-4A95-9FAD-17D12EFA0A8D}">
      <tableStyleElement type="wholeTable" dxfId="6"/>
    </tableStyle>
    <tableStyle name="Slicer Style 8" pivot="0" table="0" count="1" xr9:uid="{2A60F851-1F95-48DF-9534-8233664A1EBF}">
      <tableStyleElement type="wholeTable" dxfId="5"/>
    </tableStyle>
  </tableStyles>
  <colors>
    <mruColors>
      <color rgb="FF9933FF"/>
      <color rgb="FFF5D23D"/>
      <color rgb="FF0AEAE0"/>
      <color rgb="FFFF6699"/>
      <color rgb="FFCC00CC"/>
      <color rgb="FFF1F2F3"/>
      <color rgb="FFFFFF00"/>
      <color rgb="FF8D7EF3"/>
      <color rgb="FFA5C2E3"/>
      <color rgb="FFFFFFFF"/>
    </mruColors>
  </colors>
  <extLst>
    <ext xmlns:x14="http://schemas.microsoft.com/office/spreadsheetml/2009/9/main" uri="{46F421CA-312F-682f-3DD2-61675219B42D}">
      <x14:dxfs count="2">
        <dxf>
          <fill>
            <patternFill>
              <fgColor rgb="FFA5C2E3"/>
            </patternFill>
          </fill>
        </dxf>
        <dxf>
          <fill>
            <patternFill>
              <fgColor rgb="FFA5C2E3"/>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Elements>
            <x14:slicerStyleElement type="selectedItemWithData" dxfId="1"/>
          </x14:slicerStyleElements>
        </x14:slicerStyle>
        <x14:slicerStyle name="Slicer Style 6">
          <x14:slicerStyleElements>
            <x14:slicerStyleElement type="selectedItemWithData" dxfId="0"/>
          </x14:slicerStyleElements>
        </x14:slicerStyle>
        <x14:slicerStyle name="Slicer Style 7"/>
        <x14:slicerStyle name="Slicer Style 8"/>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3.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5.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6.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7.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8.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9.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1.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2.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3.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4.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Tables!Ear_months</c:name>
    <c:fmtId val="23"/>
  </c:pivotSource>
  <c:chart>
    <c:autoTitleDeleted val="1"/>
    <c:pivotFmts>
      <c:pivotFmt>
        <c:idx val="0"/>
        <c:spPr>
          <a:solidFill>
            <a:schemeClr val="accent1"/>
          </a:solidFill>
          <a:ln w="15875" cap="rnd">
            <a:solidFill>
              <a:srgbClr val="8D7E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21000">
                <a:srgbClr val="FF6699">
                  <a:alpha val="41000"/>
                </a:srgbClr>
              </a:gs>
              <a:gs pos="83000">
                <a:schemeClr val="bg1"/>
              </a:gs>
              <a:gs pos="100000">
                <a:schemeClr val="bg1"/>
              </a:gs>
            </a:gsLst>
            <a:lin ang="5400000" scaled="1"/>
          </a:gradFill>
          <a:ln>
            <a:noFill/>
          </a:ln>
          <a:effectLst/>
        </c:spPr>
        <c:marker>
          <c:symbol val="none"/>
        </c:marker>
      </c:pivotFmt>
      <c:pivotFmt>
        <c:idx val="2"/>
        <c:spPr>
          <a:gradFill>
            <a:gsLst>
              <a:gs pos="21000">
                <a:srgbClr val="FF6699">
                  <a:alpha val="41000"/>
                </a:srgbClr>
              </a:gs>
              <a:gs pos="83000">
                <a:schemeClr val="bg1"/>
              </a:gs>
              <a:gs pos="100000">
                <a:schemeClr val="bg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5875" cap="rnd">
            <a:solidFill>
              <a:srgbClr val="8D7E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85000"/>
                      <a:lumOff val="1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21000">
                <a:srgbClr val="FF6699">
                  <a:alpha val="41000"/>
                </a:srgbClr>
              </a:gs>
              <a:gs pos="83000">
                <a:schemeClr val="bg1"/>
              </a:gs>
              <a:gs pos="100000">
                <a:schemeClr val="bg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15875" cap="rnd">
            <a:solidFill>
              <a:srgbClr val="8D7EF3"/>
            </a:solidFill>
            <a:round/>
          </a:ln>
          <a:effectLst/>
        </c:spPr>
        <c:marker>
          <c:symbol val="none"/>
        </c:marker>
        <c:dLbl>
          <c:idx val="0"/>
          <c:spPr>
            <a:noFill/>
            <a:ln>
              <a:noFill/>
            </a:ln>
            <a:effectLst/>
          </c:spPr>
          <c:txPr>
            <a:bodyPr rot="0" spcFirstLastPara="1" vertOverflow="ellipsis" vert="horz" wrap="square" anchor="ctr" anchorCtr="1"/>
            <a:lstStyle/>
            <a:p>
              <a:pPr>
                <a:defRPr sz="300" b="0" i="0" u="none" strike="noStrike" kern="1200" baseline="0">
                  <a:ln>
                    <a:noFill/>
                  </a:ln>
                  <a:solidFill>
                    <a:schemeClr val="tx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362506056793158E-3"/>
          <c:y val="1.3160963412598181E-2"/>
          <c:w val="0.988331951158405"/>
          <c:h val="0.67832933377003557"/>
        </c:manualLayout>
      </c:layout>
      <c:areaChart>
        <c:grouping val="standard"/>
        <c:varyColors val="0"/>
        <c:ser>
          <c:idx val="1"/>
          <c:order val="1"/>
          <c:tx>
            <c:strRef>
              <c:f>'Pivot Tables'!$Q$3</c:f>
              <c:strCache>
                <c:ptCount val="1"/>
                <c:pt idx="0">
                  <c:v>Sum of Paid Fees2</c:v>
                </c:pt>
              </c:strCache>
            </c:strRef>
          </c:tx>
          <c:spPr>
            <a:gradFill>
              <a:gsLst>
                <a:gs pos="21000">
                  <a:srgbClr val="FF6699">
                    <a:alpha val="41000"/>
                  </a:srgbClr>
                </a:gs>
                <a:gs pos="83000">
                  <a:schemeClr val="bg1"/>
                </a:gs>
                <a:gs pos="100000">
                  <a:schemeClr val="bg1"/>
                </a:gs>
              </a:gsLst>
              <a:lin ang="5400000" scaled="1"/>
            </a:gradFill>
            <a:ln>
              <a:noFill/>
            </a:ln>
            <a:effectLst/>
          </c:spPr>
          <c:cat>
            <c:strRef>
              <c:f>'Pivot Tables'!$O$4:$O$16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Tables'!$Q$4:$Q$16</c:f>
              <c:numCache>
                <c:formatCode>#,##0</c:formatCode>
                <c:ptCount val="12"/>
                <c:pt idx="0">
                  <c:v>984000000</c:v>
                </c:pt>
                <c:pt idx="1">
                  <c:v>1040000000</c:v>
                </c:pt>
                <c:pt idx="2">
                  <c:v>116000000</c:v>
                </c:pt>
                <c:pt idx="3">
                  <c:v>538000000</c:v>
                </c:pt>
                <c:pt idx="4">
                  <c:v>1158000000</c:v>
                </c:pt>
                <c:pt idx="5">
                  <c:v>512000000</c:v>
                </c:pt>
                <c:pt idx="6">
                  <c:v>442000000</c:v>
                </c:pt>
                <c:pt idx="7">
                  <c:v>1152000000</c:v>
                </c:pt>
                <c:pt idx="8">
                  <c:v>2178000000</c:v>
                </c:pt>
                <c:pt idx="9">
                  <c:v>3809000000</c:v>
                </c:pt>
                <c:pt idx="10">
                  <c:v>2814000000</c:v>
                </c:pt>
                <c:pt idx="11">
                  <c:v>1247000000</c:v>
                </c:pt>
              </c:numCache>
            </c:numRef>
          </c:val>
          <c:extLst>
            <c:ext xmlns:c16="http://schemas.microsoft.com/office/drawing/2014/chart" uri="{C3380CC4-5D6E-409C-BE32-E72D297353CC}">
              <c16:uniqueId val="{00000000-4369-4D74-B049-B051D8625410}"/>
            </c:ext>
          </c:extLst>
        </c:ser>
        <c:dLbls>
          <c:showLegendKey val="0"/>
          <c:showVal val="0"/>
          <c:showCatName val="0"/>
          <c:showSerName val="0"/>
          <c:showPercent val="0"/>
          <c:showBubbleSize val="0"/>
        </c:dLbls>
        <c:axId val="1120444224"/>
        <c:axId val="1120458624"/>
      </c:areaChart>
      <c:lineChart>
        <c:grouping val="standard"/>
        <c:varyColors val="0"/>
        <c:ser>
          <c:idx val="0"/>
          <c:order val="0"/>
          <c:tx>
            <c:strRef>
              <c:f>'Pivot Tables'!$P$3</c:f>
              <c:strCache>
                <c:ptCount val="1"/>
                <c:pt idx="0">
                  <c:v>Sum of Paid Fees</c:v>
                </c:pt>
              </c:strCache>
            </c:strRef>
          </c:tx>
          <c:spPr>
            <a:ln w="15875" cap="rnd">
              <a:solidFill>
                <a:srgbClr val="8D7EF3"/>
              </a:solidFill>
              <a:round/>
            </a:ln>
            <a:effectLst/>
          </c:spPr>
          <c:marker>
            <c:symbol val="none"/>
          </c:marker>
          <c:dLbls>
            <c:spPr>
              <a:noFill/>
              <a:ln>
                <a:noFill/>
              </a:ln>
              <a:effectLst/>
            </c:spPr>
            <c:txPr>
              <a:bodyPr rot="0" spcFirstLastPara="1" vertOverflow="ellipsis" vert="horz" wrap="square" anchor="ctr" anchorCtr="1"/>
              <a:lstStyle/>
              <a:p>
                <a:pPr>
                  <a:defRPr sz="300" b="0" i="0" u="none" strike="noStrike" kern="1200" baseline="0">
                    <a:ln>
                      <a:noFill/>
                    </a:ln>
                    <a:solidFill>
                      <a:schemeClr val="tx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Tables'!$O$4:$O$16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Tables'!$P$4:$P$16</c:f>
              <c:numCache>
                <c:formatCode>[&lt;999950]0.0,"K";[&lt;999950000]0.0,,"M";0.0,,,"B"</c:formatCode>
                <c:ptCount val="12"/>
                <c:pt idx="0">
                  <c:v>984000000</c:v>
                </c:pt>
                <c:pt idx="1">
                  <c:v>1040000000</c:v>
                </c:pt>
                <c:pt idx="2">
                  <c:v>116000000</c:v>
                </c:pt>
                <c:pt idx="3">
                  <c:v>538000000</c:v>
                </c:pt>
                <c:pt idx="4">
                  <c:v>1158000000</c:v>
                </c:pt>
                <c:pt idx="5">
                  <c:v>512000000</c:v>
                </c:pt>
                <c:pt idx="6">
                  <c:v>442000000</c:v>
                </c:pt>
                <c:pt idx="7">
                  <c:v>1152000000</c:v>
                </c:pt>
                <c:pt idx="8">
                  <c:v>2178000000</c:v>
                </c:pt>
                <c:pt idx="9">
                  <c:v>3809000000</c:v>
                </c:pt>
                <c:pt idx="10">
                  <c:v>2814000000</c:v>
                </c:pt>
                <c:pt idx="11">
                  <c:v>1247000000</c:v>
                </c:pt>
              </c:numCache>
            </c:numRef>
          </c:val>
          <c:smooth val="1"/>
          <c:extLst>
            <c:ext xmlns:c16="http://schemas.microsoft.com/office/drawing/2014/chart" uri="{C3380CC4-5D6E-409C-BE32-E72D297353CC}">
              <c16:uniqueId val="{00000001-4369-4D74-B049-B051D8625410}"/>
            </c:ext>
          </c:extLst>
        </c:ser>
        <c:dLbls>
          <c:dLblPos val="t"/>
          <c:showLegendKey val="0"/>
          <c:showVal val="1"/>
          <c:showCatName val="0"/>
          <c:showSerName val="0"/>
          <c:showPercent val="0"/>
          <c:showBubbleSize val="0"/>
        </c:dLbls>
        <c:marker val="1"/>
        <c:smooth val="0"/>
        <c:axId val="1120444224"/>
        <c:axId val="1120458624"/>
      </c:lineChart>
      <c:catAx>
        <c:axId val="1120444224"/>
        <c:scaling>
          <c:orientation val="minMax"/>
        </c:scaling>
        <c:delete val="1"/>
        <c:axPos val="b"/>
        <c:numFmt formatCode="General" sourceLinked="1"/>
        <c:majorTickMark val="none"/>
        <c:minorTickMark val="none"/>
        <c:tickLblPos val="nextTo"/>
        <c:crossAx val="1120458624"/>
        <c:crosses val="autoZero"/>
        <c:auto val="1"/>
        <c:lblAlgn val="ctr"/>
        <c:lblOffset val="100"/>
        <c:noMultiLvlLbl val="0"/>
      </c:catAx>
      <c:valAx>
        <c:axId val="1120458624"/>
        <c:scaling>
          <c:orientation val="minMax"/>
        </c:scaling>
        <c:delete val="1"/>
        <c:axPos val="l"/>
        <c:numFmt formatCode="#,##0" sourceLinked="1"/>
        <c:majorTickMark val="none"/>
        <c:minorTickMark val="none"/>
        <c:tickLblPos val="nextTo"/>
        <c:crossAx val="1120444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Tables!PivotTable6</c:name>
    <c:fmtId val="41"/>
  </c:pivotSource>
  <c:chart>
    <c:autoTitleDeleted val="1"/>
    <c:pivotFmts>
      <c:pivotFmt>
        <c:idx val="0"/>
        <c:spPr>
          <a:solidFill>
            <a:schemeClr val="accent2"/>
          </a:solidFill>
          <a:ln w="19050">
            <a:solidFill>
              <a:schemeClr val="lt1"/>
            </a:solidFill>
          </a:ln>
          <a:effectLst/>
        </c:spPr>
        <c:marker>
          <c:symbol val="none"/>
        </c:marker>
      </c:pivotFmt>
      <c:pivotFmt>
        <c:idx val="1"/>
        <c:spPr>
          <a:solidFill>
            <a:srgbClr val="92D050"/>
          </a:solidFill>
          <a:ln w="19050">
            <a:solidFill>
              <a:schemeClr val="lt1"/>
            </a:solidFill>
          </a:ln>
          <a:effectLst/>
        </c:spPr>
      </c:pivotFmt>
      <c:pivotFmt>
        <c:idx val="2"/>
        <c:spPr>
          <a:solidFill>
            <a:schemeClr val="bg1">
              <a:lumMod val="95000"/>
            </a:schemeClr>
          </a:solidFill>
          <a:ln w="19050">
            <a:solidFill>
              <a:schemeClr val="lt1"/>
            </a:solidFill>
          </a:ln>
          <a:effectLst/>
        </c:spPr>
      </c:pivotFmt>
      <c:pivotFmt>
        <c:idx val="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w="19050">
            <a:solidFill>
              <a:schemeClr val="lt1"/>
            </a:solidFill>
          </a:ln>
          <a:effectLst/>
        </c:spPr>
      </c:pivotFmt>
      <c:pivotFmt>
        <c:idx val="5"/>
        <c:spPr>
          <a:solidFill>
            <a:schemeClr val="bg1">
              <a:lumMod val="95000"/>
            </a:schemeClr>
          </a:solidFill>
          <a:ln w="19050">
            <a:solidFill>
              <a:schemeClr val="lt1"/>
            </a:solidFill>
          </a:ln>
          <a:effectLst/>
        </c:spPr>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2D050"/>
          </a:solidFill>
          <a:ln w="19050">
            <a:solidFill>
              <a:schemeClr val="lt1"/>
            </a:solidFill>
          </a:ln>
          <a:effectLst/>
        </c:spPr>
      </c:pivotFmt>
      <c:pivotFmt>
        <c:idx val="8"/>
        <c:spPr>
          <a:solidFill>
            <a:schemeClr val="bg1">
              <a:lumMod val="95000"/>
            </a:schemeClr>
          </a:solidFill>
          <a:ln w="19050">
            <a:solidFill>
              <a:schemeClr val="lt1"/>
            </a:solidFill>
          </a:ln>
          <a:effectLst/>
        </c:spPr>
      </c:pivotFmt>
    </c:pivotFmts>
    <c:plotArea>
      <c:layout>
        <c:manualLayout>
          <c:layoutTarget val="inner"/>
          <c:xMode val="edge"/>
          <c:yMode val="edge"/>
          <c:x val="7.920784641695483E-2"/>
          <c:y val="9.3043199191889428E-2"/>
          <c:w val="0.92079215358304511"/>
          <c:h val="0.90695680080811059"/>
        </c:manualLayout>
      </c:layout>
      <c:doughnutChart>
        <c:varyColors val="1"/>
        <c:ser>
          <c:idx val="0"/>
          <c:order val="0"/>
          <c:tx>
            <c:strRef>
              <c:f>'Pivot Tables'!$V$5</c:f>
              <c:strCache>
                <c:ptCount val="1"/>
                <c:pt idx="0">
                  <c:v>Total</c:v>
                </c:pt>
              </c:strCache>
            </c:strRef>
          </c:tx>
          <c:spPr>
            <a:solidFill>
              <a:schemeClr val="accent2"/>
            </a:solidFill>
            <a:effectLst/>
          </c:spPr>
          <c:dPt>
            <c:idx val="0"/>
            <c:bubble3D val="0"/>
            <c:spPr>
              <a:solidFill>
                <a:srgbClr val="92D050"/>
              </a:solidFill>
              <a:ln w="19050">
                <a:solidFill>
                  <a:schemeClr val="lt1"/>
                </a:solidFill>
              </a:ln>
              <a:effectLst/>
            </c:spPr>
            <c:extLst>
              <c:ext xmlns:c16="http://schemas.microsoft.com/office/drawing/2014/chart" uri="{C3380CC4-5D6E-409C-BE32-E72D297353CC}">
                <c16:uniqueId val="{00000001-66F5-405E-8CCB-6E1081DBA7F6}"/>
              </c:ext>
            </c:extLst>
          </c:dPt>
          <c:dPt>
            <c:idx val="1"/>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3-66F5-405E-8CCB-6E1081DBA7F6}"/>
              </c:ext>
            </c:extLst>
          </c:dPt>
          <c:cat>
            <c:strRef>
              <c:f>'Pivot Tables'!$U$6:$U$8</c:f>
              <c:strCache>
                <c:ptCount val="2"/>
                <c:pt idx="0">
                  <c:v>Paid</c:v>
                </c:pt>
                <c:pt idx="1">
                  <c:v>Not Paid</c:v>
                </c:pt>
              </c:strCache>
            </c:strRef>
          </c:cat>
          <c:val>
            <c:numRef>
              <c:f>'Pivot Tables'!$V$6:$V$8</c:f>
              <c:numCache>
                <c:formatCode>General</c:formatCode>
                <c:ptCount val="2"/>
                <c:pt idx="0">
                  <c:v>926</c:v>
                </c:pt>
                <c:pt idx="1">
                  <c:v>311</c:v>
                </c:pt>
              </c:numCache>
            </c:numRef>
          </c:val>
          <c:extLst>
            <c:ext xmlns:c16="http://schemas.microsoft.com/office/drawing/2014/chart" uri="{C3380CC4-5D6E-409C-BE32-E72D297353CC}">
              <c16:uniqueId val="{00000004-66F5-405E-8CCB-6E1081DBA7F6}"/>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Tables!PivotTable6</c:name>
    <c:fmtId val="49"/>
  </c:pivotSource>
  <c:chart>
    <c:autoTitleDeleted val="1"/>
    <c:pivotFmts>
      <c:pivotFmt>
        <c:idx val="0"/>
        <c:spPr>
          <a:solidFill>
            <a:srgbClr val="FF6699"/>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bg1">
              <a:lumMod val="95000"/>
            </a:schemeClr>
          </a:solidFill>
          <a:ln w="19050">
            <a:solidFill>
              <a:schemeClr val="lt1"/>
            </a:solidFill>
          </a:ln>
          <a:effectLst/>
        </c:spPr>
      </c:pivotFmt>
      <c:pivotFmt>
        <c:idx val="2"/>
        <c:spPr>
          <a:solidFill>
            <a:srgbClr val="FF6699"/>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
        <c:spPr>
          <a:solidFill>
            <a:schemeClr val="bg1">
              <a:lumMod val="95000"/>
            </a:schemeClr>
          </a:solidFill>
          <a:ln w="19050">
            <a:solidFill>
              <a:schemeClr val="lt1"/>
            </a:solidFill>
          </a:ln>
          <a:effectLst/>
        </c:spPr>
      </c:pivotFmt>
      <c:pivotFmt>
        <c:idx val="4"/>
        <c:spPr>
          <a:solidFill>
            <a:srgbClr val="FF6699"/>
          </a:solidFill>
          <a:ln w="19050">
            <a:solidFill>
              <a:schemeClr val="lt1"/>
            </a:solidFill>
          </a:ln>
          <a:effectLst/>
        </c:spPr>
      </c:pivotFmt>
      <c:pivotFmt>
        <c:idx val="5"/>
        <c:spPr>
          <a:solidFill>
            <a:srgbClr val="FF6699"/>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bg1">
              <a:lumMod val="95000"/>
            </a:schemeClr>
          </a:solidFill>
          <a:ln w="19050">
            <a:solidFill>
              <a:schemeClr val="lt1"/>
            </a:solidFill>
          </a:ln>
          <a:effectLst/>
        </c:spPr>
      </c:pivotFmt>
      <c:pivotFmt>
        <c:idx val="7"/>
        <c:spPr>
          <a:solidFill>
            <a:srgbClr val="FF6699"/>
          </a:solidFill>
          <a:ln w="19050">
            <a:solidFill>
              <a:schemeClr val="lt1"/>
            </a:solidFill>
          </a:ln>
          <a:effectLst/>
        </c:spPr>
      </c:pivotFmt>
      <c:pivotFmt>
        <c:idx val="8"/>
        <c:spPr>
          <a:solidFill>
            <a:srgbClr val="FF6699"/>
          </a:solidFill>
          <a:ln>
            <a:solidFill>
              <a:schemeClr val="bg1"/>
            </a:solidFill>
          </a:ln>
        </c:spPr>
        <c:marker>
          <c:symbol val="none"/>
        </c:marker>
        <c:dLbl>
          <c:idx val="0"/>
          <c:delete val="1"/>
          <c:extLst>
            <c:ext xmlns:c15="http://schemas.microsoft.com/office/drawing/2012/chart" uri="{CE6537A1-D6FC-4f65-9D91-7224C49458BB}"/>
          </c:extLst>
        </c:dLbl>
      </c:pivotFmt>
      <c:pivotFmt>
        <c:idx val="9"/>
        <c:spPr>
          <a:solidFill>
            <a:schemeClr val="bg1">
              <a:lumMod val="95000"/>
            </a:schemeClr>
          </a:solidFill>
          <a:ln>
            <a:solidFill>
              <a:schemeClr val="bg1"/>
            </a:solidFill>
          </a:ln>
        </c:spPr>
      </c:pivotFmt>
      <c:pivotFmt>
        <c:idx val="10"/>
      </c:pivotFmt>
    </c:pivotFmts>
    <c:plotArea>
      <c:layout>
        <c:manualLayout>
          <c:layoutTarget val="inner"/>
          <c:xMode val="edge"/>
          <c:yMode val="edge"/>
          <c:x val="0.2022682714344643"/>
          <c:y val="0.2316245556315423"/>
          <c:w val="0.55500980284417856"/>
          <c:h val="0.53675242900886577"/>
        </c:manualLayout>
      </c:layout>
      <c:doughnutChart>
        <c:varyColors val="1"/>
        <c:ser>
          <c:idx val="0"/>
          <c:order val="0"/>
          <c:tx>
            <c:strRef>
              <c:f>'Pivot Tables'!$V$5</c:f>
              <c:strCache>
                <c:ptCount val="1"/>
                <c:pt idx="0">
                  <c:v>Total</c:v>
                </c:pt>
              </c:strCache>
            </c:strRef>
          </c:tx>
          <c:spPr>
            <a:solidFill>
              <a:srgbClr val="FF6699"/>
            </a:solidFill>
            <a:ln>
              <a:solidFill>
                <a:schemeClr val="bg1"/>
              </a:solidFill>
            </a:ln>
          </c:spPr>
          <c:dPt>
            <c:idx val="0"/>
            <c:bubble3D val="0"/>
            <c:spPr>
              <a:solidFill>
                <a:schemeClr val="bg1">
                  <a:lumMod val="95000"/>
                </a:schemeClr>
              </a:solidFill>
              <a:ln>
                <a:solidFill>
                  <a:schemeClr val="bg1"/>
                </a:solidFill>
              </a:ln>
            </c:spPr>
            <c:extLst>
              <c:ext xmlns:c16="http://schemas.microsoft.com/office/drawing/2014/chart" uri="{C3380CC4-5D6E-409C-BE32-E72D297353CC}">
                <c16:uniqueId val="{00000006-E15E-4E15-A81D-42D6CD17F0D9}"/>
              </c:ext>
            </c:extLst>
          </c:dPt>
          <c:dPt>
            <c:idx val="1"/>
            <c:bubble3D val="0"/>
            <c:extLst>
              <c:ext xmlns:c16="http://schemas.microsoft.com/office/drawing/2014/chart" uri="{C3380CC4-5D6E-409C-BE32-E72D297353CC}">
                <c16:uniqueId val="{00000008-E15E-4E15-A81D-42D6CD17F0D9}"/>
              </c:ext>
            </c:extLst>
          </c:dPt>
          <c:cat>
            <c:strRef>
              <c:f>'Pivot Tables'!$U$6:$U$8</c:f>
              <c:strCache>
                <c:ptCount val="2"/>
                <c:pt idx="0">
                  <c:v>Paid</c:v>
                </c:pt>
                <c:pt idx="1">
                  <c:v>Not Paid</c:v>
                </c:pt>
              </c:strCache>
            </c:strRef>
          </c:cat>
          <c:val>
            <c:numRef>
              <c:f>'Pivot Tables'!$V$6:$V$8</c:f>
              <c:numCache>
                <c:formatCode>General</c:formatCode>
                <c:ptCount val="2"/>
                <c:pt idx="0">
                  <c:v>926</c:v>
                </c:pt>
                <c:pt idx="1">
                  <c:v>311</c:v>
                </c:pt>
              </c:numCache>
            </c:numRef>
          </c:val>
          <c:extLst>
            <c:ext xmlns:c16="http://schemas.microsoft.com/office/drawing/2014/chart" uri="{C3380CC4-5D6E-409C-BE32-E72D297353CC}">
              <c16:uniqueId val="{00000009-E15E-4E15-A81D-42D6CD17F0D9}"/>
            </c:ext>
          </c:extLst>
        </c:ser>
        <c:dLbls>
          <c:showLegendKey val="0"/>
          <c:showVal val="0"/>
          <c:showCatName val="0"/>
          <c:showSerName val="0"/>
          <c:showPercent val="0"/>
          <c:showBubbleSize val="0"/>
          <c:showLeaderLines val="1"/>
        </c:dLbls>
        <c:firstSliceAng val="0"/>
        <c:holeSize val="65"/>
      </c:doughnutChart>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Tables!Enr_months</c:name>
    <c:fmtId val="30"/>
  </c:pivotSource>
  <c:chart>
    <c:autoTitleDeleted val="1"/>
    <c:pivotFmts>
      <c:pivotFmt>
        <c:idx val="0"/>
        <c:spPr>
          <a:solidFill>
            <a:schemeClr val="accent1"/>
          </a:solidFill>
          <a:ln w="19050" cap="rnd">
            <a:solidFill>
              <a:srgbClr val="8D7E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rgbClr val="8D7E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a:solidFill>
              <a:srgbClr val="8D7E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555555555555562E-2"/>
          <c:y val="0"/>
          <c:w val="0.85357721757932847"/>
          <c:h val="1"/>
        </c:manualLayout>
      </c:layout>
      <c:lineChart>
        <c:grouping val="standard"/>
        <c:varyColors val="0"/>
        <c:ser>
          <c:idx val="0"/>
          <c:order val="0"/>
          <c:tx>
            <c:strRef>
              <c:f>'Pivot Tables'!$Z$4</c:f>
              <c:strCache>
                <c:ptCount val="1"/>
                <c:pt idx="0">
                  <c:v>Total</c:v>
                </c:pt>
              </c:strCache>
            </c:strRef>
          </c:tx>
          <c:spPr>
            <a:ln w="19050" cap="rnd">
              <a:solidFill>
                <a:srgbClr val="8D7EF3"/>
              </a:solidFill>
              <a:round/>
            </a:ln>
            <a:effectLst/>
          </c:spPr>
          <c:marker>
            <c:symbol val="none"/>
          </c:marker>
          <c:cat>
            <c:strRef>
              <c:f>'Pivot Tables'!$Y$5:$Y$17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Tables'!$Z$5:$Z$17</c:f>
              <c:numCache>
                <c:formatCode>#,##0</c:formatCode>
                <c:ptCount val="12"/>
                <c:pt idx="0">
                  <c:v>170</c:v>
                </c:pt>
                <c:pt idx="1">
                  <c:v>162</c:v>
                </c:pt>
                <c:pt idx="2">
                  <c:v>12</c:v>
                </c:pt>
                <c:pt idx="3">
                  <c:v>102</c:v>
                </c:pt>
                <c:pt idx="4">
                  <c:v>174</c:v>
                </c:pt>
                <c:pt idx="5">
                  <c:v>96</c:v>
                </c:pt>
                <c:pt idx="6">
                  <c:v>60</c:v>
                </c:pt>
                <c:pt idx="7">
                  <c:v>189</c:v>
                </c:pt>
                <c:pt idx="8">
                  <c:v>387</c:v>
                </c:pt>
                <c:pt idx="9">
                  <c:v>617</c:v>
                </c:pt>
                <c:pt idx="10">
                  <c:v>468</c:v>
                </c:pt>
                <c:pt idx="11">
                  <c:v>206</c:v>
                </c:pt>
              </c:numCache>
            </c:numRef>
          </c:val>
          <c:smooth val="1"/>
          <c:extLst>
            <c:ext xmlns:c16="http://schemas.microsoft.com/office/drawing/2014/chart" uri="{C3380CC4-5D6E-409C-BE32-E72D297353CC}">
              <c16:uniqueId val="{00000000-1741-4B35-A767-8A6EAD69736B}"/>
            </c:ext>
          </c:extLst>
        </c:ser>
        <c:dLbls>
          <c:showLegendKey val="0"/>
          <c:showVal val="0"/>
          <c:showCatName val="0"/>
          <c:showSerName val="0"/>
          <c:showPercent val="0"/>
          <c:showBubbleSize val="0"/>
        </c:dLbls>
        <c:smooth val="0"/>
        <c:axId val="1152521407"/>
        <c:axId val="1152518047"/>
      </c:lineChart>
      <c:catAx>
        <c:axId val="1152521407"/>
        <c:scaling>
          <c:orientation val="minMax"/>
        </c:scaling>
        <c:delete val="1"/>
        <c:axPos val="b"/>
        <c:numFmt formatCode="General" sourceLinked="1"/>
        <c:majorTickMark val="none"/>
        <c:minorTickMark val="none"/>
        <c:tickLblPos val="nextTo"/>
        <c:crossAx val="1152518047"/>
        <c:crosses val="autoZero"/>
        <c:auto val="1"/>
        <c:lblAlgn val="ctr"/>
        <c:lblOffset val="100"/>
        <c:noMultiLvlLbl val="0"/>
      </c:catAx>
      <c:valAx>
        <c:axId val="1152518047"/>
        <c:scaling>
          <c:orientation val="minMax"/>
        </c:scaling>
        <c:delete val="1"/>
        <c:axPos val="l"/>
        <c:numFmt formatCode="#,##0" sourceLinked="1"/>
        <c:majorTickMark val="none"/>
        <c:minorTickMark val="none"/>
        <c:tickLblPos val="nextTo"/>
        <c:crossAx val="1152521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587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Tables!PivotTable9</c:name>
    <c:fmtId val="38"/>
  </c:pivotSource>
  <c:chart>
    <c:autoTitleDeleted val="1"/>
    <c:pivotFmts>
      <c:pivotFmt>
        <c:idx val="0"/>
        <c:spPr>
          <a:solidFill>
            <a:srgbClr val="0AEAE0">
              <a:alpha val="13000"/>
            </a:srgbClr>
          </a:solidFill>
          <a:ln w="12700">
            <a:solidFill>
              <a:srgbClr val="8D7EF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AEAE0">
              <a:alpha val="13000"/>
            </a:srgbClr>
          </a:solidFill>
          <a:ln w="12700">
            <a:solidFill>
              <a:srgbClr val="8D7EF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AEAE0">
              <a:alpha val="13000"/>
            </a:srgbClr>
          </a:solidFill>
          <a:ln w="12700">
            <a:solidFill>
              <a:srgbClr val="8D7EF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25202498901083"/>
          <c:y val="0.32853540137217824"/>
          <c:w val="0.52695454545454545"/>
          <c:h val="0.69117901234567902"/>
        </c:manualLayout>
      </c:layout>
      <c:radarChart>
        <c:radarStyle val="filled"/>
        <c:varyColors val="0"/>
        <c:ser>
          <c:idx val="0"/>
          <c:order val="0"/>
          <c:tx>
            <c:strRef>
              <c:f>'Pivot Tables'!$AE$4</c:f>
              <c:strCache>
                <c:ptCount val="1"/>
                <c:pt idx="0">
                  <c:v>Total</c:v>
                </c:pt>
              </c:strCache>
            </c:strRef>
          </c:tx>
          <c:spPr>
            <a:solidFill>
              <a:srgbClr val="0AEAE0">
                <a:alpha val="13000"/>
              </a:srgbClr>
            </a:solidFill>
            <a:ln w="12700">
              <a:solidFill>
                <a:srgbClr val="8D7EF3"/>
              </a:solidFill>
            </a:ln>
            <a:effectLst/>
          </c:spPr>
          <c:cat>
            <c:strRef>
              <c:f>'Pivot Tables'!$AD$5:$AD$13</c:f>
              <c:strCache>
                <c:ptCount val="8"/>
                <c:pt idx="0">
                  <c:v>A1</c:v>
                </c:pt>
                <c:pt idx="1">
                  <c:v>A2</c:v>
                </c:pt>
                <c:pt idx="2">
                  <c:v>A4</c:v>
                </c:pt>
                <c:pt idx="3">
                  <c:v>A7</c:v>
                </c:pt>
                <c:pt idx="4">
                  <c:v>B12</c:v>
                </c:pt>
                <c:pt idx="5">
                  <c:v>B13</c:v>
                </c:pt>
                <c:pt idx="6">
                  <c:v>B18</c:v>
                </c:pt>
                <c:pt idx="7">
                  <c:v>C8</c:v>
                </c:pt>
              </c:strCache>
            </c:strRef>
          </c:cat>
          <c:val>
            <c:numRef>
              <c:f>'Pivot Tables'!$AE$5:$AE$13</c:f>
              <c:numCache>
                <c:formatCode>General</c:formatCode>
                <c:ptCount val="8"/>
                <c:pt idx="0">
                  <c:v>219</c:v>
                </c:pt>
                <c:pt idx="1">
                  <c:v>185</c:v>
                </c:pt>
                <c:pt idx="2">
                  <c:v>97</c:v>
                </c:pt>
                <c:pt idx="3">
                  <c:v>100</c:v>
                </c:pt>
                <c:pt idx="4">
                  <c:v>178</c:v>
                </c:pt>
                <c:pt idx="5">
                  <c:v>104</c:v>
                </c:pt>
                <c:pt idx="6">
                  <c:v>178</c:v>
                </c:pt>
                <c:pt idx="7">
                  <c:v>176</c:v>
                </c:pt>
              </c:numCache>
            </c:numRef>
          </c:val>
          <c:extLst>
            <c:ext xmlns:c16="http://schemas.microsoft.com/office/drawing/2014/chart" uri="{C3380CC4-5D6E-409C-BE32-E72D297353CC}">
              <c16:uniqueId val="{00000000-D661-4AFB-BB34-D4BA6358F0B0}"/>
            </c:ext>
          </c:extLst>
        </c:ser>
        <c:dLbls>
          <c:showLegendKey val="0"/>
          <c:showVal val="0"/>
          <c:showCatName val="0"/>
          <c:showSerName val="0"/>
          <c:showPercent val="0"/>
          <c:showBubbleSize val="0"/>
        </c:dLbls>
        <c:axId val="1295218527"/>
        <c:axId val="1295241087"/>
      </c:radarChart>
      <c:catAx>
        <c:axId val="129521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400" b="0" i="0" u="none" strike="noStrike" kern="1200" baseline="0">
                <a:solidFill>
                  <a:schemeClr val="tx1">
                    <a:lumMod val="65000"/>
                    <a:lumOff val="35000"/>
                  </a:schemeClr>
                </a:solidFill>
                <a:latin typeface="+mn-lt"/>
                <a:ea typeface="+mn-ea"/>
                <a:cs typeface="+mn-cs"/>
              </a:defRPr>
            </a:pPr>
            <a:endParaRPr lang="en-US"/>
          </a:p>
        </c:txPr>
        <c:crossAx val="1295241087"/>
        <c:crosses val="autoZero"/>
        <c:auto val="1"/>
        <c:lblAlgn val="ctr"/>
        <c:lblOffset val="100"/>
        <c:noMultiLvlLbl val="0"/>
      </c:catAx>
      <c:valAx>
        <c:axId val="129524108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95218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Tables!PivotTable10</c:name>
    <c:fmtId val="5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AEAE0"/>
          </a:solidFill>
          <a:ln w="19050">
            <a:solidFill>
              <a:schemeClr val="lt1"/>
            </a:solidFill>
          </a:ln>
          <a:effectLst/>
        </c:spPr>
      </c:pivotFmt>
      <c:pivotFmt>
        <c:idx val="2"/>
        <c:spPr>
          <a:solidFill>
            <a:srgbClr val="8D7EF3"/>
          </a:solidFill>
          <a:ln w="19050">
            <a:solidFill>
              <a:schemeClr val="lt1"/>
            </a:solidFill>
          </a:ln>
          <a:effectLst/>
        </c:spPr>
      </c:pivotFmt>
      <c:pivotFmt>
        <c:idx val="3"/>
        <c:spPr>
          <a:solidFill>
            <a:srgbClr val="FF6699"/>
          </a:solidFill>
          <a:ln w="19050">
            <a:solidFill>
              <a:schemeClr val="lt1"/>
            </a:solidFill>
          </a:ln>
          <a:effectLst/>
        </c:spPr>
      </c:pivotFmt>
      <c:pivotFmt>
        <c:idx val="4"/>
        <c:spPr>
          <a:solidFill>
            <a:srgbClr val="FFC000"/>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AEAE0"/>
          </a:solidFill>
          <a:ln w="19050">
            <a:solidFill>
              <a:schemeClr val="lt1"/>
            </a:solidFill>
          </a:ln>
          <a:effectLst/>
        </c:spPr>
      </c:pivotFmt>
      <c:pivotFmt>
        <c:idx val="7"/>
        <c:spPr>
          <a:solidFill>
            <a:srgbClr val="FF6699"/>
          </a:solidFill>
          <a:ln w="19050">
            <a:solidFill>
              <a:schemeClr val="lt1"/>
            </a:solidFill>
          </a:ln>
          <a:effectLst/>
        </c:spPr>
      </c:pivotFmt>
      <c:pivotFmt>
        <c:idx val="8"/>
        <c:spPr>
          <a:solidFill>
            <a:srgbClr val="FFC000"/>
          </a:solidFill>
          <a:ln w="19050">
            <a:solidFill>
              <a:schemeClr val="lt1"/>
            </a:solidFill>
          </a:ln>
          <a:effectLst/>
        </c:spPr>
      </c:pivotFmt>
      <c:pivotFmt>
        <c:idx val="9"/>
        <c:spPr>
          <a:solidFill>
            <a:srgbClr val="8D7EF3"/>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AEAE0"/>
          </a:solidFill>
          <a:ln w="19050">
            <a:solidFill>
              <a:schemeClr val="lt1"/>
            </a:solidFill>
          </a:ln>
          <a:effectLst/>
        </c:spPr>
      </c:pivotFmt>
      <c:pivotFmt>
        <c:idx val="12"/>
        <c:spPr>
          <a:solidFill>
            <a:srgbClr val="FF6699"/>
          </a:solidFill>
          <a:ln w="19050">
            <a:solidFill>
              <a:schemeClr val="lt1"/>
            </a:solidFill>
          </a:ln>
          <a:effectLst/>
        </c:spPr>
      </c:pivotFmt>
      <c:pivotFmt>
        <c:idx val="13"/>
        <c:spPr>
          <a:solidFill>
            <a:srgbClr val="FFC000"/>
          </a:solidFill>
          <a:ln w="19050">
            <a:solidFill>
              <a:schemeClr val="lt1"/>
            </a:solidFill>
          </a:ln>
          <a:effectLst/>
        </c:spPr>
      </c:pivotFmt>
      <c:pivotFmt>
        <c:idx val="14"/>
        <c:spPr>
          <a:solidFill>
            <a:srgbClr val="8D7EF3"/>
          </a:solidFill>
          <a:ln w="19050">
            <a:solidFill>
              <a:schemeClr val="lt1"/>
            </a:solidFill>
          </a:ln>
          <a:effectLst/>
        </c:spPr>
      </c:pivotFmt>
    </c:pivotFmts>
    <c:plotArea>
      <c:layout>
        <c:manualLayout>
          <c:layoutTarget val="inner"/>
          <c:xMode val="edge"/>
          <c:yMode val="edge"/>
          <c:x val="0.25851033185074779"/>
          <c:y val="0.16585714545648317"/>
          <c:w val="0.54301388982036569"/>
          <c:h val="0.67812454110821763"/>
        </c:manualLayout>
      </c:layout>
      <c:pieChart>
        <c:varyColors val="1"/>
        <c:ser>
          <c:idx val="0"/>
          <c:order val="0"/>
          <c:tx>
            <c:strRef>
              <c:f>'Pivot Tables'!$AI$7</c:f>
              <c:strCache>
                <c:ptCount val="1"/>
                <c:pt idx="0">
                  <c:v>Total</c:v>
                </c:pt>
              </c:strCache>
            </c:strRef>
          </c:tx>
          <c:dPt>
            <c:idx val="0"/>
            <c:bubble3D val="0"/>
            <c:spPr>
              <a:solidFill>
                <a:srgbClr val="0AEAE0"/>
              </a:solidFill>
              <a:ln w="19050">
                <a:solidFill>
                  <a:schemeClr val="lt1"/>
                </a:solidFill>
              </a:ln>
              <a:effectLst/>
            </c:spPr>
            <c:extLst>
              <c:ext xmlns:c16="http://schemas.microsoft.com/office/drawing/2014/chart" uri="{C3380CC4-5D6E-409C-BE32-E72D297353CC}">
                <c16:uniqueId val="{00000001-4B75-4AD2-9BBE-22A615D999E9}"/>
              </c:ext>
            </c:extLst>
          </c:dPt>
          <c:dPt>
            <c:idx val="1"/>
            <c:bubble3D val="0"/>
            <c:spPr>
              <a:solidFill>
                <a:srgbClr val="FF6699"/>
              </a:solidFill>
              <a:ln w="19050">
                <a:solidFill>
                  <a:schemeClr val="lt1"/>
                </a:solidFill>
              </a:ln>
              <a:effectLst/>
            </c:spPr>
            <c:extLst>
              <c:ext xmlns:c16="http://schemas.microsoft.com/office/drawing/2014/chart" uri="{C3380CC4-5D6E-409C-BE32-E72D297353CC}">
                <c16:uniqueId val="{00000003-4B75-4AD2-9BBE-22A615D999E9}"/>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4B75-4AD2-9BBE-22A615D999E9}"/>
              </c:ext>
            </c:extLst>
          </c:dPt>
          <c:dPt>
            <c:idx val="3"/>
            <c:bubble3D val="0"/>
            <c:spPr>
              <a:solidFill>
                <a:srgbClr val="8D7EF3"/>
              </a:solidFill>
              <a:ln w="19050">
                <a:solidFill>
                  <a:schemeClr val="lt1"/>
                </a:solidFill>
              </a:ln>
              <a:effectLst/>
            </c:spPr>
            <c:extLst>
              <c:ext xmlns:c16="http://schemas.microsoft.com/office/drawing/2014/chart" uri="{C3380CC4-5D6E-409C-BE32-E72D297353CC}">
                <c16:uniqueId val="{00000007-4B75-4AD2-9BBE-22A615D999E9}"/>
              </c:ext>
            </c:extLst>
          </c:dPt>
          <c:dLbls>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Tables'!$AH$8:$AH$12</c:f>
              <c:strCache>
                <c:ptCount val="4"/>
                <c:pt idx="0">
                  <c:v>BE</c:v>
                </c:pt>
                <c:pt idx="1">
                  <c:v>CNI</c:v>
                </c:pt>
                <c:pt idx="2">
                  <c:v>FC</c:v>
                </c:pt>
                <c:pt idx="3">
                  <c:v>GK</c:v>
                </c:pt>
              </c:strCache>
            </c:strRef>
          </c:cat>
          <c:val>
            <c:numRef>
              <c:f>'Pivot Tables'!$AI$8:$AI$12</c:f>
              <c:numCache>
                <c:formatCode>[&lt;999950]0.0,"K";[&lt;999950000]0.0,,"M";0.0,,,"B"</c:formatCode>
                <c:ptCount val="4"/>
                <c:pt idx="0">
                  <c:v>3895000000</c:v>
                </c:pt>
                <c:pt idx="1">
                  <c:v>1257000000</c:v>
                </c:pt>
                <c:pt idx="2">
                  <c:v>247000000</c:v>
                </c:pt>
                <c:pt idx="3">
                  <c:v>10591000000</c:v>
                </c:pt>
              </c:numCache>
            </c:numRef>
          </c:val>
          <c:extLst>
            <c:ext xmlns:c16="http://schemas.microsoft.com/office/drawing/2014/chart" uri="{C3380CC4-5D6E-409C-BE32-E72D297353CC}">
              <c16:uniqueId val="{00000008-4B75-4AD2-9BBE-22A615D999E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25513402777777772"/>
          <c:y val="0.81773541666666671"/>
          <c:w val="0.52043348022434266"/>
          <c:h val="9.3001388888888883E-2"/>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Tables!PivotTable11</c:name>
    <c:fmtId val="6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D7E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D7EF3"/>
          </a:solidFill>
          <a:ln>
            <a:noFill/>
          </a:ln>
          <a:effectLst/>
        </c:spPr>
      </c:pivotFmt>
    </c:pivotFmts>
    <c:plotArea>
      <c:layout>
        <c:manualLayout>
          <c:layoutTarget val="inner"/>
          <c:xMode val="edge"/>
          <c:yMode val="edge"/>
          <c:x val="0.27218588617715683"/>
          <c:y val="9.3538479668269836E-2"/>
          <c:w val="0.70284491572076446"/>
          <c:h val="0.82851278727483868"/>
        </c:manualLayout>
      </c:layout>
      <c:barChart>
        <c:barDir val="bar"/>
        <c:grouping val="clustered"/>
        <c:varyColors val="0"/>
        <c:ser>
          <c:idx val="0"/>
          <c:order val="0"/>
          <c:tx>
            <c:strRef>
              <c:f>'Pivot Tables'!$AM$7</c:f>
              <c:strCache>
                <c:ptCount val="1"/>
                <c:pt idx="0">
                  <c:v>Total</c:v>
                </c:pt>
              </c:strCache>
            </c:strRef>
          </c:tx>
          <c:spPr>
            <a:solidFill>
              <a:srgbClr val="8D7EF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Tables'!$AL$8:$AL$17</c:f>
              <c:strCache>
                <c:ptCount val="9"/>
                <c:pt idx="0">
                  <c:v>Fndn. L1</c:v>
                </c:pt>
                <c:pt idx="1">
                  <c:v>Fndn. L3</c:v>
                </c:pt>
                <c:pt idx="2">
                  <c:v>Fndn. L5</c:v>
                </c:pt>
                <c:pt idx="3">
                  <c:v>Fndn. L6</c:v>
                </c:pt>
                <c:pt idx="4">
                  <c:v>KJI. L4</c:v>
                </c:pt>
                <c:pt idx="5">
                  <c:v>Pre. L2</c:v>
                </c:pt>
                <c:pt idx="6">
                  <c:v>Pre. L3</c:v>
                </c:pt>
                <c:pt idx="7">
                  <c:v>Pre. L4</c:v>
                </c:pt>
                <c:pt idx="8">
                  <c:v>Pre. L8</c:v>
                </c:pt>
              </c:strCache>
            </c:strRef>
          </c:cat>
          <c:val>
            <c:numRef>
              <c:f>'Pivot Tables'!$AM$8:$AM$17</c:f>
              <c:numCache>
                <c:formatCode>[&lt;999950]0.0,"K";[&lt;999950000]0.0,,"M";0.0,,,"B"</c:formatCode>
                <c:ptCount val="9"/>
                <c:pt idx="0">
                  <c:v>2320000000</c:v>
                </c:pt>
                <c:pt idx="1">
                  <c:v>1159000000</c:v>
                </c:pt>
                <c:pt idx="2">
                  <c:v>2892000000</c:v>
                </c:pt>
                <c:pt idx="3">
                  <c:v>574000000</c:v>
                </c:pt>
                <c:pt idx="4">
                  <c:v>3337000000</c:v>
                </c:pt>
                <c:pt idx="5">
                  <c:v>1309000000</c:v>
                </c:pt>
                <c:pt idx="6">
                  <c:v>2324000000</c:v>
                </c:pt>
                <c:pt idx="7">
                  <c:v>1032000000</c:v>
                </c:pt>
                <c:pt idx="8">
                  <c:v>1043000000</c:v>
                </c:pt>
              </c:numCache>
            </c:numRef>
          </c:val>
          <c:extLst>
            <c:ext xmlns:c16="http://schemas.microsoft.com/office/drawing/2014/chart" uri="{C3380CC4-5D6E-409C-BE32-E72D297353CC}">
              <c16:uniqueId val="{00000000-2741-40B7-9633-8320570D3F43}"/>
            </c:ext>
          </c:extLst>
        </c:ser>
        <c:dLbls>
          <c:dLblPos val="outEnd"/>
          <c:showLegendKey val="0"/>
          <c:showVal val="1"/>
          <c:showCatName val="0"/>
          <c:showSerName val="0"/>
          <c:showPercent val="0"/>
          <c:showBubbleSize val="0"/>
        </c:dLbls>
        <c:gapWidth val="182"/>
        <c:axId val="1606329119"/>
        <c:axId val="1606319519"/>
      </c:barChart>
      <c:catAx>
        <c:axId val="1606329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606319519"/>
        <c:crosses val="autoZero"/>
        <c:auto val="1"/>
        <c:lblAlgn val="ctr"/>
        <c:lblOffset val="100"/>
        <c:noMultiLvlLbl val="0"/>
      </c:catAx>
      <c:valAx>
        <c:axId val="1606319519"/>
        <c:scaling>
          <c:orientation val="minMax"/>
        </c:scaling>
        <c:delete val="1"/>
        <c:axPos val="b"/>
        <c:numFmt formatCode="[&lt;999950]0.0,&quot;K&quot;;[&lt;999950000]0.0,,&quot;M&quot;;0.0,,,&quot;B&quot;" sourceLinked="1"/>
        <c:majorTickMark val="none"/>
        <c:minorTickMark val="none"/>
        <c:tickLblPos val="nextTo"/>
        <c:crossAx val="1606329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Tables!PivotTable12</c:name>
    <c:fmtId val="68"/>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rgbClr val="8D7EF3"/>
            </a:solidFill>
            <a:round/>
          </a:ln>
          <a:effectLst/>
        </c:spPr>
        <c:marker>
          <c:symbol val="circle"/>
          <c:size val="8"/>
          <c:spPr>
            <a:solidFill>
              <a:schemeClr val="bg1"/>
            </a:solidFill>
            <a:ln w="15875">
              <a:solidFill>
                <a:srgbClr val="8D7EF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57238511633596"/>
          <c:y val="6.4974045247624956E-2"/>
          <c:w val="0.74418320237258084"/>
          <c:h val="0.45316143689228161"/>
        </c:manualLayout>
      </c:layout>
      <c:lineChart>
        <c:grouping val="standard"/>
        <c:varyColors val="0"/>
        <c:ser>
          <c:idx val="0"/>
          <c:order val="0"/>
          <c:tx>
            <c:strRef>
              <c:f>'Pivot Tables'!$AQ$7</c:f>
              <c:strCache>
                <c:ptCount val="1"/>
                <c:pt idx="0">
                  <c:v>Total</c:v>
                </c:pt>
              </c:strCache>
            </c:strRef>
          </c:tx>
          <c:spPr>
            <a:ln w="25400" cap="rnd">
              <a:solidFill>
                <a:srgbClr val="8D7EF3"/>
              </a:solidFill>
              <a:round/>
            </a:ln>
            <a:effectLst/>
          </c:spPr>
          <c:marker>
            <c:symbol val="circle"/>
            <c:size val="8"/>
            <c:spPr>
              <a:solidFill>
                <a:schemeClr val="bg1"/>
              </a:solidFill>
              <a:ln w="15875">
                <a:solidFill>
                  <a:srgbClr val="8D7EF3"/>
                </a:solidFill>
              </a:ln>
              <a:effectLst/>
            </c:spPr>
          </c:marker>
          <c:cat>
            <c:strRef>
              <c:f>'Pivot Tables'!$AP$8:$AP$17</c:f>
              <c:strCache>
                <c:ptCount val="9"/>
                <c:pt idx="0">
                  <c:v>Fndn. L1</c:v>
                </c:pt>
                <c:pt idx="1">
                  <c:v>Fndn. L3</c:v>
                </c:pt>
                <c:pt idx="2">
                  <c:v>Pre. L2</c:v>
                </c:pt>
                <c:pt idx="3">
                  <c:v>Fndn. L5</c:v>
                </c:pt>
                <c:pt idx="4">
                  <c:v>KJI. L4</c:v>
                </c:pt>
                <c:pt idx="5">
                  <c:v>Pre. L3</c:v>
                </c:pt>
                <c:pt idx="6">
                  <c:v>Pre. L4</c:v>
                </c:pt>
                <c:pt idx="7">
                  <c:v>Pre. L8</c:v>
                </c:pt>
                <c:pt idx="8">
                  <c:v>Fndn. L6</c:v>
                </c:pt>
              </c:strCache>
            </c:strRef>
          </c:cat>
          <c:val>
            <c:numRef>
              <c:f>'Pivot Tables'!$AQ$8:$AQ$17</c:f>
              <c:numCache>
                <c:formatCode>#,##0</c:formatCode>
                <c:ptCount val="9"/>
                <c:pt idx="0">
                  <c:v>374</c:v>
                </c:pt>
                <c:pt idx="1">
                  <c:v>189</c:v>
                </c:pt>
                <c:pt idx="2">
                  <c:v>211</c:v>
                </c:pt>
                <c:pt idx="3">
                  <c:v>472</c:v>
                </c:pt>
                <c:pt idx="4">
                  <c:v>562</c:v>
                </c:pt>
                <c:pt idx="5">
                  <c:v>376</c:v>
                </c:pt>
                <c:pt idx="6">
                  <c:v>185</c:v>
                </c:pt>
                <c:pt idx="7">
                  <c:v>184</c:v>
                </c:pt>
                <c:pt idx="8">
                  <c:v>90</c:v>
                </c:pt>
              </c:numCache>
            </c:numRef>
          </c:val>
          <c:smooth val="0"/>
          <c:extLst>
            <c:ext xmlns:c16="http://schemas.microsoft.com/office/drawing/2014/chart" uri="{C3380CC4-5D6E-409C-BE32-E72D297353CC}">
              <c16:uniqueId val="{00000000-4D60-461C-9CB5-458D0766C609}"/>
            </c:ext>
          </c:extLst>
        </c:ser>
        <c:dLbls>
          <c:showLegendKey val="0"/>
          <c:showVal val="0"/>
          <c:showCatName val="0"/>
          <c:showSerName val="0"/>
          <c:showPercent val="0"/>
          <c:showBubbleSize val="0"/>
        </c:dLbls>
        <c:marker val="1"/>
        <c:smooth val="0"/>
        <c:axId val="618930015"/>
        <c:axId val="618931455"/>
      </c:lineChart>
      <c:catAx>
        <c:axId val="618930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618931455"/>
        <c:crosses val="autoZero"/>
        <c:auto val="1"/>
        <c:lblAlgn val="ctr"/>
        <c:lblOffset val="100"/>
        <c:noMultiLvlLbl val="0"/>
      </c:catAx>
      <c:valAx>
        <c:axId val="618931455"/>
        <c:scaling>
          <c:orientation val="minMax"/>
        </c:scaling>
        <c:delete val="1"/>
        <c:axPos val="l"/>
        <c:numFmt formatCode="#,##0" sourceLinked="1"/>
        <c:majorTickMark val="none"/>
        <c:minorTickMark val="none"/>
        <c:tickLblPos val="nextTo"/>
        <c:crossAx val="618930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'Pivot Tables'!$AY$25</c:f>
              <c:strCache>
                <c:ptCount val="1"/>
                <c:pt idx="0">
                  <c:v>DURATION</c:v>
                </c:pt>
              </c:strCache>
            </c:strRef>
          </c:tx>
          <c:spPr>
            <a:ln w="28575" cap="rnd">
              <a:noFill/>
              <a:round/>
            </a:ln>
            <a:effectLst/>
          </c:spPr>
          <c:marker>
            <c:symbol val="circle"/>
            <c:size val="5"/>
            <c:spPr>
              <a:solidFill>
                <a:srgbClr val="9933FF"/>
              </a:solidFill>
              <a:ln w="9525">
                <a:noFill/>
              </a:ln>
              <a:effectLst/>
            </c:spPr>
          </c:marker>
          <c:cat>
            <c:numRef>
              <c:f>'Pivot Tables'!$AX$26:$AX$37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'Pivot Tables'!$AY$26:$AY$37</c:f>
              <c:numCache>
                <c:formatCode>mm:ss</c:formatCode>
                <c:ptCount val="12"/>
                <c:pt idx="0">
                  <c:v>3.0161179698216726E-3</c:v>
                </c:pt>
                <c:pt idx="1">
                  <c:v>2.8763440860215049E-3</c:v>
                </c:pt>
                <c:pt idx="2">
                  <c:v>1.3888888888888889E-3</c:v>
                </c:pt>
                <c:pt idx="3">
                  <c:v>3.4975405092592571E-3</c:v>
                </c:pt>
                <c:pt idx="4">
                  <c:v>3.0488351254480289E-3</c:v>
                </c:pt>
                <c:pt idx="5">
                  <c:v>2.9208002645502639E-3</c:v>
                </c:pt>
                <c:pt idx="6">
                  <c:v>2.9407051282051289E-3</c:v>
                </c:pt>
                <c:pt idx="7">
                  <c:v>3.0726650563607082E-3</c:v>
                </c:pt>
                <c:pt idx="8">
                  <c:v>3.1521213377556654E-3</c:v>
                </c:pt>
                <c:pt idx="9">
                  <c:v>3.276282366437237E-3</c:v>
                </c:pt>
                <c:pt idx="10">
                  <c:v>3.1209710501640875E-3</c:v>
                </c:pt>
                <c:pt idx="11">
                  <c:v>3.2518257694314021E-3</c:v>
                </c:pt>
              </c:numCache>
            </c:numRef>
          </c:val>
          <c:smooth val="0"/>
          <c:extLst>
            <c:ext xmlns:c16="http://schemas.microsoft.com/office/drawing/2014/chart" uri="{C3380CC4-5D6E-409C-BE32-E72D297353CC}">
              <c16:uniqueId val="{00000000-424E-4638-8275-91BD99F287F1}"/>
            </c:ext>
          </c:extLst>
        </c:ser>
        <c:dLbls>
          <c:showLegendKey val="0"/>
          <c:showVal val="0"/>
          <c:showCatName val="0"/>
          <c:showSerName val="0"/>
          <c:showPercent val="0"/>
          <c:showBubbleSize val="0"/>
        </c:dLbls>
        <c:marker val="1"/>
        <c:smooth val="0"/>
        <c:axId val="1325518783"/>
        <c:axId val="1325520223"/>
      </c:lineChart>
      <c:catAx>
        <c:axId val="1325518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25520223"/>
        <c:crosses val="autoZero"/>
        <c:auto val="1"/>
        <c:lblAlgn val="ctr"/>
        <c:lblOffset val="100"/>
        <c:noMultiLvlLbl val="0"/>
      </c:catAx>
      <c:valAx>
        <c:axId val="1325520223"/>
        <c:scaling>
          <c:orientation val="minMax"/>
        </c:scaling>
        <c:delete val="0"/>
        <c:axPos val="l"/>
        <c:majorGridlines>
          <c:spPr>
            <a:ln w="9525" cap="flat" cmpd="sng" algn="ctr">
              <a:solidFill>
                <a:schemeClr val="bg1">
                  <a:lumMod val="85000"/>
                </a:schemeClr>
              </a:solidFill>
              <a:prstDash val="sysDot"/>
              <a:round/>
            </a:ln>
            <a:effectLst/>
          </c:spPr>
        </c:majorGridlines>
        <c:numFmt formatCode="mm:ss" sourceLinked="1"/>
        <c:majorTickMark val="none"/>
        <c:minorTickMark val="none"/>
        <c:tickLblPos val="nextTo"/>
        <c:spPr>
          <a:noFill/>
          <a:ln>
            <a:noFill/>
          </a:ln>
          <a:effectLst/>
        </c:spPr>
        <c:txPr>
          <a:bodyPr rot="-60000000" spcFirstLastPara="1" vertOverflow="ellipsis" vert="horz" wrap="square" anchor="ctr" anchorCtr="1"/>
          <a:lstStyle/>
          <a:p>
            <a:pPr>
              <a:defRPr sz="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25518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Tables!PivotTable15</c:name>
    <c:fmtId val="75"/>
  </c:pivotSource>
  <c:chart>
    <c:autoTitleDeleted val="1"/>
    <c:pivotFmts>
      <c:pivotFmt>
        <c:idx val="0"/>
        <c:spPr>
          <a:solidFill>
            <a:srgbClr val="9933FF"/>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933FF"/>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933FF"/>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500" b="0" i="0" u="none" strike="noStrike" kern="1200" baseline="0">
                  <a:solidFill>
                    <a:srgbClr val="8D7EF3"/>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756229502016812E-2"/>
          <c:y val="0.3395329000719215"/>
          <c:w val="0.85741461529762131"/>
          <c:h val="0.43705034734031861"/>
        </c:manualLayout>
      </c:layout>
      <c:barChart>
        <c:barDir val="col"/>
        <c:grouping val="clustered"/>
        <c:varyColors val="0"/>
        <c:ser>
          <c:idx val="0"/>
          <c:order val="0"/>
          <c:tx>
            <c:strRef>
              <c:f>'Pivot Tables'!$BI$8</c:f>
              <c:strCache>
                <c:ptCount val="1"/>
                <c:pt idx="0">
                  <c:v>Total</c:v>
                </c:pt>
              </c:strCache>
            </c:strRef>
          </c:tx>
          <c:spPr>
            <a:solidFill>
              <a:srgbClr val="9933FF"/>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500" b="0" i="0" u="none" strike="noStrike" kern="1200" baseline="0">
                    <a:solidFill>
                      <a:srgbClr val="8D7EF3"/>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Tables'!$BH$9:$BH$25</c:f>
              <c:strCache>
                <c:ptCount val="16"/>
                <c:pt idx="0">
                  <c:v>Adam</c:v>
                </c:pt>
                <c:pt idx="1">
                  <c:v>Ahmed</c:v>
                </c:pt>
                <c:pt idx="2">
                  <c:v>Dary</c:v>
                </c:pt>
                <c:pt idx="3">
                  <c:v>Dina</c:v>
                </c:pt>
                <c:pt idx="4">
                  <c:v>Habib</c:v>
                </c:pt>
                <c:pt idx="5">
                  <c:v>Hany</c:v>
                </c:pt>
                <c:pt idx="6">
                  <c:v>Hisham</c:v>
                </c:pt>
                <c:pt idx="7">
                  <c:v>John</c:v>
                </c:pt>
                <c:pt idx="8">
                  <c:v>Jood</c:v>
                </c:pt>
                <c:pt idx="9">
                  <c:v>Kenza</c:v>
                </c:pt>
                <c:pt idx="10">
                  <c:v>Khalil</c:v>
                </c:pt>
                <c:pt idx="11">
                  <c:v>Kisho</c:v>
                </c:pt>
                <c:pt idx="12">
                  <c:v>Mohmed</c:v>
                </c:pt>
                <c:pt idx="13">
                  <c:v>Reham</c:v>
                </c:pt>
                <c:pt idx="14">
                  <c:v>Rony</c:v>
                </c:pt>
                <c:pt idx="15">
                  <c:v>Sahar</c:v>
                </c:pt>
              </c:strCache>
            </c:strRef>
          </c:cat>
          <c:val>
            <c:numRef>
              <c:f>'Pivot Tables'!$BI$9:$BI$25</c:f>
              <c:numCache>
                <c:formatCode>[&lt;999950]0.0,"K";[&lt;999950000]0.0,,"M";0.0,,,"B"</c:formatCode>
                <c:ptCount val="16"/>
                <c:pt idx="0">
                  <c:v>379000000</c:v>
                </c:pt>
                <c:pt idx="1">
                  <c:v>650000000</c:v>
                </c:pt>
                <c:pt idx="2">
                  <c:v>1360000000</c:v>
                </c:pt>
                <c:pt idx="3">
                  <c:v>832000000</c:v>
                </c:pt>
                <c:pt idx="4">
                  <c:v>332000000</c:v>
                </c:pt>
                <c:pt idx="5">
                  <c:v>1534000000</c:v>
                </c:pt>
                <c:pt idx="6">
                  <c:v>995000000</c:v>
                </c:pt>
                <c:pt idx="7">
                  <c:v>1029000000</c:v>
                </c:pt>
                <c:pt idx="8">
                  <c:v>329000000</c:v>
                </c:pt>
                <c:pt idx="9">
                  <c:v>411000000</c:v>
                </c:pt>
                <c:pt idx="10">
                  <c:v>1177000000</c:v>
                </c:pt>
                <c:pt idx="11">
                  <c:v>1288000000</c:v>
                </c:pt>
                <c:pt idx="12">
                  <c:v>1727000000</c:v>
                </c:pt>
                <c:pt idx="13">
                  <c:v>1243000000</c:v>
                </c:pt>
                <c:pt idx="14">
                  <c:v>1638000000</c:v>
                </c:pt>
                <c:pt idx="15">
                  <c:v>1066000000</c:v>
                </c:pt>
              </c:numCache>
            </c:numRef>
          </c:val>
          <c:extLst>
            <c:ext xmlns:c16="http://schemas.microsoft.com/office/drawing/2014/chart" uri="{C3380CC4-5D6E-409C-BE32-E72D297353CC}">
              <c16:uniqueId val="{00000000-958E-4376-B454-33D634F81B60}"/>
            </c:ext>
          </c:extLst>
        </c:ser>
        <c:dLbls>
          <c:dLblPos val="outEnd"/>
          <c:showLegendKey val="0"/>
          <c:showVal val="1"/>
          <c:showCatName val="0"/>
          <c:showSerName val="0"/>
          <c:showPercent val="0"/>
          <c:showBubbleSize val="0"/>
        </c:dLbls>
        <c:gapWidth val="105"/>
        <c:overlap val="-27"/>
        <c:axId val="2039183887"/>
        <c:axId val="2039185327"/>
      </c:barChart>
      <c:catAx>
        <c:axId val="2039183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400" b="0" i="0" u="none" strike="noStrike" kern="1200" baseline="0">
                <a:solidFill>
                  <a:schemeClr val="tx1">
                    <a:lumMod val="65000"/>
                    <a:lumOff val="35000"/>
                  </a:schemeClr>
                </a:solidFill>
                <a:latin typeface="+mn-lt"/>
                <a:ea typeface="+mn-ea"/>
                <a:cs typeface="+mn-cs"/>
              </a:defRPr>
            </a:pPr>
            <a:endParaRPr lang="en-US"/>
          </a:p>
        </c:txPr>
        <c:crossAx val="2039185327"/>
        <c:crosses val="autoZero"/>
        <c:auto val="1"/>
        <c:lblAlgn val="ctr"/>
        <c:lblOffset val="100"/>
        <c:noMultiLvlLbl val="0"/>
      </c:catAx>
      <c:valAx>
        <c:axId val="2039185327"/>
        <c:scaling>
          <c:orientation val="minMax"/>
        </c:scaling>
        <c:delete val="1"/>
        <c:axPos val="l"/>
        <c:numFmt formatCode="[&lt;999950]0.0,&quot;K&quot;;[&lt;999950000]0.0,,&quot;M&quot;;0.0,,,&quot;B&quot;" sourceLinked="1"/>
        <c:majorTickMark val="none"/>
        <c:minorTickMark val="none"/>
        <c:tickLblPos val="nextTo"/>
        <c:crossAx val="2039183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Tables!Avg__sales</c:name>
    <c:fmtId val="8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Base"/>
          <c:showLegendKey val="0"/>
          <c:showVal val="0"/>
          <c:showCatName val="1"/>
          <c:showSerName val="0"/>
          <c:showPercent val="0"/>
          <c:showBubbleSize val="0"/>
          <c:separator> </c:separator>
          <c:extLst>
            <c:ext xmlns:c15="http://schemas.microsoft.com/office/drawing/2012/chart" uri="{CE6537A1-D6FC-4f65-9D91-7224C49458BB}"/>
          </c:extLst>
        </c:dLbl>
      </c:pivotFmt>
      <c:pivotFmt>
        <c:idx val="2"/>
        <c:spPr>
          <a:solidFill>
            <a:srgbClr val="9933FF"/>
          </a:solidFill>
          <a:ln>
            <a:noFill/>
          </a:ln>
          <a:effectLst/>
        </c:spPr>
      </c:pivotFmt>
      <c:pivotFmt>
        <c:idx val="3"/>
        <c:spPr>
          <a:solidFill>
            <a:srgbClr val="FF6699"/>
          </a:solidFill>
          <a:ln>
            <a:noFill/>
          </a:ln>
          <a:effectLst/>
        </c:spPr>
      </c:pivotFmt>
      <c:pivotFmt>
        <c:idx val="4"/>
        <c:spPr>
          <a:solidFill>
            <a:schemeClr val="accent4">
              <a:lumMod val="60000"/>
              <a:lumOff val="40000"/>
            </a:schemeClr>
          </a:solidFill>
          <a:ln>
            <a:noFill/>
          </a:ln>
          <a:effectLst/>
        </c:spPr>
      </c:pivotFmt>
      <c:pivotFmt>
        <c:idx val="5"/>
        <c:spPr>
          <a:solidFill>
            <a:srgbClr val="00B050"/>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c:spPr>
      </c:pivotFmt>
      <c:pivotFmt>
        <c:idx val="8"/>
        <c:spPr>
          <a:solidFill>
            <a:schemeClr val="accent4">
              <a:lumMod val="60000"/>
              <a:lumOff val="40000"/>
            </a:schemeClr>
          </a:solidFill>
          <a:ln>
            <a:noFill/>
          </a:ln>
          <a:effectLst/>
        </c:spPr>
      </c:pivotFmt>
      <c:pivotFmt>
        <c:idx val="9"/>
        <c:spPr>
          <a:solidFill>
            <a:srgbClr val="FF6699"/>
          </a:solidFill>
          <a:ln>
            <a:noFill/>
          </a:ln>
          <a:effectLst/>
        </c:spPr>
      </c:pivotFmt>
      <c:pivotFmt>
        <c:idx val="10"/>
        <c:spPr>
          <a:solidFill>
            <a:srgbClr val="9933FF"/>
          </a:solidFill>
          <a:ln>
            <a:noFill/>
          </a:ln>
          <a:effectLst/>
        </c:spPr>
      </c:pivotFmt>
      <c:pivotFmt>
        <c:idx val="1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Base"/>
          <c:showLegendKey val="0"/>
          <c:showVal val="0"/>
          <c:showCatName val="1"/>
          <c:showSerName val="0"/>
          <c:showPercent val="0"/>
          <c:showBubbleSize val="0"/>
          <c:separator> </c:separator>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B050"/>
          </a:solidFill>
          <a:ln>
            <a:noFill/>
          </a:ln>
          <a:effectLst/>
        </c:spPr>
      </c:pivotFmt>
      <c:pivotFmt>
        <c:idx val="14"/>
        <c:spPr>
          <a:solidFill>
            <a:schemeClr val="accent4">
              <a:lumMod val="60000"/>
              <a:lumOff val="40000"/>
            </a:schemeClr>
          </a:solidFill>
          <a:ln>
            <a:noFill/>
          </a:ln>
          <a:effectLst/>
        </c:spPr>
      </c:pivotFmt>
      <c:pivotFmt>
        <c:idx val="15"/>
        <c:spPr>
          <a:solidFill>
            <a:srgbClr val="FF6699"/>
          </a:solidFill>
          <a:ln>
            <a:noFill/>
          </a:ln>
          <a:effectLst/>
        </c:spPr>
      </c:pivotFmt>
      <c:pivotFmt>
        <c:idx val="16"/>
        <c:spPr>
          <a:solidFill>
            <a:srgbClr val="9933FF"/>
          </a:solidFill>
          <a:ln>
            <a:noFill/>
          </a:ln>
          <a:effectLst/>
        </c:spPr>
      </c:pivotFmt>
      <c:pivotFmt>
        <c:idx val="17"/>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Base"/>
          <c:showLegendKey val="0"/>
          <c:showVal val="0"/>
          <c:showCatName val="1"/>
          <c:showSerName val="0"/>
          <c:showPercent val="0"/>
          <c:showBubbleSize val="0"/>
          <c:separator> </c:separator>
          <c:extLst>
            <c:ext xmlns:c15="http://schemas.microsoft.com/office/drawing/2012/chart" uri="{CE6537A1-D6FC-4f65-9D91-7224C49458BB}"/>
          </c:extLst>
        </c:dLbl>
      </c:pivotFmt>
      <c:pivotFmt>
        <c:idx val="18"/>
        <c:spPr>
          <a:noFill/>
          <a:ln>
            <a:noFill/>
          </a:ln>
          <a:effectLst/>
        </c:spPr>
        <c:dLbl>
          <c:idx val="0"/>
          <c:layout>
            <c:manualLayout>
              <c:x val="-0.49583760620926232"/>
              <c:y val="-1.1669479899550615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1"/>
          <c:showSerName val="0"/>
          <c:showPercent val="0"/>
          <c:showBubbleSize val="0"/>
          <c:separator> </c:separator>
          <c:extLst>
            <c:ext xmlns:c15="http://schemas.microsoft.com/office/drawing/2012/chart" uri="{CE6537A1-D6FC-4f65-9D91-7224C49458BB}">
              <c15:layout>
                <c:manualLayout>
                  <c:w val="0.29014582396208055"/>
                  <c:h val="0.16920745854348351"/>
                </c:manualLayout>
              </c15:layout>
            </c:ext>
          </c:extLst>
        </c:dLbl>
      </c:pivotFmt>
      <c:pivotFmt>
        <c:idx val="19"/>
        <c:spPr>
          <a:noFill/>
          <a:ln>
            <a:noFill/>
          </a:ln>
          <a:effectLst/>
        </c:spPr>
        <c:dLbl>
          <c:idx val="0"/>
          <c:layout>
            <c:manualLayout>
              <c:x val="-0.23898844049477722"/>
              <c:y val="-1.1669479899550587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1"/>
          <c:showSerName val="0"/>
          <c:showPercent val="0"/>
          <c:showBubbleSize val="0"/>
          <c:separator> </c:separator>
          <c:extLst>
            <c:ext xmlns:c15="http://schemas.microsoft.com/office/drawing/2012/chart" uri="{CE6537A1-D6FC-4f65-9D91-7224C49458BB}">
              <c15:layout>
                <c:manualLayout>
                  <c:w val="0.21106221099679395"/>
                  <c:h val="0.16920745854348351"/>
                </c:manualLayout>
              </c15:layout>
            </c:ext>
          </c:extLst>
        </c:dLbl>
      </c:pivotFmt>
      <c:pivotFmt>
        <c:idx val="20"/>
        <c:spPr>
          <a:noFill/>
          <a:ln>
            <a:noFill/>
          </a:ln>
          <a:effectLst/>
        </c:spPr>
        <c:dLbl>
          <c:idx val="0"/>
          <c:layout>
            <c:manualLayout>
              <c:x val="-0.23752601669308346"/>
              <c:y val="0"/>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1"/>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12824609487093322"/>
          <c:y val="4.8826541654286473E-2"/>
          <c:w val="0.83463091443067228"/>
          <c:h val="0.8188234287114935"/>
        </c:manualLayout>
      </c:layout>
      <c:barChart>
        <c:barDir val="bar"/>
        <c:grouping val="clustered"/>
        <c:varyColors val="0"/>
        <c:ser>
          <c:idx val="0"/>
          <c:order val="0"/>
          <c:tx>
            <c:strRef>
              <c:f>'Pivot Tables'!$BD$8</c:f>
              <c:strCache>
                <c:ptCount val="1"/>
                <c:pt idx="0">
                  <c:v>Sum of Paid Fees</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1-3FFC-4824-8F59-08A052661AB2}"/>
              </c:ext>
            </c:extLst>
          </c:dPt>
          <c:dPt>
            <c:idx val="1"/>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3-3FFC-4824-8F59-08A052661AB2}"/>
              </c:ext>
            </c:extLst>
          </c:dPt>
          <c:dPt>
            <c:idx val="2"/>
            <c:invertIfNegative val="0"/>
            <c:bubble3D val="0"/>
            <c:spPr>
              <a:solidFill>
                <a:srgbClr val="FF6699"/>
              </a:solidFill>
              <a:ln>
                <a:noFill/>
              </a:ln>
              <a:effectLst/>
            </c:spPr>
            <c:extLst>
              <c:ext xmlns:c16="http://schemas.microsoft.com/office/drawing/2014/chart" uri="{C3380CC4-5D6E-409C-BE32-E72D297353CC}">
                <c16:uniqueId val="{00000005-3FFC-4824-8F59-08A052661AB2}"/>
              </c:ext>
            </c:extLst>
          </c:dPt>
          <c:dPt>
            <c:idx val="3"/>
            <c:invertIfNegative val="0"/>
            <c:bubble3D val="0"/>
            <c:spPr>
              <a:solidFill>
                <a:srgbClr val="9933FF"/>
              </a:solidFill>
              <a:ln>
                <a:noFill/>
              </a:ln>
              <a:effectLst/>
            </c:spPr>
            <c:extLst>
              <c:ext xmlns:c16="http://schemas.microsoft.com/office/drawing/2014/chart" uri="{C3380CC4-5D6E-409C-BE32-E72D297353CC}">
                <c16:uniqueId val="{00000007-3FFC-4824-8F59-08A052661AB2}"/>
              </c:ext>
            </c:extLst>
          </c:dPt>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Tables'!$BC$9:$BC$12</c:f>
              <c:strCache>
                <c:ptCount val="4"/>
                <c:pt idx="0">
                  <c:v>Abdullah</c:v>
                </c:pt>
                <c:pt idx="1">
                  <c:v>Ahmed</c:v>
                </c:pt>
                <c:pt idx="2">
                  <c:v>Mohammed</c:v>
                </c:pt>
                <c:pt idx="3">
                  <c:v>Salah</c:v>
                </c:pt>
              </c:strCache>
            </c:strRef>
          </c:cat>
          <c:val>
            <c:numRef>
              <c:f>'Pivot Tables'!$BD$9:$BD$12</c:f>
              <c:numCache>
                <c:formatCode>[&lt;999950]0.0,"K";[&lt;999950000]0.0,,"M";0.0,,,"B"</c:formatCode>
                <c:ptCount val="4"/>
                <c:pt idx="0">
                  <c:v>2579000000</c:v>
                </c:pt>
                <c:pt idx="1">
                  <c:v>2751000000</c:v>
                </c:pt>
                <c:pt idx="2">
                  <c:v>5372000000</c:v>
                </c:pt>
                <c:pt idx="3">
                  <c:v>5288000000</c:v>
                </c:pt>
              </c:numCache>
            </c:numRef>
          </c:val>
          <c:extLst>
            <c:ext xmlns:c16="http://schemas.microsoft.com/office/drawing/2014/chart" uri="{C3380CC4-5D6E-409C-BE32-E72D297353CC}">
              <c16:uniqueId val="{00000008-3FFC-4824-8F59-08A052661AB2}"/>
            </c:ext>
          </c:extLst>
        </c:ser>
        <c:ser>
          <c:idx val="1"/>
          <c:order val="1"/>
          <c:tx>
            <c:strRef>
              <c:f>'Pivot Tables'!$BE$8</c:f>
              <c:strCache>
                <c:ptCount val="1"/>
                <c:pt idx="0">
                  <c:v>Sum of Paid Fees2</c:v>
                </c:pt>
              </c:strCache>
            </c:strRef>
          </c:tx>
          <c:spPr>
            <a:no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B-3FFC-4824-8F59-08A052661AB2}"/>
              </c:ext>
            </c:extLst>
          </c:dPt>
          <c:dPt>
            <c:idx val="1"/>
            <c:invertIfNegative val="0"/>
            <c:bubble3D val="0"/>
            <c:spPr>
              <a:noFill/>
              <a:ln>
                <a:noFill/>
              </a:ln>
              <a:effectLst/>
            </c:spPr>
            <c:extLst>
              <c:ext xmlns:c16="http://schemas.microsoft.com/office/drawing/2014/chart" uri="{C3380CC4-5D6E-409C-BE32-E72D297353CC}">
                <c16:uniqueId val="{0000000C-3FFC-4824-8F59-08A052661AB2}"/>
              </c:ext>
            </c:extLst>
          </c:dPt>
          <c:dPt>
            <c:idx val="2"/>
            <c:invertIfNegative val="0"/>
            <c:bubble3D val="0"/>
            <c:spPr>
              <a:noFill/>
              <a:ln>
                <a:noFill/>
              </a:ln>
              <a:effectLst/>
            </c:spPr>
            <c:extLst>
              <c:ext xmlns:c16="http://schemas.microsoft.com/office/drawing/2014/chart" uri="{C3380CC4-5D6E-409C-BE32-E72D297353CC}">
                <c16:uniqueId val="{0000000A-3FFC-4824-8F59-08A052661AB2}"/>
              </c:ext>
            </c:extLst>
          </c:dPt>
          <c:dLbls>
            <c:dLbl>
              <c:idx val="0"/>
              <c:layout>
                <c:manualLayout>
                  <c:x val="-0.23898844049477722"/>
                  <c:y val="-1.1669479899550587E-2"/>
                </c:manualLayout>
              </c:layout>
              <c:dLblPos val="outEnd"/>
              <c:showLegendKey val="0"/>
              <c:showVal val="0"/>
              <c:showCatName val="1"/>
              <c:showSerName val="0"/>
              <c:showPercent val="0"/>
              <c:showBubbleSize val="0"/>
              <c:separator> </c:separator>
              <c:extLst>
                <c:ext xmlns:c15="http://schemas.microsoft.com/office/drawing/2012/chart" uri="{CE6537A1-D6FC-4f65-9D91-7224C49458BB}">
                  <c15:layout>
                    <c:manualLayout>
                      <c:w val="0.21106221099679395"/>
                      <c:h val="0.16920745854348351"/>
                    </c:manualLayout>
                  </c15:layout>
                </c:ext>
                <c:ext xmlns:c16="http://schemas.microsoft.com/office/drawing/2014/chart" uri="{C3380CC4-5D6E-409C-BE32-E72D297353CC}">
                  <c16:uniqueId val="{0000000B-3FFC-4824-8F59-08A052661AB2}"/>
                </c:ext>
              </c:extLst>
            </c:dLbl>
            <c:dLbl>
              <c:idx val="1"/>
              <c:layout>
                <c:manualLayout>
                  <c:x val="-0.23752601669308346"/>
                  <c:y val="0"/>
                </c:manualLayout>
              </c:layout>
              <c:dLblPos val="outEnd"/>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C-3FFC-4824-8F59-08A052661AB2}"/>
                </c:ext>
              </c:extLst>
            </c:dLbl>
            <c:dLbl>
              <c:idx val="2"/>
              <c:layout>
                <c:manualLayout>
                  <c:x val="-0.49583760620926232"/>
                  <c:y val="-1.1669479899550615E-2"/>
                </c:manualLayout>
              </c:layout>
              <c:dLblPos val="outEnd"/>
              <c:showLegendKey val="0"/>
              <c:showVal val="0"/>
              <c:showCatName val="1"/>
              <c:showSerName val="0"/>
              <c:showPercent val="0"/>
              <c:showBubbleSize val="0"/>
              <c:separator> </c:separator>
              <c:extLst>
                <c:ext xmlns:c15="http://schemas.microsoft.com/office/drawing/2012/chart" uri="{CE6537A1-D6FC-4f65-9D91-7224C49458BB}">
                  <c15:layout>
                    <c:manualLayout>
                      <c:w val="0.29014582396208055"/>
                      <c:h val="0.16920745854348351"/>
                    </c:manualLayout>
                  </c15:layout>
                </c:ext>
                <c:ext xmlns:c16="http://schemas.microsoft.com/office/drawing/2014/chart" uri="{C3380CC4-5D6E-409C-BE32-E72D297353CC}">
                  <c16:uniqueId val="{0000000A-3FFC-4824-8F59-08A052661AB2}"/>
                </c:ext>
              </c:extLst>
            </c:dLbl>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Base"/>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strRef>
              <c:f>'Pivot Tables'!$BC$9:$BC$12</c:f>
              <c:strCache>
                <c:ptCount val="4"/>
                <c:pt idx="0">
                  <c:v>Abdullah</c:v>
                </c:pt>
                <c:pt idx="1">
                  <c:v>Ahmed</c:v>
                </c:pt>
                <c:pt idx="2">
                  <c:v>Mohammed</c:v>
                </c:pt>
                <c:pt idx="3">
                  <c:v>Salah</c:v>
                </c:pt>
              </c:strCache>
            </c:strRef>
          </c:cat>
          <c:val>
            <c:numRef>
              <c:f>'Pivot Tables'!$BE$9:$BE$12</c:f>
              <c:numCache>
                <c:formatCode>#,##0</c:formatCode>
                <c:ptCount val="4"/>
                <c:pt idx="0">
                  <c:v>2579000000</c:v>
                </c:pt>
                <c:pt idx="1">
                  <c:v>2751000000</c:v>
                </c:pt>
                <c:pt idx="2">
                  <c:v>5372000000</c:v>
                </c:pt>
                <c:pt idx="3">
                  <c:v>5288000000</c:v>
                </c:pt>
              </c:numCache>
            </c:numRef>
          </c:val>
          <c:extLst>
            <c:ext xmlns:c16="http://schemas.microsoft.com/office/drawing/2014/chart" uri="{C3380CC4-5D6E-409C-BE32-E72D297353CC}">
              <c16:uniqueId val="{00000009-3FFC-4824-8F59-08A052661AB2}"/>
            </c:ext>
          </c:extLst>
        </c:ser>
        <c:dLbls>
          <c:showLegendKey val="0"/>
          <c:showVal val="0"/>
          <c:showCatName val="0"/>
          <c:showSerName val="0"/>
          <c:showPercent val="0"/>
          <c:showBubbleSize val="0"/>
        </c:dLbls>
        <c:gapWidth val="182"/>
        <c:axId val="1039864256"/>
        <c:axId val="1039868096"/>
      </c:barChart>
      <c:catAx>
        <c:axId val="1039864256"/>
        <c:scaling>
          <c:orientation val="minMax"/>
        </c:scaling>
        <c:delete val="1"/>
        <c:axPos val="l"/>
        <c:numFmt formatCode="General" sourceLinked="1"/>
        <c:majorTickMark val="none"/>
        <c:minorTickMark val="none"/>
        <c:tickLblPos val="nextTo"/>
        <c:crossAx val="1039868096"/>
        <c:crosses val="autoZero"/>
        <c:auto val="1"/>
        <c:lblAlgn val="ctr"/>
        <c:lblOffset val="100"/>
        <c:noMultiLvlLbl val="0"/>
      </c:catAx>
      <c:valAx>
        <c:axId val="1039868096"/>
        <c:scaling>
          <c:orientation val="minMax"/>
        </c:scaling>
        <c:delete val="1"/>
        <c:axPos val="b"/>
        <c:numFmt formatCode="[&lt;999950]0.0,&quot;K&quot;;[&lt;999950000]0.0,,&quot;M&quot;;0.0,,,&quot;B&quot;" sourceLinked="1"/>
        <c:majorTickMark val="none"/>
        <c:minorTickMark val="none"/>
        <c:tickLblPos val="nextTo"/>
        <c:crossAx val="1039864256"/>
        <c:crosses val="autoZero"/>
        <c:crossBetween val="between"/>
      </c:valAx>
      <c:spPr>
        <a:noFill/>
        <a:ln w="825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0486002540735605E-2"/>
          <c:y val="1.9533307893504968E-2"/>
          <c:w val="0.76874680508041371"/>
          <c:h val="0.78441358024691354"/>
        </c:manualLayout>
      </c:layout>
      <c:doughnutChart>
        <c:varyColors val="1"/>
        <c:ser>
          <c:idx val="0"/>
          <c:order val="0"/>
          <c:tx>
            <c:strRef>
              <c:f>'Pivot Tables'!$BN$17</c:f>
              <c:strCache>
                <c:ptCount val="1"/>
                <c:pt idx="0">
                  <c:v>Youtube Channel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6DFD-41B5-B8F9-5ECE89F88C08}"/>
              </c:ext>
            </c:extLst>
          </c:dPt>
          <c:dPt>
            <c:idx val="1"/>
            <c:bubble3D val="0"/>
            <c:spPr>
              <a:solidFill>
                <a:srgbClr val="F1F2F3"/>
              </a:solidFill>
              <a:ln w="19050">
                <a:solidFill>
                  <a:schemeClr val="lt1"/>
                </a:solidFill>
              </a:ln>
              <a:effectLst/>
            </c:spPr>
            <c:extLst>
              <c:ext xmlns:c16="http://schemas.microsoft.com/office/drawing/2014/chart" uri="{C3380CC4-5D6E-409C-BE32-E72D297353CC}">
                <c16:uniqueId val="{00000003-6DFD-41B5-B8F9-5ECE89F88C08}"/>
              </c:ext>
            </c:extLst>
          </c:dPt>
          <c:cat>
            <c:strRef>
              <c:f>'Pivot Tables'!$BM$18:$BM$19</c:f>
              <c:strCache>
                <c:ptCount val="1"/>
                <c:pt idx="0">
                  <c:v>Actual</c:v>
                </c:pt>
              </c:strCache>
            </c:strRef>
          </c:cat>
          <c:val>
            <c:numRef>
              <c:f>'Pivot Tables'!$BN$18:$BN$19</c:f>
              <c:numCache>
                <c:formatCode>[&lt;999950]0.0,"K";[&lt;999950000]0.0,,"M";0.0,,,"B"</c:formatCode>
                <c:ptCount val="2"/>
                <c:pt idx="0">
                  <c:v>806000000</c:v>
                </c:pt>
                <c:pt idx="1">
                  <c:v>3766000000</c:v>
                </c:pt>
              </c:numCache>
            </c:numRef>
          </c:val>
          <c:extLst>
            <c:ext xmlns:c16="http://schemas.microsoft.com/office/drawing/2014/chart" uri="{C3380CC4-5D6E-409C-BE32-E72D297353CC}">
              <c16:uniqueId val="{00000004-6DFD-41B5-B8F9-5ECE89F88C08}"/>
            </c:ext>
          </c:extLst>
        </c:ser>
        <c:ser>
          <c:idx val="1"/>
          <c:order val="1"/>
          <c:tx>
            <c:strRef>
              <c:f>'Pivot Tables'!$BO$17</c:f>
              <c:strCache>
                <c:ptCount val="1"/>
                <c:pt idx="0">
                  <c:v>Google Ad</c:v>
                </c:pt>
              </c:strCache>
            </c:strRef>
          </c:tx>
          <c:dPt>
            <c:idx val="0"/>
            <c:bubble3D val="0"/>
            <c:spPr>
              <a:solidFill>
                <a:srgbClr val="CC00CC"/>
              </a:solidFill>
              <a:ln w="19050">
                <a:solidFill>
                  <a:schemeClr val="lt1"/>
                </a:solidFill>
              </a:ln>
              <a:effectLst/>
            </c:spPr>
            <c:extLst>
              <c:ext xmlns:c16="http://schemas.microsoft.com/office/drawing/2014/chart" uri="{C3380CC4-5D6E-409C-BE32-E72D297353CC}">
                <c16:uniqueId val="{00000006-6DFD-41B5-B8F9-5ECE89F88C08}"/>
              </c:ext>
            </c:extLst>
          </c:dPt>
          <c:dPt>
            <c:idx val="1"/>
            <c:bubble3D val="0"/>
            <c:spPr>
              <a:solidFill>
                <a:srgbClr val="F1F2F3"/>
              </a:solidFill>
              <a:ln w="19050">
                <a:solidFill>
                  <a:schemeClr val="lt1"/>
                </a:solidFill>
              </a:ln>
              <a:effectLst/>
            </c:spPr>
            <c:extLst>
              <c:ext xmlns:c16="http://schemas.microsoft.com/office/drawing/2014/chart" uri="{C3380CC4-5D6E-409C-BE32-E72D297353CC}">
                <c16:uniqueId val="{00000008-6DFD-41B5-B8F9-5ECE89F88C08}"/>
              </c:ext>
            </c:extLst>
          </c:dPt>
          <c:cat>
            <c:strRef>
              <c:f>'Pivot Tables'!$BM$18:$BM$19</c:f>
              <c:strCache>
                <c:ptCount val="1"/>
                <c:pt idx="0">
                  <c:v>Actual</c:v>
                </c:pt>
              </c:strCache>
            </c:strRef>
          </c:cat>
          <c:val>
            <c:numRef>
              <c:f>'Pivot Tables'!$BO$18:$BO$19</c:f>
              <c:numCache>
                <c:formatCode>[&lt;999950]0.0,"K";[&lt;999950000]0.0,,"M";0.0,,,"B"</c:formatCode>
                <c:ptCount val="2"/>
                <c:pt idx="0">
                  <c:v>1823000000</c:v>
                </c:pt>
                <c:pt idx="1">
                  <c:v>2749000000</c:v>
                </c:pt>
              </c:numCache>
            </c:numRef>
          </c:val>
          <c:extLst>
            <c:ext xmlns:c16="http://schemas.microsoft.com/office/drawing/2014/chart" uri="{C3380CC4-5D6E-409C-BE32-E72D297353CC}">
              <c16:uniqueId val="{00000009-6DFD-41B5-B8F9-5ECE89F88C08}"/>
            </c:ext>
          </c:extLst>
        </c:ser>
        <c:ser>
          <c:idx val="2"/>
          <c:order val="2"/>
          <c:tx>
            <c:strRef>
              <c:f>'Pivot Tables'!$BP$17</c:f>
              <c:strCache>
                <c:ptCount val="1"/>
                <c:pt idx="0">
                  <c:v>WhatsApp</c:v>
                </c:pt>
              </c:strCache>
            </c:strRef>
          </c:tx>
          <c:dPt>
            <c:idx val="0"/>
            <c:bubble3D val="0"/>
            <c:spPr>
              <a:solidFill>
                <a:srgbClr val="F5D23D"/>
              </a:solidFill>
              <a:ln w="19050">
                <a:solidFill>
                  <a:schemeClr val="lt1"/>
                </a:solidFill>
              </a:ln>
              <a:effectLst/>
            </c:spPr>
            <c:extLst>
              <c:ext xmlns:c16="http://schemas.microsoft.com/office/drawing/2014/chart" uri="{C3380CC4-5D6E-409C-BE32-E72D297353CC}">
                <c16:uniqueId val="{0000000B-6DFD-41B5-B8F9-5ECE89F88C08}"/>
              </c:ext>
            </c:extLst>
          </c:dPt>
          <c:dPt>
            <c:idx val="1"/>
            <c:bubble3D val="0"/>
            <c:spPr>
              <a:solidFill>
                <a:srgbClr val="F1F2F3"/>
              </a:solidFill>
              <a:ln w="19050">
                <a:solidFill>
                  <a:schemeClr val="lt1"/>
                </a:solidFill>
              </a:ln>
              <a:effectLst/>
            </c:spPr>
            <c:extLst>
              <c:ext xmlns:c16="http://schemas.microsoft.com/office/drawing/2014/chart" uri="{C3380CC4-5D6E-409C-BE32-E72D297353CC}">
                <c16:uniqueId val="{0000000D-6DFD-41B5-B8F9-5ECE89F88C08}"/>
              </c:ext>
            </c:extLst>
          </c:dPt>
          <c:cat>
            <c:strRef>
              <c:f>'Pivot Tables'!$BM$18:$BM$19</c:f>
              <c:strCache>
                <c:ptCount val="1"/>
                <c:pt idx="0">
                  <c:v>Actual</c:v>
                </c:pt>
              </c:strCache>
            </c:strRef>
          </c:cat>
          <c:val>
            <c:numRef>
              <c:f>'Pivot Tables'!$BP$18:$BP$19</c:f>
              <c:numCache>
                <c:formatCode>[&lt;999950]0.0,"K";[&lt;999950000]0.0,,"M";0.0,,,"B"</c:formatCode>
                <c:ptCount val="2"/>
                <c:pt idx="0">
                  <c:v>2494000000</c:v>
                </c:pt>
                <c:pt idx="1">
                  <c:v>2078000000</c:v>
                </c:pt>
              </c:numCache>
            </c:numRef>
          </c:val>
          <c:extLst>
            <c:ext xmlns:c16="http://schemas.microsoft.com/office/drawing/2014/chart" uri="{C3380CC4-5D6E-409C-BE32-E72D297353CC}">
              <c16:uniqueId val="{0000000E-6DFD-41B5-B8F9-5ECE89F88C08}"/>
            </c:ext>
          </c:extLst>
        </c:ser>
        <c:ser>
          <c:idx val="3"/>
          <c:order val="3"/>
          <c:tx>
            <c:strRef>
              <c:f>'Pivot Tables'!$BQ$17</c:f>
              <c:strCache>
                <c:ptCount val="1"/>
                <c:pt idx="0">
                  <c:v>Company Website</c:v>
                </c:pt>
              </c:strCache>
            </c:strRef>
          </c:tx>
          <c:dPt>
            <c:idx val="0"/>
            <c:bubble3D val="0"/>
            <c:spPr>
              <a:solidFill>
                <a:srgbClr val="0AEAE0"/>
              </a:solidFill>
              <a:ln w="19050">
                <a:solidFill>
                  <a:schemeClr val="lt1"/>
                </a:solidFill>
              </a:ln>
              <a:effectLst/>
            </c:spPr>
            <c:extLst>
              <c:ext xmlns:c16="http://schemas.microsoft.com/office/drawing/2014/chart" uri="{C3380CC4-5D6E-409C-BE32-E72D297353CC}">
                <c16:uniqueId val="{00000010-6DFD-41B5-B8F9-5ECE89F88C08}"/>
              </c:ext>
            </c:extLst>
          </c:dPt>
          <c:dPt>
            <c:idx val="1"/>
            <c:bubble3D val="0"/>
            <c:spPr>
              <a:solidFill>
                <a:srgbClr val="F1F2F3"/>
              </a:solidFill>
              <a:ln w="19050">
                <a:solidFill>
                  <a:schemeClr val="lt1"/>
                </a:solidFill>
              </a:ln>
              <a:effectLst/>
            </c:spPr>
            <c:extLst>
              <c:ext xmlns:c16="http://schemas.microsoft.com/office/drawing/2014/chart" uri="{C3380CC4-5D6E-409C-BE32-E72D297353CC}">
                <c16:uniqueId val="{00000012-6DFD-41B5-B8F9-5ECE89F88C08}"/>
              </c:ext>
            </c:extLst>
          </c:dPt>
          <c:cat>
            <c:strRef>
              <c:f>'Pivot Tables'!$BM$18:$BM$19</c:f>
              <c:strCache>
                <c:ptCount val="1"/>
                <c:pt idx="0">
                  <c:v>Actual</c:v>
                </c:pt>
              </c:strCache>
            </c:strRef>
          </c:cat>
          <c:val>
            <c:numRef>
              <c:f>'Pivot Tables'!$BQ$18:$BQ$19</c:f>
              <c:numCache>
                <c:formatCode>[&lt;999950]0.0,"K";[&lt;999950000]0.0,,"M";0.0,,,"B"</c:formatCode>
                <c:ptCount val="2"/>
                <c:pt idx="0">
                  <c:v>2749000000</c:v>
                </c:pt>
                <c:pt idx="1">
                  <c:v>1823000000</c:v>
                </c:pt>
              </c:numCache>
            </c:numRef>
          </c:val>
          <c:extLst>
            <c:ext xmlns:c16="http://schemas.microsoft.com/office/drawing/2014/chart" uri="{C3380CC4-5D6E-409C-BE32-E72D297353CC}">
              <c16:uniqueId val="{00000013-6DFD-41B5-B8F9-5ECE89F88C08}"/>
            </c:ext>
          </c:extLst>
        </c:ser>
        <c:ser>
          <c:idx val="4"/>
          <c:order val="4"/>
          <c:tx>
            <c:strRef>
              <c:f>'Pivot Tables'!$BR$17</c:f>
              <c:strCache>
                <c:ptCount val="1"/>
                <c:pt idx="0">
                  <c:v>Facebook Page</c:v>
                </c:pt>
              </c:strCache>
            </c:strRef>
          </c:tx>
          <c:dPt>
            <c:idx val="0"/>
            <c:bubble3D val="0"/>
            <c:spPr>
              <a:solidFill>
                <a:srgbClr val="9933FF"/>
              </a:solidFill>
              <a:ln w="19050">
                <a:solidFill>
                  <a:schemeClr val="lt1"/>
                </a:solidFill>
              </a:ln>
              <a:effectLst/>
            </c:spPr>
            <c:extLst>
              <c:ext xmlns:c16="http://schemas.microsoft.com/office/drawing/2014/chart" uri="{C3380CC4-5D6E-409C-BE32-E72D297353CC}">
                <c16:uniqueId val="{00000015-6DFD-41B5-B8F9-5ECE89F88C08}"/>
              </c:ext>
            </c:extLst>
          </c:dPt>
          <c:dPt>
            <c:idx val="1"/>
            <c:bubble3D val="0"/>
            <c:spPr>
              <a:solidFill>
                <a:srgbClr val="F1F2F3"/>
              </a:solidFill>
              <a:ln w="19050">
                <a:solidFill>
                  <a:schemeClr val="lt1"/>
                </a:solidFill>
              </a:ln>
              <a:effectLst/>
            </c:spPr>
            <c:extLst>
              <c:ext xmlns:c16="http://schemas.microsoft.com/office/drawing/2014/chart" uri="{C3380CC4-5D6E-409C-BE32-E72D297353CC}">
                <c16:uniqueId val="{00000017-6DFD-41B5-B8F9-5ECE89F88C08}"/>
              </c:ext>
            </c:extLst>
          </c:dPt>
          <c:cat>
            <c:strRef>
              <c:f>'Pivot Tables'!$BM$18:$BM$19</c:f>
              <c:strCache>
                <c:ptCount val="1"/>
                <c:pt idx="0">
                  <c:v>Actual</c:v>
                </c:pt>
              </c:strCache>
            </c:strRef>
          </c:cat>
          <c:val>
            <c:numRef>
              <c:f>'Pivot Tables'!$BR$18:$BR$19</c:f>
              <c:numCache>
                <c:formatCode>[&lt;999950]0.0,"K";[&lt;999950000]0.0,,"M";0.0,,,"B"</c:formatCode>
                <c:ptCount val="2"/>
                <c:pt idx="0">
                  <c:v>3546000000</c:v>
                </c:pt>
                <c:pt idx="1">
                  <c:v>1026000000</c:v>
                </c:pt>
              </c:numCache>
            </c:numRef>
          </c:val>
          <c:extLst>
            <c:ext xmlns:c16="http://schemas.microsoft.com/office/drawing/2014/chart" uri="{C3380CC4-5D6E-409C-BE32-E72D297353CC}">
              <c16:uniqueId val="{00000018-6DFD-41B5-B8F9-5ECE89F88C08}"/>
            </c:ext>
          </c:extLst>
        </c:ser>
        <c:ser>
          <c:idx val="5"/>
          <c:order val="5"/>
          <c:tx>
            <c:strRef>
              <c:f>'Pivot Tables'!$BS$17</c:f>
              <c:strCache>
                <c:ptCount val="1"/>
                <c:pt idx="0">
                  <c:v>Television Ad</c:v>
                </c:pt>
              </c:strCache>
            </c:strRef>
          </c:tx>
          <c:dPt>
            <c:idx val="0"/>
            <c:bubble3D val="0"/>
            <c:spPr>
              <a:solidFill>
                <a:srgbClr val="7030A0"/>
              </a:solidFill>
              <a:ln w="19050">
                <a:solidFill>
                  <a:schemeClr val="lt1"/>
                </a:solidFill>
              </a:ln>
              <a:effectLst/>
            </c:spPr>
            <c:extLst>
              <c:ext xmlns:c16="http://schemas.microsoft.com/office/drawing/2014/chart" uri="{C3380CC4-5D6E-409C-BE32-E72D297353CC}">
                <c16:uniqueId val="{0000001A-6DFD-41B5-B8F9-5ECE89F88C08}"/>
              </c:ext>
            </c:extLst>
          </c:dPt>
          <c:dPt>
            <c:idx val="1"/>
            <c:bubble3D val="0"/>
            <c:spPr>
              <a:solidFill>
                <a:srgbClr val="F1F2F3"/>
              </a:solidFill>
              <a:ln w="19050">
                <a:solidFill>
                  <a:schemeClr val="lt1"/>
                </a:solidFill>
              </a:ln>
              <a:effectLst/>
            </c:spPr>
            <c:extLst>
              <c:ext xmlns:c16="http://schemas.microsoft.com/office/drawing/2014/chart" uri="{C3380CC4-5D6E-409C-BE32-E72D297353CC}">
                <c16:uniqueId val="{0000001C-6DFD-41B5-B8F9-5ECE89F88C08}"/>
              </c:ext>
            </c:extLst>
          </c:dPt>
          <c:cat>
            <c:strRef>
              <c:f>'Pivot Tables'!$BM$18:$BM$19</c:f>
              <c:strCache>
                <c:ptCount val="1"/>
                <c:pt idx="0">
                  <c:v>Actual</c:v>
                </c:pt>
              </c:strCache>
            </c:strRef>
          </c:cat>
          <c:val>
            <c:numRef>
              <c:f>'Pivot Tables'!$BS$18:$BS$19</c:f>
              <c:numCache>
                <c:formatCode>[&lt;999950]0.0,"K";[&lt;999950000]0.0,,"M";0.0,,,"B"</c:formatCode>
                <c:ptCount val="2"/>
                <c:pt idx="0">
                  <c:v>4572000000</c:v>
                </c:pt>
                <c:pt idx="1">
                  <c:v>1000000000</c:v>
                </c:pt>
              </c:numCache>
            </c:numRef>
          </c:val>
          <c:extLst>
            <c:ext xmlns:c16="http://schemas.microsoft.com/office/drawing/2014/chart" uri="{C3380CC4-5D6E-409C-BE32-E72D297353CC}">
              <c16:uniqueId val="{0000001D-6DFD-41B5-B8F9-5ECE89F88C08}"/>
            </c:ext>
          </c:extLst>
        </c:ser>
        <c:dLbls>
          <c:showLegendKey val="0"/>
          <c:showVal val="0"/>
          <c:showCatName val="0"/>
          <c:showSerName val="0"/>
          <c:showPercent val="0"/>
          <c:showBubbleSize val="0"/>
          <c:showLeaderLines val="1"/>
        </c:dLbls>
        <c:firstSliceAng val="180"/>
        <c:holeSize val="44"/>
      </c:doughnutChart>
      <c:spPr>
        <a:noFill/>
        <a:ln>
          <a:noFill/>
        </a:ln>
        <a:effectLst>
          <a:softEdge rad="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Tables!Call_months</c:name>
    <c:fmtId val="121"/>
  </c:pivotSource>
  <c:chart>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gradFill>
            <a:gsLst>
              <a:gs pos="0">
                <a:schemeClr val="accent1">
                  <a:lumMod val="45000"/>
                  <a:lumOff val="55000"/>
                </a:schemeClr>
              </a:gs>
              <a:gs pos="35000">
                <a:schemeClr val="accent1">
                  <a:lumMod val="30000"/>
                  <a:lumOff val="70000"/>
                  <a:alpha val="8000"/>
                </a:schemeClr>
              </a:gs>
            </a:gsLst>
            <a:lin ang="5400000" scaled="1"/>
          </a:gradFill>
          <a:ln>
            <a:noFill/>
          </a:ln>
          <a:effectLst/>
        </c:spPr>
        <c:marker>
          <c:symbol val="none"/>
        </c:marker>
        <c:dLbl>
          <c:idx val="0"/>
          <c:delete val="1"/>
          <c:extLst>
            <c:ext xmlns:c15="http://schemas.microsoft.com/office/drawing/2012/chart" uri="{CE6537A1-D6FC-4f65-9D91-7224C49458BB}"/>
          </c:extLst>
        </c:dLbl>
      </c:pivotFmt>
      <c:pivotFmt>
        <c:idx val="3"/>
        <c:spPr>
          <a:gradFill>
            <a:gsLst>
              <a:gs pos="0">
                <a:srgbClr val="9933FF"/>
              </a:gs>
              <a:gs pos="51000">
                <a:schemeClr val="accent1">
                  <a:lumMod val="30000"/>
                  <a:lumOff val="70000"/>
                  <a:alpha val="8000"/>
                </a:schemeClr>
              </a:gs>
            </a:gsLst>
            <a:lin ang="5400000" scaled="1"/>
          </a:gradFill>
          <a:ln w="25400">
            <a:noFill/>
          </a:ln>
          <a:effectLst/>
        </c:spPr>
        <c:marker>
          <c:symbol val="none"/>
        </c:marker>
        <c:dLbl>
          <c:idx val="0"/>
          <c:delete val="1"/>
          <c:extLst>
            <c:ext xmlns:c15="http://schemas.microsoft.com/office/drawing/2012/chart" uri="{CE6537A1-D6FC-4f65-9D91-7224C49458BB}"/>
          </c:extLst>
        </c:dLbl>
      </c:pivotFmt>
      <c:pivotFmt>
        <c:idx val="4"/>
        <c:spPr>
          <a:gradFill>
            <a:gsLst>
              <a:gs pos="0">
                <a:srgbClr val="9933FF"/>
              </a:gs>
              <a:gs pos="51000">
                <a:schemeClr val="accent1">
                  <a:lumMod val="30000"/>
                  <a:lumOff val="70000"/>
                  <a:alpha val="8000"/>
                </a:schemeClr>
              </a:gs>
            </a:gsLst>
            <a:lin ang="5400000" scaled="1"/>
          </a:gradFill>
          <a:ln w="25400">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gradFill>
            <a:gsLst>
              <a:gs pos="0">
                <a:srgbClr val="9933FF"/>
              </a:gs>
              <a:gs pos="51000">
                <a:schemeClr val="accent1">
                  <a:lumMod val="30000"/>
                  <a:lumOff val="70000"/>
                  <a:alpha val="8000"/>
                </a:schemeClr>
              </a:gs>
            </a:gsLst>
            <a:lin ang="5400000" scaled="1"/>
          </a:gradFill>
          <a:ln w="25400">
            <a:noFill/>
          </a:ln>
          <a:effectLst/>
        </c:spPr>
        <c:marker>
          <c:symbol val="none"/>
        </c:marker>
        <c:dLbl>
          <c:idx val="0"/>
          <c:delete val="1"/>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
        <c:spPr>
          <a:gradFill>
            <a:gsLst>
              <a:gs pos="0">
                <a:srgbClr val="9933FF"/>
              </a:gs>
              <a:gs pos="51000">
                <a:schemeClr val="accent1">
                  <a:lumMod val="30000"/>
                  <a:lumOff val="70000"/>
                  <a:alpha val="8000"/>
                </a:schemeClr>
              </a:gs>
            </a:gsLst>
            <a:lin ang="5400000" scaled="1"/>
          </a:gradFill>
          <a:ln w="25400">
            <a:noFill/>
          </a:ln>
          <a:effectLst/>
        </c:spPr>
        <c:marker>
          <c:symbol val="none"/>
        </c:marker>
        <c:dLbl>
          <c:idx val="0"/>
          <c:delete val="1"/>
          <c:extLst>
            <c:ext xmlns:c15="http://schemas.microsoft.com/office/drawing/2012/chart" uri="{CE6537A1-D6FC-4f65-9D91-7224C49458BB}"/>
          </c:extLst>
        </c:dLbl>
      </c:pivotFmt>
      <c:pivotFmt>
        <c:idx val="9"/>
        <c:spPr>
          <a:ln w="28575" cap="rnd">
            <a:solidFill>
              <a:srgbClr val="FF6699"/>
            </a:solidFill>
            <a:round/>
          </a:ln>
          <a:effectLst/>
        </c:spPr>
        <c:marker>
          <c:symbol val="none"/>
        </c:marker>
        <c:dLbl>
          <c:idx val="0"/>
          <c:delete val="1"/>
          <c:extLst>
            <c:ext xmlns:c15="http://schemas.microsoft.com/office/drawing/2012/chart" uri="{CE6537A1-D6FC-4f65-9D91-7224C49458BB}"/>
          </c:extLst>
        </c:dLbl>
      </c:pivotFmt>
      <c:pivotFmt>
        <c:idx val="10"/>
        <c:spPr>
          <a:gradFill>
            <a:gsLst>
              <a:gs pos="0">
                <a:srgbClr val="9933FF"/>
              </a:gs>
              <a:gs pos="51000">
                <a:schemeClr val="accent1">
                  <a:lumMod val="30000"/>
                  <a:lumOff val="70000"/>
                  <a:alpha val="8000"/>
                </a:schemeClr>
              </a:gs>
            </a:gsLst>
            <a:lin ang="5400000" scaled="1"/>
          </a:gradFill>
          <a:ln w="25400">
            <a:noFill/>
          </a:ln>
          <a:effectLst/>
        </c:spPr>
        <c:marker>
          <c:symbol val="none"/>
        </c:marker>
        <c:dLbl>
          <c:idx val="0"/>
          <c:delete val="1"/>
          <c:extLst>
            <c:ext xmlns:c15="http://schemas.microsoft.com/office/drawing/2012/chart" uri="{CE6537A1-D6FC-4f65-9D91-7224C49458BB}"/>
          </c:extLst>
        </c:dLbl>
      </c:pivotFmt>
      <c:pivotFmt>
        <c:idx val="11"/>
        <c:spPr>
          <a:ln w="28575" cap="rnd">
            <a:solidFill>
              <a:srgbClr val="FF6699"/>
            </a:solidFill>
            <a:round/>
          </a:ln>
          <a:effectLst/>
        </c:spPr>
        <c:marker>
          <c:symbol val="none"/>
        </c:marker>
        <c:dLbl>
          <c:idx val="0"/>
          <c:delete val="1"/>
          <c:extLst>
            <c:ext xmlns:c15="http://schemas.microsoft.com/office/drawing/2012/chart" uri="{CE6537A1-D6FC-4f65-9D91-7224C49458BB}"/>
          </c:extLst>
        </c:dLbl>
      </c:pivotFmt>
      <c:pivotFmt>
        <c:idx val="12"/>
        <c:spPr>
          <a:gradFill>
            <a:gsLst>
              <a:gs pos="0">
                <a:srgbClr val="9933FF"/>
              </a:gs>
              <a:gs pos="51000">
                <a:schemeClr val="accent1">
                  <a:lumMod val="30000"/>
                  <a:lumOff val="70000"/>
                  <a:alpha val="8000"/>
                </a:schemeClr>
              </a:gs>
            </a:gsLst>
            <a:lin ang="5400000" scaled="1"/>
          </a:gradFill>
          <a:ln w="25400">
            <a:noFill/>
          </a:ln>
          <a:effectLst/>
        </c:spPr>
        <c:marker>
          <c:symbol val="none"/>
        </c:marker>
        <c:dLbl>
          <c:idx val="0"/>
          <c:delete val="1"/>
          <c:extLst>
            <c:ext xmlns:c15="http://schemas.microsoft.com/office/drawing/2012/chart" uri="{CE6537A1-D6FC-4f65-9D91-7224C49458BB}"/>
          </c:extLst>
        </c:dLbl>
      </c:pivotFmt>
      <c:pivotFmt>
        <c:idx val="13"/>
        <c:spPr>
          <a:ln w="28575" cap="rnd">
            <a:solidFill>
              <a:srgbClr val="FF6699"/>
            </a:solidFill>
            <a:round/>
          </a:ln>
          <a:effectLst/>
        </c:spPr>
        <c:marker>
          <c:symbol val="none"/>
        </c:marker>
        <c:dLbl>
          <c:idx val="0"/>
          <c:delete val="1"/>
          <c:extLst>
            <c:ext xmlns:c15="http://schemas.microsoft.com/office/drawing/2012/chart" uri="{CE6537A1-D6FC-4f65-9D91-7224C49458BB}"/>
          </c:extLst>
        </c:dLbl>
      </c:pivotFmt>
      <c:pivotFmt>
        <c:idx val="14"/>
        <c:spPr>
          <a:gradFill>
            <a:gsLst>
              <a:gs pos="0">
                <a:srgbClr val="9933FF"/>
              </a:gs>
              <a:gs pos="51000">
                <a:schemeClr val="accent1">
                  <a:lumMod val="30000"/>
                  <a:lumOff val="70000"/>
                  <a:alpha val="8000"/>
                </a:schemeClr>
              </a:gs>
            </a:gsLst>
            <a:lin ang="5400000" scaled="1"/>
          </a:gradFill>
          <a:ln w="25400">
            <a:noFill/>
          </a:ln>
          <a:effectLst/>
        </c:spPr>
        <c:marker>
          <c:symbol val="none"/>
        </c:marker>
        <c:dLbl>
          <c:idx val="0"/>
          <c:delete val="1"/>
          <c:extLst>
            <c:ext xmlns:c15="http://schemas.microsoft.com/office/drawing/2012/chart" uri="{CE6537A1-D6FC-4f65-9D91-7224C49458BB}"/>
          </c:extLst>
        </c:dLbl>
      </c:pivotFmt>
      <c:pivotFmt>
        <c:idx val="15"/>
        <c:spPr>
          <a:ln w="19050" cap="rnd">
            <a:solidFill>
              <a:srgbClr val="FF6699"/>
            </a:solidFill>
            <a:round/>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1.7601818265301439E-2"/>
          <c:y val="0"/>
          <c:w val="0.86768064037222381"/>
          <c:h val="1"/>
        </c:manualLayout>
      </c:layout>
      <c:areaChart>
        <c:grouping val="standard"/>
        <c:varyColors val="0"/>
        <c:ser>
          <c:idx val="1"/>
          <c:order val="1"/>
          <c:tx>
            <c:strRef>
              <c:f>'Pivot Tables'!$BX$7</c:f>
              <c:strCache>
                <c:ptCount val="1"/>
                <c:pt idx="0">
                  <c:v>Count of Month2</c:v>
                </c:pt>
              </c:strCache>
            </c:strRef>
          </c:tx>
          <c:spPr>
            <a:gradFill>
              <a:gsLst>
                <a:gs pos="0">
                  <a:srgbClr val="9933FF"/>
                </a:gs>
                <a:gs pos="51000">
                  <a:schemeClr val="accent1">
                    <a:lumMod val="30000"/>
                    <a:lumOff val="70000"/>
                    <a:alpha val="8000"/>
                  </a:schemeClr>
                </a:gs>
              </a:gsLst>
              <a:lin ang="5400000" scaled="1"/>
            </a:gradFill>
            <a:ln w="25400">
              <a:noFill/>
            </a:ln>
            <a:effectLst/>
          </c:spPr>
          <c:cat>
            <c:strRef>
              <c:f>'Pivot Tables'!$BV$8:$BV$20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Tables'!$BX$8:$BX$20</c:f>
              <c:numCache>
                <c:formatCode>General</c:formatCode>
                <c:ptCount val="12"/>
                <c:pt idx="0">
                  <c:v>68</c:v>
                </c:pt>
                <c:pt idx="1">
                  <c:v>66</c:v>
                </c:pt>
                <c:pt idx="2">
                  <c:v>30</c:v>
                </c:pt>
                <c:pt idx="3">
                  <c:v>38</c:v>
                </c:pt>
                <c:pt idx="4">
                  <c:v>86</c:v>
                </c:pt>
                <c:pt idx="5">
                  <c:v>42</c:v>
                </c:pt>
                <c:pt idx="6">
                  <c:v>38</c:v>
                </c:pt>
                <c:pt idx="7">
                  <c:v>79</c:v>
                </c:pt>
                <c:pt idx="8">
                  <c:v>173</c:v>
                </c:pt>
                <c:pt idx="9">
                  <c:v>278</c:v>
                </c:pt>
                <c:pt idx="10">
                  <c:v>212</c:v>
                </c:pt>
                <c:pt idx="11">
                  <c:v>127</c:v>
                </c:pt>
              </c:numCache>
            </c:numRef>
          </c:val>
          <c:extLst>
            <c:ext xmlns:c16="http://schemas.microsoft.com/office/drawing/2014/chart" uri="{C3380CC4-5D6E-409C-BE32-E72D297353CC}">
              <c16:uniqueId val="{00000003-7A2C-4AE3-ADA1-A904C6BF90FB}"/>
            </c:ext>
          </c:extLst>
        </c:ser>
        <c:dLbls>
          <c:showLegendKey val="0"/>
          <c:showVal val="0"/>
          <c:showCatName val="0"/>
          <c:showSerName val="0"/>
          <c:showPercent val="0"/>
          <c:showBubbleSize val="0"/>
        </c:dLbls>
        <c:axId val="881358288"/>
        <c:axId val="881346288"/>
      </c:areaChart>
      <c:lineChart>
        <c:grouping val="standard"/>
        <c:varyColors val="0"/>
        <c:ser>
          <c:idx val="0"/>
          <c:order val="0"/>
          <c:tx>
            <c:strRef>
              <c:f>'Pivot Tables'!$BW$7</c:f>
              <c:strCache>
                <c:ptCount val="1"/>
                <c:pt idx="0">
                  <c:v>Count of Month</c:v>
                </c:pt>
              </c:strCache>
            </c:strRef>
          </c:tx>
          <c:spPr>
            <a:ln w="19050" cap="rnd">
              <a:solidFill>
                <a:srgbClr val="FF6699"/>
              </a:solidFill>
              <a:round/>
            </a:ln>
            <a:effectLst/>
          </c:spPr>
          <c:marker>
            <c:symbol val="none"/>
          </c:marker>
          <c:cat>
            <c:strRef>
              <c:f>'Pivot Tables'!$BV$8:$BV$20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Tables'!$BW$8:$BW$20</c:f>
              <c:numCache>
                <c:formatCode>General</c:formatCode>
                <c:ptCount val="12"/>
                <c:pt idx="0">
                  <c:v>68</c:v>
                </c:pt>
                <c:pt idx="1">
                  <c:v>66</c:v>
                </c:pt>
                <c:pt idx="2">
                  <c:v>30</c:v>
                </c:pt>
                <c:pt idx="3">
                  <c:v>38</c:v>
                </c:pt>
                <c:pt idx="4">
                  <c:v>86</c:v>
                </c:pt>
                <c:pt idx="5">
                  <c:v>42</c:v>
                </c:pt>
                <c:pt idx="6">
                  <c:v>38</c:v>
                </c:pt>
                <c:pt idx="7">
                  <c:v>79</c:v>
                </c:pt>
                <c:pt idx="8">
                  <c:v>173</c:v>
                </c:pt>
                <c:pt idx="9">
                  <c:v>278</c:v>
                </c:pt>
                <c:pt idx="10">
                  <c:v>212</c:v>
                </c:pt>
                <c:pt idx="11">
                  <c:v>127</c:v>
                </c:pt>
              </c:numCache>
            </c:numRef>
          </c:val>
          <c:smooth val="1"/>
          <c:extLst>
            <c:ext xmlns:c16="http://schemas.microsoft.com/office/drawing/2014/chart" uri="{C3380CC4-5D6E-409C-BE32-E72D297353CC}">
              <c16:uniqueId val="{00000005-7A2C-4AE3-ADA1-A904C6BF90FB}"/>
            </c:ext>
          </c:extLst>
        </c:ser>
        <c:dLbls>
          <c:showLegendKey val="0"/>
          <c:showVal val="0"/>
          <c:showCatName val="0"/>
          <c:showSerName val="0"/>
          <c:showPercent val="0"/>
          <c:showBubbleSize val="0"/>
        </c:dLbls>
        <c:marker val="1"/>
        <c:smooth val="0"/>
        <c:axId val="881358288"/>
        <c:axId val="881346288"/>
      </c:lineChart>
      <c:catAx>
        <c:axId val="881358288"/>
        <c:scaling>
          <c:orientation val="minMax"/>
        </c:scaling>
        <c:delete val="1"/>
        <c:axPos val="b"/>
        <c:numFmt formatCode="General" sourceLinked="1"/>
        <c:majorTickMark val="none"/>
        <c:minorTickMark val="none"/>
        <c:tickLblPos val="nextTo"/>
        <c:crossAx val="881346288"/>
        <c:crosses val="autoZero"/>
        <c:auto val="1"/>
        <c:lblAlgn val="ctr"/>
        <c:lblOffset val="100"/>
        <c:noMultiLvlLbl val="0"/>
      </c:catAx>
      <c:valAx>
        <c:axId val="881346288"/>
        <c:scaling>
          <c:orientation val="minMax"/>
        </c:scaling>
        <c:delete val="1"/>
        <c:axPos val="l"/>
        <c:numFmt formatCode="General" sourceLinked="1"/>
        <c:majorTickMark val="none"/>
        <c:minorTickMark val="none"/>
        <c:tickLblPos val="nextTo"/>
        <c:crossAx val="881358288"/>
        <c:crosses val="autoZero"/>
        <c:crossBetween val="between"/>
      </c:valAx>
      <c:spPr>
        <a:noFill/>
        <a:ln w="25400">
          <a:noFill/>
        </a:ln>
        <a:effectLst/>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Tables!Adv_Months</c:name>
    <c:fmtId val="126"/>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12700" cap="rnd">
            <a:solidFill>
              <a:srgbClr val="0AEAE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12700" cap="rnd">
            <a:solidFill>
              <a:srgbClr val="9933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12700" cap="rnd">
            <a:solidFill>
              <a:srgbClr val="FF669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127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12700"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85960184479958"/>
          <c:y val="0.11957133757483605"/>
          <c:w val="0.61763038074903354"/>
          <c:h val="0.75506159264826733"/>
        </c:manualLayout>
      </c:layout>
      <c:lineChart>
        <c:grouping val="standard"/>
        <c:varyColors val="0"/>
        <c:ser>
          <c:idx val="0"/>
          <c:order val="0"/>
          <c:tx>
            <c:strRef>
              <c:f>'Pivot Tables'!$CD$7:$CD$8</c:f>
              <c:strCache>
                <c:ptCount val="1"/>
                <c:pt idx="0">
                  <c:v>AD01-9361</c:v>
                </c:pt>
              </c:strCache>
            </c:strRef>
          </c:tx>
          <c:spPr>
            <a:ln w="12700" cap="rnd">
              <a:solidFill>
                <a:srgbClr val="0AEAE0"/>
              </a:solidFill>
              <a:round/>
            </a:ln>
            <a:effectLst/>
          </c:spPr>
          <c:marker>
            <c:symbol val="none"/>
          </c:marker>
          <c:cat>
            <c:strRef>
              <c:f>'Pivot Tables'!$CC$9:$CC$21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Tables'!$CD$9:$CD$21</c:f>
              <c:numCache>
                <c:formatCode>[&lt;999950]0.0,"K";[&lt;999950000]0.0,,"M";0.0,,,"B"</c:formatCode>
                <c:ptCount val="12"/>
                <c:pt idx="0">
                  <c:v>262000000</c:v>
                </c:pt>
                <c:pt idx="1">
                  <c:v>306000000</c:v>
                </c:pt>
                <c:pt idx="2">
                  <c:v>0</c:v>
                </c:pt>
                <c:pt idx="3">
                  <c:v>144000000</c:v>
                </c:pt>
                <c:pt idx="4">
                  <c:v>294000000</c:v>
                </c:pt>
                <c:pt idx="5">
                  <c:v>212000000</c:v>
                </c:pt>
                <c:pt idx="6">
                  <c:v>180000000</c:v>
                </c:pt>
                <c:pt idx="7">
                  <c:v>372000000</c:v>
                </c:pt>
                <c:pt idx="8">
                  <c:v>652000000</c:v>
                </c:pt>
                <c:pt idx="9">
                  <c:v>1179000000</c:v>
                </c:pt>
                <c:pt idx="10">
                  <c:v>789000000</c:v>
                </c:pt>
                <c:pt idx="11">
                  <c:v>445000000</c:v>
                </c:pt>
              </c:numCache>
            </c:numRef>
          </c:val>
          <c:smooth val="0"/>
          <c:extLst>
            <c:ext xmlns:c16="http://schemas.microsoft.com/office/drawing/2014/chart" uri="{C3380CC4-5D6E-409C-BE32-E72D297353CC}">
              <c16:uniqueId val="{00000000-67EA-40BF-9D58-105A55C82C1E}"/>
            </c:ext>
          </c:extLst>
        </c:ser>
        <c:ser>
          <c:idx val="1"/>
          <c:order val="1"/>
          <c:tx>
            <c:strRef>
              <c:f>'Pivot Tables'!$CE$7:$CE$8</c:f>
              <c:strCache>
                <c:ptCount val="1"/>
                <c:pt idx="0">
                  <c:v>AD01-9362</c:v>
                </c:pt>
              </c:strCache>
            </c:strRef>
          </c:tx>
          <c:spPr>
            <a:ln w="12700" cap="rnd">
              <a:solidFill>
                <a:srgbClr val="9933FF"/>
              </a:solidFill>
              <a:round/>
            </a:ln>
            <a:effectLst/>
          </c:spPr>
          <c:marker>
            <c:symbol val="none"/>
          </c:marker>
          <c:cat>
            <c:strRef>
              <c:f>'Pivot Tables'!$CC$9:$CC$21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Tables'!$CE$9:$CE$21</c:f>
              <c:numCache>
                <c:formatCode>[&lt;999950]0.0,"K";[&lt;999950000]0.0,,"M";0.0,,,"B"</c:formatCode>
                <c:ptCount val="12"/>
                <c:pt idx="0">
                  <c:v>472000000</c:v>
                </c:pt>
                <c:pt idx="1">
                  <c:v>408000000</c:v>
                </c:pt>
                <c:pt idx="2">
                  <c:v>116000000</c:v>
                </c:pt>
                <c:pt idx="3">
                  <c:v>264000000</c:v>
                </c:pt>
                <c:pt idx="4">
                  <c:v>546000000</c:v>
                </c:pt>
                <c:pt idx="5">
                  <c:v>146000000</c:v>
                </c:pt>
                <c:pt idx="6">
                  <c:v>262000000</c:v>
                </c:pt>
                <c:pt idx="7">
                  <c:v>443000000</c:v>
                </c:pt>
                <c:pt idx="8">
                  <c:v>858000000</c:v>
                </c:pt>
                <c:pt idx="9">
                  <c:v>1448000000</c:v>
                </c:pt>
                <c:pt idx="10">
                  <c:v>1078000000</c:v>
                </c:pt>
                <c:pt idx="11">
                  <c:v>444000000</c:v>
                </c:pt>
              </c:numCache>
            </c:numRef>
          </c:val>
          <c:smooth val="0"/>
          <c:extLst>
            <c:ext xmlns:c16="http://schemas.microsoft.com/office/drawing/2014/chart" uri="{C3380CC4-5D6E-409C-BE32-E72D297353CC}">
              <c16:uniqueId val="{00000001-67EA-40BF-9D58-105A55C82C1E}"/>
            </c:ext>
          </c:extLst>
        </c:ser>
        <c:ser>
          <c:idx val="2"/>
          <c:order val="2"/>
          <c:tx>
            <c:strRef>
              <c:f>'Pivot Tables'!$CF$7:$CF$8</c:f>
              <c:strCache>
                <c:ptCount val="1"/>
                <c:pt idx="0">
                  <c:v>AD01-9363</c:v>
                </c:pt>
              </c:strCache>
            </c:strRef>
          </c:tx>
          <c:spPr>
            <a:ln w="12700" cap="rnd">
              <a:solidFill>
                <a:srgbClr val="FF6699"/>
              </a:solidFill>
              <a:round/>
            </a:ln>
            <a:effectLst/>
          </c:spPr>
          <c:marker>
            <c:symbol val="none"/>
          </c:marker>
          <c:cat>
            <c:strRef>
              <c:f>'Pivot Tables'!$CC$9:$CC$21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Tables'!$CF$9:$CF$21</c:f>
              <c:numCache>
                <c:formatCode>[&lt;999950]0.0,"K";[&lt;999950000]0.0,,"M";0.0,,,"B"</c:formatCode>
                <c:ptCount val="12"/>
                <c:pt idx="0">
                  <c:v>0</c:v>
                </c:pt>
                <c:pt idx="1">
                  <c:v>48000000</c:v>
                </c:pt>
                <c:pt idx="3">
                  <c:v>24000000</c:v>
                </c:pt>
                <c:pt idx="4">
                  <c:v>68000000</c:v>
                </c:pt>
                <c:pt idx="5">
                  <c:v>24000000</c:v>
                </c:pt>
                <c:pt idx="7">
                  <c:v>38000000</c:v>
                </c:pt>
                <c:pt idx="8">
                  <c:v>142000000</c:v>
                </c:pt>
                <c:pt idx="9">
                  <c:v>242000000</c:v>
                </c:pt>
                <c:pt idx="10">
                  <c:v>239000000</c:v>
                </c:pt>
                <c:pt idx="11">
                  <c:v>75000000</c:v>
                </c:pt>
              </c:numCache>
            </c:numRef>
          </c:val>
          <c:smooth val="0"/>
          <c:extLst>
            <c:ext xmlns:c16="http://schemas.microsoft.com/office/drawing/2014/chart" uri="{C3380CC4-5D6E-409C-BE32-E72D297353CC}">
              <c16:uniqueId val="{00000002-67EA-40BF-9D58-105A55C82C1E}"/>
            </c:ext>
          </c:extLst>
        </c:ser>
        <c:ser>
          <c:idx val="3"/>
          <c:order val="3"/>
          <c:tx>
            <c:strRef>
              <c:f>'Pivot Tables'!$CG$7:$CG$8</c:f>
              <c:strCache>
                <c:ptCount val="1"/>
                <c:pt idx="0">
                  <c:v>AD01-9364</c:v>
                </c:pt>
              </c:strCache>
            </c:strRef>
          </c:tx>
          <c:spPr>
            <a:ln w="12700" cap="rnd">
              <a:solidFill>
                <a:schemeClr val="accent4"/>
              </a:solidFill>
              <a:round/>
            </a:ln>
            <a:effectLst/>
          </c:spPr>
          <c:marker>
            <c:symbol val="none"/>
          </c:marker>
          <c:cat>
            <c:strRef>
              <c:f>'Pivot Tables'!$CC$9:$CC$21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Tables'!$CG$9:$CG$21</c:f>
              <c:numCache>
                <c:formatCode>[&lt;999950]0.0,"K";[&lt;999950000]0.0,,"M";0.0,,,"B"</c:formatCode>
                <c:ptCount val="12"/>
                <c:pt idx="0">
                  <c:v>190000000</c:v>
                </c:pt>
                <c:pt idx="1">
                  <c:v>248000000</c:v>
                </c:pt>
                <c:pt idx="2">
                  <c:v>0</c:v>
                </c:pt>
                <c:pt idx="3">
                  <c:v>82000000</c:v>
                </c:pt>
                <c:pt idx="4">
                  <c:v>226000000</c:v>
                </c:pt>
                <c:pt idx="5">
                  <c:v>130000000</c:v>
                </c:pt>
                <c:pt idx="6">
                  <c:v>0</c:v>
                </c:pt>
                <c:pt idx="7">
                  <c:v>225000000</c:v>
                </c:pt>
                <c:pt idx="8">
                  <c:v>413000000</c:v>
                </c:pt>
                <c:pt idx="9">
                  <c:v>752000000</c:v>
                </c:pt>
                <c:pt idx="10">
                  <c:v>545000000</c:v>
                </c:pt>
                <c:pt idx="11">
                  <c:v>200000000</c:v>
                </c:pt>
              </c:numCache>
            </c:numRef>
          </c:val>
          <c:smooth val="0"/>
          <c:extLst>
            <c:ext xmlns:c16="http://schemas.microsoft.com/office/drawing/2014/chart" uri="{C3380CC4-5D6E-409C-BE32-E72D297353CC}">
              <c16:uniqueId val="{00000003-67EA-40BF-9D58-105A55C82C1E}"/>
            </c:ext>
          </c:extLst>
        </c:ser>
        <c:ser>
          <c:idx val="4"/>
          <c:order val="4"/>
          <c:tx>
            <c:strRef>
              <c:f>'Pivot Tables'!$CH$7:$CH$8</c:f>
              <c:strCache>
                <c:ptCount val="1"/>
                <c:pt idx="0">
                  <c:v>AD01-9365</c:v>
                </c:pt>
              </c:strCache>
            </c:strRef>
          </c:tx>
          <c:spPr>
            <a:ln w="12700" cap="rnd">
              <a:solidFill>
                <a:srgbClr val="00B050"/>
              </a:solidFill>
              <a:round/>
            </a:ln>
            <a:effectLst/>
          </c:spPr>
          <c:marker>
            <c:symbol val="none"/>
          </c:marker>
          <c:cat>
            <c:strRef>
              <c:f>'Pivot Tables'!$CC$9:$CC$21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Tables'!$CH$9:$CH$21</c:f>
              <c:numCache>
                <c:formatCode>[&lt;999950]0.0,"K";[&lt;999950000]0.0,,"M";0.0,,,"B"</c:formatCode>
                <c:ptCount val="12"/>
                <c:pt idx="0">
                  <c:v>60000000</c:v>
                </c:pt>
                <c:pt idx="1">
                  <c:v>30000000</c:v>
                </c:pt>
                <c:pt idx="2">
                  <c:v>0</c:v>
                </c:pt>
                <c:pt idx="3">
                  <c:v>24000000</c:v>
                </c:pt>
                <c:pt idx="4">
                  <c:v>24000000</c:v>
                </c:pt>
                <c:pt idx="5">
                  <c:v>0</c:v>
                </c:pt>
                <c:pt idx="7">
                  <c:v>74000000</c:v>
                </c:pt>
                <c:pt idx="8">
                  <c:v>113000000</c:v>
                </c:pt>
                <c:pt idx="9">
                  <c:v>188000000</c:v>
                </c:pt>
                <c:pt idx="10">
                  <c:v>163000000</c:v>
                </c:pt>
                <c:pt idx="11">
                  <c:v>83000000</c:v>
                </c:pt>
              </c:numCache>
            </c:numRef>
          </c:val>
          <c:smooth val="0"/>
          <c:extLst>
            <c:ext xmlns:c16="http://schemas.microsoft.com/office/drawing/2014/chart" uri="{C3380CC4-5D6E-409C-BE32-E72D297353CC}">
              <c16:uniqueId val="{00000004-67EA-40BF-9D58-105A55C82C1E}"/>
            </c:ext>
          </c:extLst>
        </c:ser>
        <c:dLbls>
          <c:showLegendKey val="0"/>
          <c:showVal val="0"/>
          <c:showCatName val="0"/>
          <c:showSerName val="0"/>
          <c:showPercent val="0"/>
          <c:showBubbleSize val="0"/>
        </c:dLbls>
        <c:smooth val="0"/>
        <c:axId val="487597839"/>
        <c:axId val="487599759"/>
      </c:lineChart>
      <c:catAx>
        <c:axId val="48759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487599759"/>
        <c:crosses val="autoZero"/>
        <c:auto val="1"/>
        <c:lblAlgn val="ctr"/>
        <c:lblOffset val="100"/>
        <c:noMultiLvlLbl val="0"/>
      </c:catAx>
      <c:valAx>
        <c:axId val="487599759"/>
        <c:scaling>
          <c:orientation val="minMax"/>
        </c:scaling>
        <c:delete val="0"/>
        <c:axPos val="l"/>
        <c:majorGridlines>
          <c:spPr>
            <a:ln w="9525" cap="flat" cmpd="sng" algn="ctr">
              <a:solidFill>
                <a:schemeClr val="bg1">
                  <a:lumMod val="95000"/>
                </a:schemeClr>
              </a:solidFill>
              <a:round/>
            </a:ln>
            <a:effectLst/>
          </c:spPr>
        </c:majorGridlines>
        <c:numFmt formatCode="[&lt;999950]0.0,&quot;K&quot;;[&lt;999950000]0.0,,&quot;M&quot;;0.0,,,&quot;B&quot;" sourceLinked="1"/>
        <c:majorTickMark val="none"/>
        <c:minorTickMark val="none"/>
        <c:tickLblPos val="nextTo"/>
        <c:spPr>
          <a:noFill/>
          <a:ln>
            <a:noFill/>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487597839"/>
        <c:crosses val="autoZero"/>
        <c:crossBetween val="between"/>
      </c:valAx>
      <c:spPr>
        <a:noFill/>
        <a:ln>
          <a:noFill/>
        </a:ln>
        <a:effectLst/>
      </c:spPr>
    </c:plotArea>
    <c:legend>
      <c:legendPos val="r"/>
      <c:layout>
        <c:manualLayout>
          <c:xMode val="edge"/>
          <c:yMode val="edge"/>
          <c:x val="0.73998227104787173"/>
          <c:y val="0.39002448114319888"/>
          <c:w val="0.22604779708007036"/>
          <c:h val="0.48238752545979546"/>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Tables!Training_sales</c:name>
    <c:fmtId val="1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933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483725076799499E-2"/>
          <c:y val="0.14398612147520667"/>
          <c:w val="0.9101287243586218"/>
          <c:h val="0.62536824681649505"/>
        </c:manualLayout>
      </c:layout>
      <c:barChart>
        <c:barDir val="col"/>
        <c:grouping val="clustered"/>
        <c:varyColors val="0"/>
        <c:ser>
          <c:idx val="0"/>
          <c:order val="0"/>
          <c:tx>
            <c:strRef>
              <c:f>'Pivot Tables'!$CM$7</c:f>
              <c:strCache>
                <c:ptCount val="1"/>
                <c:pt idx="0">
                  <c:v>Total</c:v>
                </c:pt>
              </c:strCache>
            </c:strRef>
          </c:tx>
          <c:spPr>
            <a:solidFill>
              <a:srgbClr val="9933FF"/>
            </a:solidFill>
            <a:ln>
              <a:noFill/>
            </a:ln>
            <a:effectLst/>
          </c:spPr>
          <c:invertIfNegative val="0"/>
          <c:cat>
            <c:multiLvlStrRef>
              <c:f>'Pivot Tables'!$CL$8:$CL$27</c:f>
              <c:multiLvlStrCache>
                <c:ptCount val="15"/>
                <c:lvl>
                  <c:pt idx="0">
                    <c:v>BE</c:v>
                  </c:pt>
                  <c:pt idx="1">
                    <c:v>CNI</c:v>
                  </c:pt>
                  <c:pt idx="2">
                    <c:v>GK</c:v>
                  </c:pt>
                  <c:pt idx="3">
                    <c:v>BE</c:v>
                  </c:pt>
                  <c:pt idx="4">
                    <c:v>CNI</c:v>
                  </c:pt>
                  <c:pt idx="5">
                    <c:v>FC</c:v>
                  </c:pt>
                  <c:pt idx="6">
                    <c:v>GK</c:v>
                  </c:pt>
                  <c:pt idx="7">
                    <c:v>BE</c:v>
                  </c:pt>
                  <c:pt idx="8">
                    <c:v>CNI</c:v>
                  </c:pt>
                  <c:pt idx="9">
                    <c:v>FC</c:v>
                  </c:pt>
                  <c:pt idx="10">
                    <c:v>GK</c:v>
                  </c:pt>
                  <c:pt idx="11">
                    <c:v>BE</c:v>
                  </c:pt>
                  <c:pt idx="12">
                    <c:v>CNI</c:v>
                  </c:pt>
                  <c:pt idx="13">
                    <c:v>FC</c:v>
                  </c:pt>
                  <c:pt idx="14">
                    <c:v>GK</c:v>
                  </c:pt>
                </c:lvl>
                <c:lvl>
                  <c:pt idx="0">
                    <c:v>Abdullah</c:v>
                  </c:pt>
                  <c:pt idx="3">
                    <c:v>Ahmed</c:v>
                  </c:pt>
                  <c:pt idx="7">
                    <c:v>Mohammed</c:v>
                  </c:pt>
                  <c:pt idx="11">
                    <c:v>Salah</c:v>
                  </c:pt>
                </c:lvl>
              </c:multiLvlStrCache>
            </c:multiLvlStrRef>
          </c:cat>
          <c:val>
            <c:numRef>
              <c:f>'Pivot Tables'!$CM$8:$CM$27</c:f>
              <c:numCache>
                <c:formatCode>[&lt;999950]0.0,"K";[&lt;999950000]0.0,,"M";0.0,,,"B"</c:formatCode>
                <c:ptCount val="15"/>
                <c:pt idx="0">
                  <c:v>513000000</c:v>
                </c:pt>
                <c:pt idx="1">
                  <c:v>146000000</c:v>
                </c:pt>
                <c:pt idx="2">
                  <c:v>1920000000</c:v>
                </c:pt>
                <c:pt idx="3">
                  <c:v>703000000</c:v>
                </c:pt>
                <c:pt idx="4">
                  <c:v>284000000</c:v>
                </c:pt>
                <c:pt idx="5">
                  <c:v>95000000</c:v>
                </c:pt>
                <c:pt idx="6">
                  <c:v>1669000000</c:v>
                </c:pt>
                <c:pt idx="7">
                  <c:v>1254000000</c:v>
                </c:pt>
                <c:pt idx="8">
                  <c:v>410000000</c:v>
                </c:pt>
                <c:pt idx="9">
                  <c:v>114000000</c:v>
                </c:pt>
                <c:pt idx="10">
                  <c:v>3594000000</c:v>
                </c:pt>
                <c:pt idx="11">
                  <c:v>1425000000</c:v>
                </c:pt>
                <c:pt idx="12">
                  <c:v>417000000</c:v>
                </c:pt>
                <c:pt idx="13">
                  <c:v>38000000</c:v>
                </c:pt>
                <c:pt idx="14">
                  <c:v>3408000000</c:v>
                </c:pt>
              </c:numCache>
            </c:numRef>
          </c:val>
          <c:extLst>
            <c:ext xmlns:c16="http://schemas.microsoft.com/office/drawing/2014/chart" uri="{C3380CC4-5D6E-409C-BE32-E72D297353CC}">
              <c16:uniqueId val="{00000000-95D0-4B77-83DC-8A436E63D140}"/>
            </c:ext>
          </c:extLst>
        </c:ser>
        <c:dLbls>
          <c:showLegendKey val="0"/>
          <c:showVal val="0"/>
          <c:showCatName val="0"/>
          <c:showSerName val="0"/>
          <c:showPercent val="0"/>
          <c:showBubbleSize val="0"/>
        </c:dLbls>
        <c:gapWidth val="196"/>
        <c:overlap val="-28"/>
        <c:axId val="628841343"/>
        <c:axId val="628840383"/>
      </c:barChart>
      <c:catAx>
        <c:axId val="628841343"/>
        <c:scaling>
          <c:orientation val="minMax"/>
        </c:scaling>
        <c:delete val="0"/>
        <c:axPos val="b"/>
        <c:numFmt formatCode="General" sourceLinked="1"/>
        <c:majorTickMark val="out"/>
        <c:minorTickMark val="none"/>
        <c:tickLblPos val="nextTo"/>
        <c:spPr>
          <a:noFill/>
          <a:ln w="9525" cap="flat" cmpd="sng" algn="ctr">
            <a:noFill/>
            <a:round/>
          </a:ln>
          <a:effectLst/>
        </c:spPr>
        <c:txPr>
          <a:bodyPr rot="-5400000" spcFirstLastPara="1" vertOverflow="ellipsis" wrap="square" anchor="ctr" anchorCtr="1"/>
          <a:lstStyle/>
          <a:p>
            <a:pPr>
              <a:defRPr sz="5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28840383"/>
        <c:crosses val="autoZero"/>
        <c:auto val="1"/>
        <c:lblAlgn val="ctr"/>
        <c:lblOffset val="100"/>
        <c:noMultiLvlLbl val="0"/>
      </c:catAx>
      <c:valAx>
        <c:axId val="628840383"/>
        <c:scaling>
          <c:orientation val="minMax"/>
        </c:scaling>
        <c:delete val="1"/>
        <c:axPos val="l"/>
        <c:numFmt formatCode="[&lt;999950]0.0,&quot;K&quot;;[&lt;999950000]0.0,,&quot;M&quot;;0.0,,,&quot;B&quot;" sourceLinked="1"/>
        <c:majorTickMark val="out"/>
        <c:minorTickMark val="none"/>
        <c:tickLblPos val="nextTo"/>
        <c:crossAx val="628841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Tables!PivotTable23</c:name>
    <c:fmtId val="141"/>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12700"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12700" cap="rnd">
            <a:solidFill>
              <a:srgbClr val="0AEAE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12700" cap="rnd">
            <a:solidFill>
              <a:srgbClr val="9933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797802026904438E-2"/>
          <c:y val="3.0556636436614673E-2"/>
          <c:w val="0.85894028148570545"/>
          <c:h val="0.6015707386269632"/>
        </c:manualLayout>
      </c:layout>
      <c:lineChart>
        <c:grouping val="standard"/>
        <c:varyColors val="0"/>
        <c:ser>
          <c:idx val="0"/>
          <c:order val="0"/>
          <c:tx>
            <c:strRef>
              <c:f>'Pivot Tables'!$CT$8:$CT$9</c:f>
              <c:strCache>
                <c:ptCount val="1"/>
                <c:pt idx="0">
                  <c:v>BE</c:v>
                </c:pt>
              </c:strCache>
            </c:strRef>
          </c:tx>
          <c:spPr>
            <a:ln w="12700" cap="rnd">
              <a:solidFill>
                <a:srgbClr val="FFC000"/>
              </a:solidFill>
              <a:round/>
            </a:ln>
            <a:effectLst/>
          </c:spPr>
          <c:marker>
            <c:symbol val="none"/>
          </c:marker>
          <c:cat>
            <c:strRef>
              <c:f>'Pivot Tables'!$CS$10:$CS$26</c:f>
              <c:strCache>
                <c:ptCount val="16"/>
                <c:pt idx="0">
                  <c:v>Jood</c:v>
                </c:pt>
                <c:pt idx="1">
                  <c:v>Habib</c:v>
                </c:pt>
                <c:pt idx="2">
                  <c:v>Adam</c:v>
                </c:pt>
                <c:pt idx="3">
                  <c:v>Kenza</c:v>
                </c:pt>
                <c:pt idx="4">
                  <c:v>Ahmed</c:v>
                </c:pt>
                <c:pt idx="5">
                  <c:v>Dina</c:v>
                </c:pt>
                <c:pt idx="6">
                  <c:v>Hisham</c:v>
                </c:pt>
                <c:pt idx="7">
                  <c:v>John</c:v>
                </c:pt>
                <c:pt idx="8">
                  <c:v>Sahar</c:v>
                </c:pt>
                <c:pt idx="9">
                  <c:v>Khalil</c:v>
                </c:pt>
                <c:pt idx="10">
                  <c:v>Reham</c:v>
                </c:pt>
                <c:pt idx="11">
                  <c:v>Kisho</c:v>
                </c:pt>
                <c:pt idx="12">
                  <c:v>Dary</c:v>
                </c:pt>
                <c:pt idx="13">
                  <c:v>Hany</c:v>
                </c:pt>
                <c:pt idx="14">
                  <c:v>Rony</c:v>
                </c:pt>
                <c:pt idx="15">
                  <c:v>Mohmed</c:v>
                </c:pt>
              </c:strCache>
            </c:strRef>
          </c:cat>
          <c:val>
            <c:numRef>
              <c:f>'Pivot Tables'!$CT$10:$CT$26</c:f>
              <c:numCache>
                <c:formatCode>[&lt;999950]0.0,"K";[&lt;999950000]0.0,,"M";0.0,,,"B"</c:formatCode>
                <c:ptCount val="16"/>
                <c:pt idx="0">
                  <c:v>95000000</c:v>
                </c:pt>
                <c:pt idx="1">
                  <c:v>38000000</c:v>
                </c:pt>
                <c:pt idx="2">
                  <c:v>152000000</c:v>
                </c:pt>
                <c:pt idx="3">
                  <c:v>171000000</c:v>
                </c:pt>
                <c:pt idx="4">
                  <c:v>114000000</c:v>
                </c:pt>
                <c:pt idx="5">
                  <c:v>247000000</c:v>
                </c:pt>
                <c:pt idx="6">
                  <c:v>171000000</c:v>
                </c:pt>
                <c:pt idx="7">
                  <c:v>171000000</c:v>
                </c:pt>
                <c:pt idx="8">
                  <c:v>285000000</c:v>
                </c:pt>
                <c:pt idx="9">
                  <c:v>114000000</c:v>
                </c:pt>
                <c:pt idx="10">
                  <c:v>228000000</c:v>
                </c:pt>
                <c:pt idx="11">
                  <c:v>247000000</c:v>
                </c:pt>
                <c:pt idx="12">
                  <c:v>475000000</c:v>
                </c:pt>
                <c:pt idx="13">
                  <c:v>589000000</c:v>
                </c:pt>
                <c:pt idx="14">
                  <c:v>551000000</c:v>
                </c:pt>
                <c:pt idx="15">
                  <c:v>247000000</c:v>
                </c:pt>
              </c:numCache>
            </c:numRef>
          </c:val>
          <c:smooth val="0"/>
          <c:extLst>
            <c:ext xmlns:c16="http://schemas.microsoft.com/office/drawing/2014/chart" uri="{C3380CC4-5D6E-409C-BE32-E72D297353CC}">
              <c16:uniqueId val="{00000000-60B7-46AC-AC03-C4AB816CE965}"/>
            </c:ext>
          </c:extLst>
        </c:ser>
        <c:ser>
          <c:idx val="1"/>
          <c:order val="1"/>
          <c:tx>
            <c:strRef>
              <c:f>'Pivot Tables'!$CU$8:$CU$9</c:f>
              <c:strCache>
                <c:ptCount val="1"/>
                <c:pt idx="0">
                  <c:v>CNI</c:v>
                </c:pt>
              </c:strCache>
            </c:strRef>
          </c:tx>
          <c:spPr>
            <a:ln w="12700" cap="rnd">
              <a:solidFill>
                <a:srgbClr val="0AEAE0"/>
              </a:solidFill>
              <a:round/>
            </a:ln>
            <a:effectLst/>
          </c:spPr>
          <c:marker>
            <c:symbol val="none"/>
          </c:marker>
          <c:cat>
            <c:strRef>
              <c:f>'Pivot Tables'!$CS$10:$CS$26</c:f>
              <c:strCache>
                <c:ptCount val="16"/>
                <c:pt idx="0">
                  <c:v>Jood</c:v>
                </c:pt>
                <c:pt idx="1">
                  <c:v>Habib</c:v>
                </c:pt>
                <c:pt idx="2">
                  <c:v>Adam</c:v>
                </c:pt>
                <c:pt idx="3">
                  <c:v>Kenza</c:v>
                </c:pt>
                <c:pt idx="4">
                  <c:v>Ahmed</c:v>
                </c:pt>
                <c:pt idx="5">
                  <c:v>Dina</c:v>
                </c:pt>
                <c:pt idx="6">
                  <c:v>Hisham</c:v>
                </c:pt>
                <c:pt idx="7">
                  <c:v>John</c:v>
                </c:pt>
                <c:pt idx="8">
                  <c:v>Sahar</c:v>
                </c:pt>
                <c:pt idx="9">
                  <c:v>Khalil</c:v>
                </c:pt>
                <c:pt idx="10">
                  <c:v>Reham</c:v>
                </c:pt>
                <c:pt idx="11">
                  <c:v>Kisho</c:v>
                </c:pt>
                <c:pt idx="12">
                  <c:v>Dary</c:v>
                </c:pt>
                <c:pt idx="13">
                  <c:v>Hany</c:v>
                </c:pt>
                <c:pt idx="14">
                  <c:v>Rony</c:v>
                </c:pt>
                <c:pt idx="15">
                  <c:v>Mohmed</c:v>
                </c:pt>
              </c:strCache>
            </c:strRef>
          </c:cat>
          <c:val>
            <c:numRef>
              <c:f>'Pivot Tables'!$CU$10:$CU$26</c:f>
              <c:numCache>
                <c:formatCode>[&lt;999950]0.0,"K";[&lt;999950000]0.0,,"M";0.0,,,"B"</c:formatCode>
                <c:ptCount val="16"/>
                <c:pt idx="0">
                  <c:v>22000000</c:v>
                </c:pt>
                <c:pt idx="1">
                  <c:v>11000000</c:v>
                </c:pt>
                <c:pt idx="2">
                  <c:v>11000000</c:v>
                </c:pt>
                <c:pt idx="3">
                  <c:v>100000000</c:v>
                </c:pt>
                <c:pt idx="4">
                  <c:v>100000000</c:v>
                </c:pt>
                <c:pt idx="5">
                  <c:v>60000000</c:v>
                </c:pt>
                <c:pt idx="6">
                  <c:v>20000000</c:v>
                </c:pt>
                <c:pt idx="7">
                  <c:v>113000000</c:v>
                </c:pt>
                <c:pt idx="8">
                  <c:v>40000000</c:v>
                </c:pt>
                <c:pt idx="9">
                  <c:v>122000000</c:v>
                </c:pt>
                <c:pt idx="10">
                  <c:v>115000000</c:v>
                </c:pt>
                <c:pt idx="11">
                  <c:v>97000000</c:v>
                </c:pt>
                <c:pt idx="12">
                  <c:v>82000000</c:v>
                </c:pt>
                <c:pt idx="13">
                  <c:v>162000000</c:v>
                </c:pt>
                <c:pt idx="14">
                  <c:v>60000000</c:v>
                </c:pt>
                <c:pt idx="15">
                  <c:v>142000000</c:v>
                </c:pt>
              </c:numCache>
            </c:numRef>
          </c:val>
          <c:smooth val="0"/>
          <c:extLst>
            <c:ext xmlns:c16="http://schemas.microsoft.com/office/drawing/2014/chart" uri="{C3380CC4-5D6E-409C-BE32-E72D297353CC}">
              <c16:uniqueId val="{00000001-60B7-46AC-AC03-C4AB816CE965}"/>
            </c:ext>
          </c:extLst>
        </c:ser>
        <c:ser>
          <c:idx val="2"/>
          <c:order val="2"/>
          <c:tx>
            <c:strRef>
              <c:f>'Pivot Tables'!$CV$8:$CV$9</c:f>
              <c:strCache>
                <c:ptCount val="1"/>
                <c:pt idx="0">
                  <c:v>FC</c:v>
                </c:pt>
              </c:strCache>
            </c:strRef>
          </c:tx>
          <c:spPr>
            <a:ln w="28575" cap="rnd">
              <a:solidFill>
                <a:schemeClr val="accent3"/>
              </a:solidFill>
              <a:round/>
            </a:ln>
            <a:effectLst/>
          </c:spPr>
          <c:marker>
            <c:symbol val="none"/>
          </c:marker>
          <c:cat>
            <c:strRef>
              <c:f>'Pivot Tables'!$CS$10:$CS$26</c:f>
              <c:strCache>
                <c:ptCount val="16"/>
                <c:pt idx="0">
                  <c:v>Jood</c:v>
                </c:pt>
                <c:pt idx="1">
                  <c:v>Habib</c:v>
                </c:pt>
                <c:pt idx="2">
                  <c:v>Adam</c:v>
                </c:pt>
                <c:pt idx="3">
                  <c:v>Kenza</c:v>
                </c:pt>
                <c:pt idx="4">
                  <c:v>Ahmed</c:v>
                </c:pt>
                <c:pt idx="5">
                  <c:v>Dina</c:v>
                </c:pt>
                <c:pt idx="6">
                  <c:v>Hisham</c:v>
                </c:pt>
                <c:pt idx="7">
                  <c:v>John</c:v>
                </c:pt>
                <c:pt idx="8">
                  <c:v>Sahar</c:v>
                </c:pt>
                <c:pt idx="9">
                  <c:v>Khalil</c:v>
                </c:pt>
                <c:pt idx="10">
                  <c:v>Reham</c:v>
                </c:pt>
                <c:pt idx="11">
                  <c:v>Kisho</c:v>
                </c:pt>
                <c:pt idx="12">
                  <c:v>Dary</c:v>
                </c:pt>
                <c:pt idx="13">
                  <c:v>Hany</c:v>
                </c:pt>
                <c:pt idx="14">
                  <c:v>Rony</c:v>
                </c:pt>
                <c:pt idx="15">
                  <c:v>Mohmed</c:v>
                </c:pt>
              </c:strCache>
            </c:strRef>
          </c:cat>
          <c:val>
            <c:numRef>
              <c:f>'Pivot Tables'!$CV$10:$CV$26</c:f>
              <c:numCache>
                <c:formatCode>[&lt;999950]0.0,"K";[&lt;999950000]0.0,,"M";0.0,,,"B"</c:formatCode>
                <c:ptCount val="16"/>
                <c:pt idx="1">
                  <c:v>38000000</c:v>
                </c:pt>
                <c:pt idx="7">
                  <c:v>38000000</c:v>
                </c:pt>
                <c:pt idx="9">
                  <c:v>19000000</c:v>
                </c:pt>
                <c:pt idx="13">
                  <c:v>76000000</c:v>
                </c:pt>
                <c:pt idx="15">
                  <c:v>76000000</c:v>
                </c:pt>
              </c:numCache>
            </c:numRef>
          </c:val>
          <c:smooth val="0"/>
          <c:extLst>
            <c:ext xmlns:c16="http://schemas.microsoft.com/office/drawing/2014/chart" uri="{C3380CC4-5D6E-409C-BE32-E72D297353CC}">
              <c16:uniqueId val="{00000005-60B7-46AC-AC03-C4AB816CE965}"/>
            </c:ext>
          </c:extLst>
        </c:ser>
        <c:ser>
          <c:idx val="3"/>
          <c:order val="3"/>
          <c:tx>
            <c:strRef>
              <c:f>'Pivot Tables'!$CW$8:$CW$9</c:f>
              <c:strCache>
                <c:ptCount val="1"/>
                <c:pt idx="0">
                  <c:v>GK</c:v>
                </c:pt>
              </c:strCache>
            </c:strRef>
          </c:tx>
          <c:spPr>
            <a:ln w="12700" cap="rnd">
              <a:solidFill>
                <a:srgbClr val="9933FF"/>
              </a:solidFill>
              <a:round/>
            </a:ln>
            <a:effectLst/>
          </c:spPr>
          <c:marker>
            <c:symbol val="none"/>
          </c:marker>
          <c:cat>
            <c:strRef>
              <c:f>'Pivot Tables'!$CS$10:$CS$26</c:f>
              <c:strCache>
                <c:ptCount val="16"/>
                <c:pt idx="0">
                  <c:v>Jood</c:v>
                </c:pt>
                <c:pt idx="1">
                  <c:v>Habib</c:v>
                </c:pt>
                <c:pt idx="2">
                  <c:v>Adam</c:v>
                </c:pt>
                <c:pt idx="3">
                  <c:v>Kenza</c:v>
                </c:pt>
                <c:pt idx="4">
                  <c:v>Ahmed</c:v>
                </c:pt>
                <c:pt idx="5">
                  <c:v>Dina</c:v>
                </c:pt>
                <c:pt idx="6">
                  <c:v>Hisham</c:v>
                </c:pt>
                <c:pt idx="7">
                  <c:v>John</c:v>
                </c:pt>
                <c:pt idx="8">
                  <c:v>Sahar</c:v>
                </c:pt>
                <c:pt idx="9">
                  <c:v>Khalil</c:v>
                </c:pt>
                <c:pt idx="10">
                  <c:v>Reham</c:v>
                </c:pt>
                <c:pt idx="11">
                  <c:v>Kisho</c:v>
                </c:pt>
                <c:pt idx="12">
                  <c:v>Dary</c:v>
                </c:pt>
                <c:pt idx="13">
                  <c:v>Hany</c:v>
                </c:pt>
                <c:pt idx="14">
                  <c:v>Rony</c:v>
                </c:pt>
                <c:pt idx="15">
                  <c:v>Mohmed</c:v>
                </c:pt>
              </c:strCache>
            </c:strRef>
          </c:cat>
          <c:val>
            <c:numRef>
              <c:f>'Pivot Tables'!$CW$10:$CW$26</c:f>
              <c:numCache>
                <c:formatCode>[&lt;999950]0.0,"K";[&lt;999950000]0.0,,"M";0.0,,,"B"</c:formatCode>
                <c:ptCount val="16"/>
                <c:pt idx="0">
                  <c:v>212000000</c:v>
                </c:pt>
                <c:pt idx="1">
                  <c:v>245000000</c:v>
                </c:pt>
                <c:pt idx="2">
                  <c:v>216000000</c:v>
                </c:pt>
                <c:pt idx="3">
                  <c:v>140000000</c:v>
                </c:pt>
                <c:pt idx="4">
                  <c:v>436000000</c:v>
                </c:pt>
                <c:pt idx="5">
                  <c:v>525000000</c:v>
                </c:pt>
                <c:pt idx="6">
                  <c:v>804000000</c:v>
                </c:pt>
                <c:pt idx="7">
                  <c:v>707000000</c:v>
                </c:pt>
                <c:pt idx="8">
                  <c:v>741000000</c:v>
                </c:pt>
                <c:pt idx="9">
                  <c:v>922000000</c:v>
                </c:pt>
                <c:pt idx="10">
                  <c:v>900000000</c:v>
                </c:pt>
                <c:pt idx="11">
                  <c:v>944000000</c:v>
                </c:pt>
                <c:pt idx="12">
                  <c:v>803000000</c:v>
                </c:pt>
                <c:pt idx="13">
                  <c:v>707000000</c:v>
                </c:pt>
                <c:pt idx="14">
                  <c:v>1027000000</c:v>
                </c:pt>
                <c:pt idx="15">
                  <c:v>1262000000</c:v>
                </c:pt>
              </c:numCache>
            </c:numRef>
          </c:val>
          <c:smooth val="0"/>
          <c:extLst>
            <c:ext xmlns:c16="http://schemas.microsoft.com/office/drawing/2014/chart" uri="{C3380CC4-5D6E-409C-BE32-E72D297353CC}">
              <c16:uniqueId val="{00000006-60B7-46AC-AC03-C4AB816CE965}"/>
            </c:ext>
          </c:extLst>
        </c:ser>
        <c:dLbls>
          <c:showLegendKey val="0"/>
          <c:showVal val="0"/>
          <c:showCatName val="0"/>
          <c:showSerName val="0"/>
          <c:showPercent val="0"/>
          <c:showBubbleSize val="0"/>
        </c:dLbls>
        <c:smooth val="0"/>
        <c:axId val="671507215"/>
        <c:axId val="671505295"/>
      </c:lineChart>
      <c:catAx>
        <c:axId val="6715072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671505295"/>
        <c:crosses val="autoZero"/>
        <c:auto val="1"/>
        <c:lblAlgn val="ctr"/>
        <c:lblOffset val="100"/>
        <c:noMultiLvlLbl val="0"/>
      </c:catAx>
      <c:valAx>
        <c:axId val="671505295"/>
        <c:scaling>
          <c:orientation val="minMax"/>
        </c:scaling>
        <c:delete val="0"/>
        <c:axPos val="l"/>
        <c:numFmt formatCode="[&lt;999950]0.0,&quot;K&quot;;[&lt;999950000]0.0,,&quot;M&quot;;0.0,,,&quot;B&quot;"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71507215"/>
        <c:crosses val="autoZero"/>
        <c:crossBetween val="between"/>
      </c:valAx>
      <c:spPr>
        <a:noFill/>
        <a:ln>
          <a:noFill/>
        </a:ln>
        <a:effectLst/>
      </c:spPr>
    </c:plotArea>
    <c:legend>
      <c:legendPos val="b"/>
      <c:layout>
        <c:manualLayout>
          <c:xMode val="edge"/>
          <c:yMode val="edge"/>
          <c:x val="0.13518029350104824"/>
          <c:y val="3.1261554309028952E-2"/>
          <c:w val="0.39362680060280669"/>
          <c:h val="0.12324177787671795"/>
        </c:manualLayout>
      </c:layout>
      <c:overlay val="0"/>
      <c:spPr>
        <a:noFill/>
        <a:ln>
          <a:noFill/>
        </a:ln>
        <a:effectLst/>
      </c:spPr>
      <c:txPr>
        <a:bodyPr rot="0" spcFirstLastPara="1" vertOverflow="ellipsis" vert="horz" wrap="square" anchor="ctr" anchorCtr="1"/>
        <a:lstStyle/>
        <a:p>
          <a:pPr>
            <a:defRPr sz="3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Tables!Ear_months</c:name>
    <c:fmtId val="1"/>
  </c:pivotSource>
  <c:chart>
    <c:autoTitleDeleted val="1"/>
    <c:pivotFmts>
      <c:pivotFmt>
        <c:idx val="0"/>
        <c:spPr>
          <a:ln w="15875" cap="rnd">
            <a:solidFill>
              <a:srgbClr val="8D7E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21000">
                <a:srgbClr val="FF6699">
                  <a:alpha val="41000"/>
                </a:srgbClr>
              </a:gs>
              <a:gs pos="83000">
                <a:schemeClr val="bg1"/>
              </a:gs>
              <a:gs pos="100000">
                <a:schemeClr val="bg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361695915761062E-3"/>
          <c:y val="0.28998968651557883"/>
          <c:w val="0.9390009872495908"/>
          <c:h val="0.64427823200830059"/>
        </c:manualLayout>
      </c:layout>
      <c:areaChart>
        <c:grouping val="standard"/>
        <c:varyColors val="0"/>
        <c:ser>
          <c:idx val="1"/>
          <c:order val="1"/>
          <c:tx>
            <c:strRef>
              <c:f>'Pivot Tables'!$Q$3</c:f>
              <c:strCache>
                <c:ptCount val="1"/>
                <c:pt idx="0">
                  <c:v>Sum of Paid Fees2</c:v>
                </c:pt>
              </c:strCache>
            </c:strRef>
          </c:tx>
          <c:spPr>
            <a:gradFill>
              <a:gsLst>
                <a:gs pos="21000">
                  <a:srgbClr val="FF6699">
                    <a:alpha val="41000"/>
                  </a:srgbClr>
                </a:gs>
                <a:gs pos="83000">
                  <a:schemeClr val="bg1"/>
                </a:gs>
                <a:gs pos="100000">
                  <a:schemeClr val="bg1"/>
                </a:gs>
              </a:gsLst>
              <a:lin ang="5400000" scaled="1"/>
            </a:gradFill>
            <a:ln>
              <a:noFill/>
            </a:ln>
            <a:effectLst/>
          </c:spPr>
          <c:cat>
            <c:strRef>
              <c:f>'Pivot Tables'!$O$4:$O$16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Tables'!$Q$4:$Q$16</c:f>
              <c:numCache>
                <c:formatCode>#,##0</c:formatCode>
                <c:ptCount val="12"/>
                <c:pt idx="0">
                  <c:v>984000000</c:v>
                </c:pt>
                <c:pt idx="1">
                  <c:v>1040000000</c:v>
                </c:pt>
                <c:pt idx="2">
                  <c:v>116000000</c:v>
                </c:pt>
                <c:pt idx="3">
                  <c:v>538000000</c:v>
                </c:pt>
                <c:pt idx="4">
                  <c:v>1158000000</c:v>
                </c:pt>
                <c:pt idx="5">
                  <c:v>512000000</c:v>
                </c:pt>
                <c:pt idx="6">
                  <c:v>442000000</c:v>
                </c:pt>
                <c:pt idx="7">
                  <c:v>1152000000</c:v>
                </c:pt>
                <c:pt idx="8">
                  <c:v>2178000000</c:v>
                </c:pt>
                <c:pt idx="9">
                  <c:v>3809000000</c:v>
                </c:pt>
                <c:pt idx="10">
                  <c:v>2814000000</c:v>
                </c:pt>
                <c:pt idx="11">
                  <c:v>1247000000</c:v>
                </c:pt>
              </c:numCache>
            </c:numRef>
          </c:val>
          <c:extLst>
            <c:ext xmlns:c16="http://schemas.microsoft.com/office/drawing/2014/chart" uri="{C3380CC4-5D6E-409C-BE32-E72D297353CC}">
              <c16:uniqueId val="{00000003-FAF0-4713-B807-77BABDFDCCDD}"/>
            </c:ext>
          </c:extLst>
        </c:ser>
        <c:dLbls>
          <c:showLegendKey val="0"/>
          <c:showVal val="0"/>
          <c:showCatName val="0"/>
          <c:showSerName val="0"/>
          <c:showPercent val="0"/>
          <c:showBubbleSize val="0"/>
        </c:dLbls>
        <c:axId val="1120444224"/>
        <c:axId val="1120458624"/>
      </c:areaChart>
      <c:lineChart>
        <c:grouping val="standard"/>
        <c:varyColors val="0"/>
        <c:ser>
          <c:idx val="0"/>
          <c:order val="0"/>
          <c:tx>
            <c:strRef>
              <c:f>'Pivot Tables'!$P$3</c:f>
              <c:strCache>
                <c:ptCount val="1"/>
                <c:pt idx="0">
                  <c:v>Sum of Paid Fees</c:v>
                </c:pt>
              </c:strCache>
            </c:strRef>
          </c:tx>
          <c:spPr>
            <a:ln w="15875" cap="rnd">
              <a:solidFill>
                <a:srgbClr val="8D7EF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Tables'!$O$4:$O$16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Tables'!$P$4:$P$16</c:f>
              <c:numCache>
                <c:formatCode>[&lt;999950]0.0,"K";[&lt;999950000]0.0,,"M";0.0,,,"B"</c:formatCode>
                <c:ptCount val="12"/>
                <c:pt idx="0">
                  <c:v>984000000</c:v>
                </c:pt>
                <c:pt idx="1">
                  <c:v>1040000000</c:v>
                </c:pt>
                <c:pt idx="2">
                  <c:v>116000000</c:v>
                </c:pt>
                <c:pt idx="3">
                  <c:v>538000000</c:v>
                </c:pt>
                <c:pt idx="4">
                  <c:v>1158000000</c:v>
                </c:pt>
                <c:pt idx="5">
                  <c:v>512000000</c:v>
                </c:pt>
                <c:pt idx="6">
                  <c:v>442000000</c:v>
                </c:pt>
                <c:pt idx="7">
                  <c:v>1152000000</c:v>
                </c:pt>
                <c:pt idx="8">
                  <c:v>2178000000</c:v>
                </c:pt>
                <c:pt idx="9">
                  <c:v>3809000000</c:v>
                </c:pt>
                <c:pt idx="10">
                  <c:v>2814000000</c:v>
                </c:pt>
                <c:pt idx="11">
                  <c:v>1247000000</c:v>
                </c:pt>
              </c:numCache>
            </c:numRef>
          </c:val>
          <c:smooth val="1"/>
          <c:extLst>
            <c:ext xmlns:c16="http://schemas.microsoft.com/office/drawing/2014/chart" uri="{C3380CC4-5D6E-409C-BE32-E72D297353CC}">
              <c16:uniqueId val="{00000000-FAF0-4713-B807-77BABDFDCCDD}"/>
            </c:ext>
          </c:extLst>
        </c:ser>
        <c:dLbls>
          <c:dLblPos val="t"/>
          <c:showLegendKey val="0"/>
          <c:showVal val="1"/>
          <c:showCatName val="0"/>
          <c:showSerName val="0"/>
          <c:showPercent val="0"/>
          <c:showBubbleSize val="0"/>
        </c:dLbls>
        <c:marker val="1"/>
        <c:smooth val="0"/>
        <c:axId val="1120444224"/>
        <c:axId val="1120458624"/>
      </c:lineChart>
      <c:catAx>
        <c:axId val="1120444224"/>
        <c:scaling>
          <c:orientation val="minMax"/>
        </c:scaling>
        <c:delete val="1"/>
        <c:axPos val="b"/>
        <c:numFmt formatCode="General" sourceLinked="1"/>
        <c:majorTickMark val="none"/>
        <c:minorTickMark val="none"/>
        <c:tickLblPos val="nextTo"/>
        <c:crossAx val="1120458624"/>
        <c:crosses val="autoZero"/>
        <c:auto val="1"/>
        <c:lblAlgn val="ctr"/>
        <c:lblOffset val="100"/>
        <c:noMultiLvlLbl val="0"/>
      </c:catAx>
      <c:valAx>
        <c:axId val="1120458624"/>
        <c:scaling>
          <c:orientation val="minMax"/>
        </c:scaling>
        <c:delete val="1"/>
        <c:axPos val="l"/>
        <c:numFmt formatCode="#,##0" sourceLinked="1"/>
        <c:majorTickMark val="none"/>
        <c:minorTickMark val="none"/>
        <c:tickLblPos val="nextTo"/>
        <c:crossAx val="1120444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Tables!PivotTable6</c:name>
    <c:fmtId val="29"/>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19050">
            <a:solidFill>
              <a:schemeClr val="lt1"/>
            </a:solidFill>
          </a:ln>
          <a:effectLst/>
        </c:spPr>
      </c:pivotFmt>
      <c:pivotFmt>
        <c:idx val="2"/>
        <c:spPr>
          <a:solidFill>
            <a:schemeClr val="bg1">
              <a:lumMod val="95000"/>
            </a:schemeClr>
          </a:solidFill>
          <a:ln w="19050">
            <a:solidFill>
              <a:schemeClr val="lt1"/>
            </a:solidFill>
          </a:ln>
          <a:effectLst/>
        </c:spPr>
      </c:pivotFmt>
    </c:pivotFmts>
    <c:plotArea>
      <c:layout>
        <c:manualLayout>
          <c:layoutTarget val="inner"/>
          <c:xMode val="edge"/>
          <c:yMode val="edge"/>
          <c:x val="4.0590946992634956E-2"/>
          <c:y val="5.6044433784067399E-2"/>
          <c:w val="0.95969597435775378"/>
          <c:h val="0.90695606404371554"/>
        </c:manualLayout>
      </c:layout>
      <c:doughnutChart>
        <c:varyColors val="1"/>
        <c:ser>
          <c:idx val="0"/>
          <c:order val="0"/>
          <c:tx>
            <c:strRef>
              <c:f>'Pivot Tables'!$V$5</c:f>
              <c:strCache>
                <c:ptCount val="1"/>
                <c:pt idx="0">
                  <c:v>Total</c:v>
                </c:pt>
              </c:strCache>
            </c:strRef>
          </c:tx>
          <c:spPr>
            <a:solidFill>
              <a:schemeClr val="accent2"/>
            </a:solidFill>
          </c:spPr>
          <c:dPt>
            <c:idx val="0"/>
            <c:bubble3D val="0"/>
            <c:spPr>
              <a:solidFill>
                <a:srgbClr val="92D050"/>
              </a:solidFill>
              <a:ln w="19050">
                <a:solidFill>
                  <a:schemeClr val="lt1"/>
                </a:solidFill>
              </a:ln>
              <a:effectLst/>
            </c:spPr>
            <c:extLst>
              <c:ext xmlns:c16="http://schemas.microsoft.com/office/drawing/2014/chart" uri="{C3380CC4-5D6E-409C-BE32-E72D297353CC}">
                <c16:uniqueId val="{00000002-FE7B-486A-B732-98294CF3AF4D}"/>
              </c:ext>
            </c:extLst>
          </c:dPt>
          <c:dPt>
            <c:idx val="1"/>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3-FE7B-486A-B732-98294CF3AF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Tables'!$U$6:$U$8</c:f>
              <c:strCache>
                <c:ptCount val="2"/>
                <c:pt idx="0">
                  <c:v>Paid</c:v>
                </c:pt>
                <c:pt idx="1">
                  <c:v>Not Paid</c:v>
                </c:pt>
              </c:strCache>
            </c:strRef>
          </c:cat>
          <c:val>
            <c:numRef>
              <c:f>'Pivot Tables'!$V$6:$V$8</c:f>
              <c:numCache>
                <c:formatCode>General</c:formatCode>
                <c:ptCount val="2"/>
                <c:pt idx="0">
                  <c:v>926</c:v>
                </c:pt>
                <c:pt idx="1">
                  <c:v>311</c:v>
                </c:pt>
              </c:numCache>
            </c:numRef>
          </c:val>
          <c:extLst>
            <c:ext xmlns:c16="http://schemas.microsoft.com/office/drawing/2014/chart" uri="{C3380CC4-5D6E-409C-BE32-E72D297353CC}">
              <c16:uniqueId val="{00000000-FE7B-486A-B732-98294CF3AF4D}"/>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Tables!PivotTable6</c:name>
    <c:fmtId val="35"/>
  </c:pivotSource>
  <c:chart>
    <c:autoTitleDeleted val="1"/>
    <c:pivotFmts>
      <c:pivotFmt>
        <c:idx val="0"/>
        <c:spPr>
          <a:solidFill>
            <a:srgbClr val="FF6699"/>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95000"/>
            </a:schemeClr>
          </a:solidFill>
          <a:ln w="19050">
            <a:solidFill>
              <a:schemeClr val="lt1"/>
            </a:solidFill>
          </a:ln>
          <a:effectLst/>
        </c:spPr>
      </c:pivotFmt>
      <c:pivotFmt>
        <c:idx val="2"/>
        <c:spPr>
          <a:solidFill>
            <a:srgbClr val="FF6699"/>
          </a:solidFill>
          <a:ln w="19050">
            <a:solidFill>
              <a:schemeClr val="lt1"/>
            </a:solidFill>
          </a:ln>
          <a:effectLst/>
        </c:spPr>
      </c:pivotFmt>
    </c:pivotFmts>
    <c:plotArea>
      <c:layout/>
      <c:doughnutChart>
        <c:varyColors val="1"/>
        <c:ser>
          <c:idx val="0"/>
          <c:order val="0"/>
          <c:tx>
            <c:strRef>
              <c:f>'Pivot Tables'!$V$5</c:f>
              <c:strCache>
                <c:ptCount val="1"/>
                <c:pt idx="0">
                  <c:v>Total</c:v>
                </c:pt>
              </c:strCache>
            </c:strRef>
          </c:tx>
          <c:spPr>
            <a:solidFill>
              <a:srgbClr val="FF6699"/>
            </a:solidFill>
          </c:spPr>
          <c:dPt>
            <c:idx val="0"/>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2-36C3-4EDA-968E-99B6FE701F2D}"/>
              </c:ext>
            </c:extLst>
          </c:dPt>
          <c:dPt>
            <c:idx val="1"/>
            <c:bubble3D val="0"/>
            <c:spPr>
              <a:solidFill>
                <a:srgbClr val="FF6699"/>
              </a:solidFill>
              <a:ln w="19050">
                <a:solidFill>
                  <a:schemeClr val="lt1"/>
                </a:solidFill>
              </a:ln>
              <a:effectLst/>
            </c:spPr>
            <c:extLst>
              <c:ext xmlns:c16="http://schemas.microsoft.com/office/drawing/2014/chart" uri="{C3380CC4-5D6E-409C-BE32-E72D297353CC}">
                <c16:uniqueId val="{00000003-942B-4ED7-92A6-6AC0C238C40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Tables'!$U$6:$U$8</c:f>
              <c:strCache>
                <c:ptCount val="2"/>
                <c:pt idx="0">
                  <c:v>Paid</c:v>
                </c:pt>
                <c:pt idx="1">
                  <c:v>Not Paid</c:v>
                </c:pt>
              </c:strCache>
            </c:strRef>
          </c:cat>
          <c:val>
            <c:numRef>
              <c:f>'Pivot Tables'!$V$6:$V$8</c:f>
              <c:numCache>
                <c:formatCode>General</c:formatCode>
                <c:ptCount val="2"/>
                <c:pt idx="0">
                  <c:v>926</c:v>
                </c:pt>
                <c:pt idx="1">
                  <c:v>311</c:v>
                </c:pt>
              </c:numCache>
            </c:numRef>
          </c:val>
          <c:extLst>
            <c:ext xmlns:c16="http://schemas.microsoft.com/office/drawing/2014/chart" uri="{C3380CC4-5D6E-409C-BE32-E72D297353CC}">
              <c16:uniqueId val="{00000000-36C3-4EDA-968E-99B6FE701F2D}"/>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Tables!Enr_months</c:name>
    <c:fmtId val="27"/>
  </c:pivotSource>
  <c:chart>
    <c:autoTitleDeleted val="1"/>
    <c:pivotFmts>
      <c:pivotFmt>
        <c:idx val="0"/>
        <c:spPr>
          <a:ln w="19050" cap="rnd">
            <a:solidFill>
              <a:srgbClr val="8D7E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Tables'!$Z$4</c:f>
              <c:strCache>
                <c:ptCount val="1"/>
                <c:pt idx="0">
                  <c:v>Total</c:v>
                </c:pt>
              </c:strCache>
            </c:strRef>
          </c:tx>
          <c:spPr>
            <a:ln w="19050" cap="rnd">
              <a:solidFill>
                <a:srgbClr val="8D7EF3"/>
              </a:solidFill>
              <a:round/>
            </a:ln>
            <a:effectLst/>
          </c:spPr>
          <c:marker>
            <c:symbol val="none"/>
          </c:marker>
          <c:cat>
            <c:strRef>
              <c:f>'Pivot Tables'!$Y$5:$Y$17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Tables'!$Z$5:$Z$17</c:f>
              <c:numCache>
                <c:formatCode>#,##0</c:formatCode>
                <c:ptCount val="12"/>
                <c:pt idx="0">
                  <c:v>170</c:v>
                </c:pt>
                <c:pt idx="1">
                  <c:v>162</c:v>
                </c:pt>
                <c:pt idx="2">
                  <c:v>12</c:v>
                </c:pt>
                <c:pt idx="3">
                  <c:v>102</c:v>
                </c:pt>
                <c:pt idx="4">
                  <c:v>174</c:v>
                </c:pt>
                <c:pt idx="5">
                  <c:v>96</c:v>
                </c:pt>
                <c:pt idx="6">
                  <c:v>60</c:v>
                </c:pt>
                <c:pt idx="7">
                  <c:v>189</c:v>
                </c:pt>
                <c:pt idx="8">
                  <c:v>387</c:v>
                </c:pt>
                <c:pt idx="9">
                  <c:v>617</c:v>
                </c:pt>
                <c:pt idx="10">
                  <c:v>468</c:v>
                </c:pt>
                <c:pt idx="11">
                  <c:v>206</c:v>
                </c:pt>
              </c:numCache>
            </c:numRef>
          </c:val>
          <c:smooth val="1"/>
          <c:extLst>
            <c:ext xmlns:c16="http://schemas.microsoft.com/office/drawing/2014/chart" uri="{C3380CC4-5D6E-409C-BE32-E72D297353CC}">
              <c16:uniqueId val="{00000000-1BBC-4314-A3ED-4F43439BE514}"/>
            </c:ext>
          </c:extLst>
        </c:ser>
        <c:dLbls>
          <c:showLegendKey val="0"/>
          <c:showVal val="0"/>
          <c:showCatName val="0"/>
          <c:showSerName val="0"/>
          <c:showPercent val="0"/>
          <c:showBubbleSize val="0"/>
        </c:dLbls>
        <c:smooth val="0"/>
        <c:axId val="1152521407"/>
        <c:axId val="1152518047"/>
      </c:lineChart>
      <c:catAx>
        <c:axId val="1152521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518047"/>
        <c:crosses val="autoZero"/>
        <c:auto val="1"/>
        <c:lblAlgn val="ctr"/>
        <c:lblOffset val="100"/>
        <c:noMultiLvlLbl val="0"/>
      </c:catAx>
      <c:valAx>
        <c:axId val="115251804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521407"/>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Tables!PivotTable9</c:name>
    <c:fmtId val="33"/>
  </c:pivotSource>
  <c:chart>
    <c:autoTitleDeleted val="1"/>
    <c:pivotFmts>
      <c:pivotFmt>
        <c:idx val="0"/>
        <c:spPr>
          <a:solidFill>
            <a:srgbClr val="0AEAE0">
              <a:alpha val="13000"/>
            </a:srgbClr>
          </a:solidFill>
          <a:ln w="12700">
            <a:solidFill>
              <a:srgbClr val="8D7EF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filled"/>
        <c:varyColors val="0"/>
        <c:ser>
          <c:idx val="0"/>
          <c:order val="0"/>
          <c:tx>
            <c:strRef>
              <c:f>'Pivot Tables'!$AE$4</c:f>
              <c:strCache>
                <c:ptCount val="1"/>
                <c:pt idx="0">
                  <c:v>Total</c:v>
                </c:pt>
              </c:strCache>
            </c:strRef>
          </c:tx>
          <c:spPr>
            <a:solidFill>
              <a:srgbClr val="0AEAE0">
                <a:alpha val="13000"/>
              </a:srgbClr>
            </a:solidFill>
            <a:ln w="12700">
              <a:solidFill>
                <a:srgbClr val="8D7EF3"/>
              </a:solidFill>
            </a:ln>
            <a:effectLst/>
          </c:spPr>
          <c:cat>
            <c:strRef>
              <c:f>'Pivot Tables'!$AD$5:$AD$13</c:f>
              <c:strCache>
                <c:ptCount val="8"/>
                <c:pt idx="0">
                  <c:v>A1</c:v>
                </c:pt>
                <c:pt idx="1">
                  <c:v>A2</c:v>
                </c:pt>
                <c:pt idx="2">
                  <c:v>A4</c:v>
                </c:pt>
                <c:pt idx="3">
                  <c:v>A7</c:v>
                </c:pt>
                <c:pt idx="4">
                  <c:v>B12</c:v>
                </c:pt>
                <c:pt idx="5">
                  <c:v>B13</c:v>
                </c:pt>
                <c:pt idx="6">
                  <c:v>B18</c:v>
                </c:pt>
                <c:pt idx="7">
                  <c:v>C8</c:v>
                </c:pt>
              </c:strCache>
            </c:strRef>
          </c:cat>
          <c:val>
            <c:numRef>
              <c:f>'Pivot Tables'!$AE$5:$AE$13</c:f>
              <c:numCache>
                <c:formatCode>General</c:formatCode>
                <c:ptCount val="8"/>
                <c:pt idx="0">
                  <c:v>219</c:v>
                </c:pt>
                <c:pt idx="1">
                  <c:v>185</c:v>
                </c:pt>
                <c:pt idx="2">
                  <c:v>97</c:v>
                </c:pt>
                <c:pt idx="3">
                  <c:v>100</c:v>
                </c:pt>
                <c:pt idx="4">
                  <c:v>178</c:v>
                </c:pt>
                <c:pt idx="5">
                  <c:v>104</c:v>
                </c:pt>
                <c:pt idx="6">
                  <c:v>178</c:v>
                </c:pt>
                <c:pt idx="7">
                  <c:v>176</c:v>
                </c:pt>
              </c:numCache>
            </c:numRef>
          </c:val>
          <c:extLst>
            <c:ext xmlns:c16="http://schemas.microsoft.com/office/drawing/2014/chart" uri="{C3380CC4-5D6E-409C-BE32-E72D297353CC}">
              <c16:uniqueId val="{00000000-4027-41B9-9784-A6736A3F11CB}"/>
            </c:ext>
          </c:extLst>
        </c:ser>
        <c:dLbls>
          <c:showLegendKey val="0"/>
          <c:showVal val="0"/>
          <c:showCatName val="0"/>
          <c:showSerName val="0"/>
          <c:showPercent val="0"/>
          <c:showBubbleSize val="0"/>
        </c:dLbls>
        <c:axId val="1295218527"/>
        <c:axId val="1295241087"/>
      </c:radarChart>
      <c:catAx>
        <c:axId val="129521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241087"/>
        <c:crosses val="autoZero"/>
        <c:auto val="1"/>
        <c:lblAlgn val="ctr"/>
        <c:lblOffset val="100"/>
        <c:noMultiLvlLbl val="0"/>
      </c:catAx>
      <c:valAx>
        <c:axId val="129524108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95218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Tables!PivotTable10</c:name>
    <c:fmtId val="4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AEAE0"/>
          </a:solidFill>
          <a:ln w="19050">
            <a:solidFill>
              <a:schemeClr val="lt1"/>
            </a:solidFill>
          </a:ln>
          <a:effectLst/>
        </c:spPr>
      </c:pivotFmt>
      <c:pivotFmt>
        <c:idx val="2"/>
        <c:spPr>
          <a:solidFill>
            <a:srgbClr val="8D7EF3"/>
          </a:solidFill>
          <a:ln w="19050">
            <a:solidFill>
              <a:schemeClr val="lt1"/>
            </a:solidFill>
          </a:ln>
          <a:effectLst/>
        </c:spPr>
      </c:pivotFmt>
      <c:pivotFmt>
        <c:idx val="3"/>
        <c:spPr>
          <a:solidFill>
            <a:srgbClr val="FF6699"/>
          </a:solidFill>
          <a:ln w="19050">
            <a:solidFill>
              <a:schemeClr val="lt1"/>
            </a:solidFill>
          </a:ln>
          <a:effectLst/>
        </c:spPr>
      </c:pivotFmt>
      <c:pivotFmt>
        <c:idx val="4"/>
        <c:spPr>
          <a:solidFill>
            <a:srgbClr val="FFC000"/>
          </a:solidFill>
          <a:ln w="19050">
            <a:solidFill>
              <a:schemeClr val="lt1"/>
            </a:solidFill>
          </a:ln>
          <a:effectLst/>
        </c:spPr>
      </c:pivotFmt>
    </c:pivotFmts>
    <c:plotArea>
      <c:layout>
        <c:manualLayout>
          <c:layoutTarget val="inner"/>
          <c:xMode val="edge"/>
          <c:yMode val="edge"/>
          <c:x val="0.25851033185074779"/>
          <c:y val="0.16585714545648317"/>
          <c:w val="0.54301388982036569"/>
          <c:h val="0.67812454110821763"/>
        </c:manualLayout>
      </c:layout>
      <c:pieChart>
        <c:varyColors val="1"/>
        <c:ser>
          <c:idx val="0"/>
          <c:order val="0"/>
          <c:tx>
            <c:strRef>
              <c:f>'Pivot Tables'!$AI$7</c:f>
              <c:strCache>
                <c:ptCount val="1"/>
                <c:pt idx="0">
                  <c:v>Total</c:v>
                </c:pt>
              </c:strCache>
            </c:strRef>
          </c:tx>
          <c:dPt>
            <c:idx val="0"/>
            <c:bubble3D val="0"/>
            <c:spPr>
              <a:solidFill>
                <a:srgbClr val="0AEAE0"/>
              </a:solidFill>
              <a:ln w="19050">
                <a:solidFill>
                  <a:schemeClr val="lt1"/>
                </a:solidFill>
              </a:ln>
              <a:effectLst/>
            </c:spPr>
            <c:extLst>
              <c:ext xmlns:c16="http://schemas.microsoft.com/office/drawing/2014/chart" uri="{C3380CC4-5D6E-409C-BE32-E72D297353CC}">
                <c16:uniqueId val="{00000002-2947-4DB1-B09E-A99A98D22703}"/>
              </c:ext>
            </c:extLst>
          </c:dPt>
          <c:dPt>
            <c:idx val="1"/>
            <c:bubble3D val="0"/>
            <c:spPr>
              <a:solidFill>
                <a:srgbClr val="FF6699"/>
              </a:solidFill>
              <a:ln w="19050">
                <a:solidFill>
                  <a:schemeClr val="lt1"/>
                </a:solidFill>
              </a:ln>
              <a:effectLst/>
            </c:spPr>
            <c:extLst>
              <c:ext xmlns:c16="http://schemas.microsoft.com/office/drawing/2014/chart" uri="{C3380CC4-5D6E-409C-BE32-E72D297353CC}">
                <c16:uniqueId val="{00000004-2947-4DB1-B09E-A99A98D22703}"/>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2947-4DB1-B09E-A99A98D22703}"/>
              </c:ext>
            </c:extLst>
          </c:dPt>
          <c:dPt>
            <c:idx val="3"/>
            <c:bubble3D val="0"/>
            <c:spPr>
              <a:solidFill>
                <a:srgbClr val="8D7EF3"/>
              </a:solidFill>
              <a:ln w="19050">
                <a:solidFill>
                  <a:schemeClr val="lt1"/>
                </a:solidFill>
              </a:ln>
              <a:effectLst/>
            </c:spPr>
            <c:extLst>
              <c:ext xmlns:c16="http://schemas.microsoft.com/office/drawing/2014/chart" uri="{C3380CC4-5D6E-409C-BE32-E72D297353CC}">
                <c16:uniqueId val="{00000003-2947-4DB1-B09E-A99A98D2270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Tables'!$AH$8:$AH$12</c:f>
              <c:strCache>
                <c:ptCount val="4"/>
                <c:pt idx="0">
                  <c:v>BE</c:v>
                </c:pt>
                <c:pt idx="1">
                  <c:v>CNI</c:v>
                </c:pt>
                <c:pt idx="2">
                  <c:v>FC</c:v>
                </c:pt>
                <c:pt idx="3">
                  <c:v>GK</c:v>
                </c:pt>
              </c:strCache>
            </c:strRef>
          </c:cat>
          <c:val>
            <c:numRef>
              <c:f>'Pivot Tables'!$AI$8:$AI$12</c:f>
              <c:numCache>
                <c:formatCode>[&lt;999950]0.0,"K";[&lt;999950000]0.0,,"M";0.0,,,"B"</c:formatCode>
                <c:ptCount val="4"/>
                <c:pt idx="0">
                  <c:v>3895000000</c:v>
                </c:pt>
                <c:pt idx="1">
                  <c:v>1257000000</c:v>
                </c:pt>
                <c:pt idx="2">
                  <c:v>247000000</c:v>
                </c:pt>
                <c:pt idx="3">
                  <c:v>10591000000</c:v>
                </c:pt>
              </c:numCache>
            </c:numRef>
          </c:val>
          <c:extLst>
            <c:ext xmlns:c16="http://schemas.microsoft.com/office/drawing/2014/chart" uri="{C3380CC4-5D6E-409C-BE32-E72D297353CC}">
              <c16:uniqueId val="{00000000-2947-4DB1-B09E-A99A98D2270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Tables!PivotTable11</c:name>
    <c:fmtId val="5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Tables'!$AM$7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Tables'!$AL$8:$AL$17</c:f>
              <c:strCache>
                <c:ptCount val="9"/>
                <c:pt idx="0">
                  <c:v>Fndn. L1</c:v>
                </c:pt>
                <c:pt idx="1">
                  <c:v>Fndn. L3</c:v>
                </c:pt>
                <c:pt idx="2">
                  <c:v>Fndn. L5</c:v>
                </c:pt>
                <c:pt idx="3">
                  <c:v>Fndn. L6</c:v>
                </c:pt>
                <c:pt idx="4">
                  <c:v>KJI. L4</c:v>
                </c:pt>
                <c:pt idx="5">
                  <c:v>Pre. L2</c:v>
                </c:pt>
                <c:pt idx="6">
                  <c:v>Pre. L3</c:v>
                </c:pt>
                <c:pt idx="7">
                  <c:v>Pre. L4</c:v>
                </c:pt>
                <c:pt idx="8">
                  <c:v>Pre. L8</c:v>
                </c:pt>
              </c:strCache>
            </c:strRef>
          </c:cat>
          <c:val>
            <c:numRef>
              <c:f>'Pivot Tables'!$AM$8:$AM$17</c:f>
              <c:numCache>
                <c:formatCode>[&lt;999950]0.0,"K";[&lt;999950000]0.0,,"M";0.0,,,"B"</c:formatCode>
                <c:ptCount val="9"/>
                <c:pt idx="0">
                  <c:v>2320000000</c:v>
                </c:pt>
                <c:pt idx="1">
                  <c:v>1159000000</c:v>
                </c:pt>
                <c:pt idx="2">
                  <c:v>2892000000</c:v>
                </c:pt>
                <c:pt idx="3">
                  <c:v>574000000</c:v>
                </c:pt>
                <c:pt idx="4">
                  <c:v>3337000000</c:v>
                </c:pt>
                <c:pt idx="5">
                  <c:v>1309000000</c:v>
                </c:pt>
                <c:pt idx="6">
                  <c:v>2324000000</c:v>
                </c:pt>
                <c:pt idx="7">
                  <c:v>1032000000</c:v>
                </c:pt>
                <c:pt idx="8">
                  <c:v>1043000000</c:v>
                </c:pt>
              </c:numCache>
            </c:numRef>
          </c:val>
          <c:extLst>
            <c:ext xmlns:c16="http://schemas.microsoft.com/office/drawing/2014/chart" uri="{C3380CC4-5D6E-409C-BE32-E72D297353CC}">
              <c16:uniqueId val="{00000000-45F7-4412-A714-6F5620420B7E}"/>
            </c:ext>
          </c:extLst>
        </c:ser>
        <c:dLbls>
          <c:dLblPos val="outEnd"/>
          <c:showLegendKey val="0"/>
          <c:showVal val="1"/>
          <c:showCatName val="0"/>
          <c:showSerName val="0"/>
          <c:showPercent val="0"/>
          <c:showBubbleSize val="0"/>
        </c:dLbls>
        <c:gapWidth val="182"/>
        <c:axId val="1606329119"/>
        <c:axId val="1606319519"/>
      </c:barChart>
      <c:catAx>
        <c:axId val="1606329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319519"/>
        <c:crosses val="autoZero"/>
        <c:auto val="1"/>
        <c:lblAlgn val="ctr"/>
        <c:lblOffset val="100"/>
        <c:noMultiLvlLbl val="0"/>
      </c:catAx>
      <c:valAx>
        <c:axId val="1606319519"/>
        <c:scaling>
          <c:orientation val="minMax"/>
        </c:scaling>
        <c:delete val="1"/>
        <c:axPos val="b"/>
        <c:numFmt formatCode="[&lt;999950]0.0,&quot;K&quot;;[&lt;999950000]0.0,,&quot;M&quot;;0.0,,,&quot;B&quot;" sourceLinked="1"/>
        <c:majorTickMark val="none"/>
        <c:minorTickMark val="none"/>
        <c:tickLblPos val="nextTo"/>
        <c:crossAx val="1606329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Tables!PivotTable12</c:name>
    <c:fmtId val="65"/>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Tables'!$AQ$7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Tables'!$AP$8:$AP$17</c:f>
              <c:strCache>
                <c:ptCount val="9"/>
                <c:pt idx="0">
                  <c:v>Fndn. L1</c:v>
                </c:pt>
                <c:pt idx="1">
                  <c:v>Fndn. L3</c:v>
                </c:pt>
                <c:pt idx="2">
                  <c:v>Pre. L2</c:v>
                </c:pt>
                <c:pt idx="3">
                  <c:v>Fndn. L5</c:v>
                </c:pt>
                <c:pt idx="4">
                  <c:v>KJI. L4</c:v>
                </c:pt>
                <c:pt idx="5">
                  <c:v>Pre. L3</c:v>
                </c:pt>
                <c:pt idx="6">
                  <c:v>Pre. L4</c:v>
                </c:pt>
                <c:pt idx="7">
                  <c:v>Pre. L8</c:v>
                </c:pt>
                <c:pt idx="8">
                  <c:v>Fndn. L6</c:v>
                </c:pt>
              </c:strCache>
            </c:strRef>
          </c:cat>
          <c:val>
            <c:numRef>
              <c:f>'Pivot Tables'!$AQ$8:$AQ$17</c:f>
              <c:numCache>
                <c:formatCode>#,##0</c:formatCode>
                <c:ptCount val="9"/>
                <c:pt idx="0">
                  <c:v>374</c:v>
                </c:pt>
                <c:pt idx="1">
                  <c:v>189</c:v>
                </c:pt>
                <c:pt idx="2">
                  <c:v>211</c:v>
                </c:pt>
                <c:pt idx="3">
                  <c:v>472</c:v>
                </c:pt>
                <c:pt idx="4">
                  <c:v>562</c:v>
                </c:pt>
                <c:pt idx="5">
                  <c:v>376</c:v>
                </c:pt>
                <c:pt idx="6">
                  <c:v>185</c:v>
                </c:pt>
                <c:pt idx="7">
                  <c:v>184</c:v>
                </c:pt>
                <c:pt idx="8">
                  <c:v>90</c:v>
                </c:pt>
              </c:numCache>
            </c:numRef>
          </c:val>
          <c:smooth val="0"/>
          <c:extLst>
            <c:ext xmlns:c16="http://schemas.microsoft.com/office/drawing/2014/chart" uri="{C3380CC4-5D6E-409C-BE32-E72D297353CC}">
              <c16:uniqueId val="{00000000-4D64-4930-901D-02A79E46E798}"/>
            </c:ext>
          </c:extLst>
        </c:ser>
        <c:dLbls>
          <c:showLegendKey val="0"/>
          <c:showVal val="0"/>
          <c:showCatName val="0"/>
          <c:showSerName val="0"/>
          <c:showPercent val="0"/>
          <c:showBubbleSize val="0"/>
        </c:dLbls>
        <c:marker val="1"/>
        <c:smooth val="0"/>
        <c:axId val="618930015"/>
        <c:axId val="618931455"/>
      </c:lineChart>
      <c:catAx>
        <c:axId val="618930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931455"/>
        <c:crosses val="autoZero"/>
        <c:auto val="1"/>
        <c:lblAlgn val="ctr"/>
        <c:lblOffset val="100"/>
        <c:noMultiLvlLbl val="0"/>
      </c:catAx>
      <c:valAx>
        <c:axId val="61893145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930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'Pivot Tables'!$AY$25</c:f>
              <c:strCache>
                <c:ptCount val="1"/>
                <c:pt idx="0">
                  <c:v>DURATION</c:v>
                </c:pt>
              </c:strCache>
            </c:strRef>
          </c:tx>
          <c:spPr>
            <a:ln w="28575" cap="rnd">
              <a:noFill/>
              <a:round/>
            </a:ln>
            <a:effectLst/>
          </c:spPr>
          <c:marker>
            <c:symbol val="circle"/>
            <c:size val="9"/>
            <c:spPr>
              <a:solidFill>
                <a:srgbClr val="9933FF"/>
              </a:solidFill>
              <a:ln w="9525">
                <a:noFill/>
              </a:ln>
              <a:effectLst/>
            </c:spPr>
          </c:marker>
          <c:cat>
            <c:numRef>
              <c:f>'Pivot Tables'!$AX$26:$AX$37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'Pivot Tables'!$AY$26:$AY$37</c:f>
              <c:numCache>
                <c:formatCode>mm:ss</c:formatCode>
                <c:ptCount val="12"/>
                <c:pt idx="0">
                  <c:v>3.0161179698216726E-3</c:v>
                </c:pt>
                <c:pt idx="1">
                  <c:v>2.8763440860215049E-3</c:v>
                </c:pt>
                <c:pt idx="2">
                  <c:v>1.3888888888888889E-3</c:v>
                </c:pt>
                <c:pt idx="3">
                  <c:v>3.4975405092592571E-3</c:v>
                </c:pt>
                <c:pt idx="4">
                  <c:v>3.0488351254480289E-3</c:v>
                </c:pt>
                <c:pt idx="5">
                  <c:v>2.9208002645502639E-3</c:v>
                </c:pt>
                <c:pt idx="6">
                  <c:v>2.9407051282051289E-3</c:v>
                </c:pt>
                <c:pt idx="7">
                  <c:v>3.0726650563607082E-3</c:v>
                </c:pt>
                <c:pt idx="8">
                  <c:v>3.1521213377556654E-3</c:v>
                </c:pt>
                <c:pt idx="9">
                  <c:v>3.276282366437237E-3</c:v>
                </c:pt>
                <c:pt idx="10">
                  <c:v>3.1209710501640875E-3</c:v>
                </c:pt>
                <c:pt idx="11">
                  <c:v>3.2518257694314021E-3</c:v>
                </c:pt>
              </c:numCache>
            </c:numRef>
          </c:val>
          <c:smooth val="0"/>
          <c:extLst>
            <c:ext xmlns:c16="http://schemas.microsoft.com/office/drawing/2014/chart" uri="{C3380CC4-5D6E-409C-BE32-E72D297353CC}">
              <c16:uniqueId val="{00000000-A47F-43E5-9475-E25742EA0C2A}"/>
            </c:ext>
          </c:extLst>
        </c:ser>
        <c:dLbls>
          <c:showLegendKey val="0"/>
          <c:showVal val="0"/>
          <c:showCatName val="0"/>
          <c:showSerName val="0"/>
          <c:showPercent val="0"/>
          <c:showBubbleSize val="0"/>
        </c:dLbls>
        <c:marker val="1"/>
        <c:smooth val="0"/>
        <c:axId val="1325518783"/>
        <c:axId val="1325520223"/>
      </c:lineChart>
      <c:catAx>
        <c:axId val="1325518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25520223"/>
        <c:crosses val="autoZero"/>
        <c:auto val="1"/>
        <c:lblAlgn val="ctr"/>
        <c:lblOffset val="100"/>
        <c:noMultiLvlLbl val="0"/>
      </c:catAx>
      <c:valAx>
        <c:axId val="1325520223"/>
        <c:scaling>
          <c:orientation val="minMax"/>
        </c:scaling>
        <c:delete val="0"/>
        <c:axPos val="l"/>
        <c:majorGridlines>
          <c:spPr>
            <a:ln w="9525" cap="flat" cmpd="sng" algn="ctr">
              <a:solidFill>
                <a:schemeClr val="bg1">
                  <a:lumMod val="85000"/>
                </a:schemeClr>
              </a:solidFill>
              <a:prstDash val="sysDot"/>
              <a:round/>
            </a:ln>
            <a:effectLst/>
          </c:spPr>
        </c:majorGridlines>
        <c:numFmt formatCode="mm:ss"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25518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Tables!PivotTable15</c:name>
    <c:fmtId val="70"/>
  </c:pivotSource>
  <c:chart>
    <c:autoTitleDeleted val="1"/>
    <c:pivotFmts>
      <c:pivotFmt>
        <c:idx val="0"/>
        <c:spPr>
          <a:solidFill>
            <a:srgbClr val="9933FF"/>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Tables'!$BI$8</c:f>
              <c:strCache>
                <c:ptCount val="1"/>
                <c:pt idx="0">
                  <c:v>Total</c:v>
                </c:pt>
              </c:strCache>
            </c:strRef>
          </c:tx>
          <c:spPr>
            <a:solidFill>
              <a:srgbClr val="9933FF"/>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Tables'!$BH$9:$BH$25</c:f>
              <c:strCache>
                <c:ptCount val="16"/>
                <c:pt idx="0">
                  <c:v>Adam</c:v>
                </c:pt>
                <c:pt idx="1">
                  <c:v>Ahmed</c:v>
                </c:pt>
                <c:pt idx="2">
                  <c:v>Dary</c:v>
                </c:pt>
                <c:pt idx="3">
                  <c:v>Dina</c:v>
                </c:pt>
                <c:pt idx="4">
                  <c:v>Habib</c:v>
                </c:pt>
                <c:pt idx="5">
                  <c:v>Hany</c:v>
                </c:pt>
                <c:pt idx="6">
                  <c:v>Hisham</c:v>
                </c:pt>
                <c:pt idx="7">
                  <c:v>John</c:v>
                </c:pt>
                <c:pt idx="8">
                  <c:v>Jood</c:v>
                </c:pt>
                <c:pt idx="9">
                  <c:v>Kenza</c:v>
                </c:pt>
                <c:pt idx="10">
                  <c:v>Khalil</c:v>
                </c:pt>
                <c:pt idx="11">
                  <c:v>Kisho</c:v>
                </c:pt>
                <c:pt idx="12">
                  <c:v>Mohmed</c:v>
                </c:pt>
                <c:pt idx="13">
                  <c:v>Reham</c:v>
                </c:pt>
                <c:pt idx="14">
                  <c:v>Rony</c:v>
                </c:pt>
                <c:pt idx="15">
                  <c:v>Sahar</c:v>
                </c:pt>
              </c:strCache>
            </c:strRef>
          </c:cat>
          <c:val>
            <c:numRef>
              <c:f>'Pivot Tables'!$BI$9:$BI$25</c:f>
              <c:numCache>
                <c:formatCode>[&lt;999950]0.0,"K";[&lt;999950000]0.0,,"M";0.0,,,"B"</c:formatCode>
                <c:ptCount val="16"/>
                <c:pt idx="0">
                  <c:v>379000000</c:v>
                </c:pt>
                <c:pt idx="1">
                  <c:v>650000000</c:v>
                </c:pt>
                <c:pt idx="2">
                  <c:v>1360000000</c:v>
                </c:pt>
                <c:pt idx="3">
                  <c:v>832000000</c:v>
                </c:pt>
                <c:pt idx="4">
                  <c:v>332000000</c:v>
                </c:pt>
                <c:pt idx="5">
                  <c:v>1534000000</c:v>
                </c:pt>
                <c:pt idx="6">
                  <c:v>995000000</c:v>
                </c:pt>
                <c:pt idx="7">
                  <c:v>1029000000</c:v>
                </c:pt>
                <c:pt idx="8">
                  <c:v>329000000</c:v>
                </c:pt>
                <c:pt idx="9">
                  <c:v>411000000</c:v>
                </c:pt>
                <c:pt idx="10">
                  <c:v>1177000000</c:v>
                </c:pt>
                <c:pt idx="11">
                  <c:v>1288000000</c:v>
                </c:pt>
                <c:pt idx="12">
                  <c:v>1727000000</c:v>
                </c:pt>
                <c:pt idx="13">
                  <c:v>1243000000</c:v>
                </c:pt>
                <c:pt idx="14">
                  <c:v>1638000000</c:v>
                </c:pt>
                <c:pt idx="15">
                  <c:v>1066000000</c:v>
                </c:pt>
              </c:numCache>
            </c:numRef>
          </c:val>
          <c:extLst>
            <c:ext xmlns:c16="http://schemas.microsoft.com/office/drawing/2014/chart" uri="{C3380CC4-5D6E-409C-BE32-E72D297353CC}">
              <c16:uniqueId val="{00000000-F5D8-4130-B63A-B06CC9AEFB9C}"/>
            </c:ext>
          </c:extLst>
        </c:ser>
        <c:dLbls>
          <c:dLblPos val="outEnd"/>
          <c:showLegendKey val="0"/>
          <c:showVal val="1"/>
          <c:showCatName val="0"/>
          <c:showSerName val="0"/>
          <c:showPercent val="0"/>
          <c:showBubbleSize val="0"/>
        </c:dLbls>
        <c:gapWidth val="219"/>
        <c:overlap val="-27"/>
        <c:axId val="2039183887"/>
        <c:axId val="2039185327"/>
      </c:barChart>
      <c:catAx>
        <c:axId val="2039183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185327"/>
        <c:crosses val="autoZero"/>
        <c:auto val="1"/>
        <c:lblAlgn val="ctr"/>
        <c:lblOffset val="100"/>
        <c:noMultiLvlLbl val="0"/>
      </c:catAx>
      <c:valAx>
        <c:axId val="2039185327"/>
        <c:scaling>
          <c:orientation val="minMax"/>
        </c:scaling>
        <c:delete val="1"/>
        <c:axPos val="l"/>
        <c:numFmt formatCode="[&lt;999950]0.0,&quot;K&quot;;[&lt;999950000]0.0,,&quot;M&quot;;0.0,,,&quot;B&quot;" sourceLinked="1"/>
        <c:majorTickMark val="none"/>
        <c:minorTickMark val="none"/>
        <c:tickLblPos val="nextTo"/>
        <c:crossAx val="2039183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Tables!Avg__sales</c:name>
    <c:fmtId val="8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Base"/>
          <c:showLegendKey val="0"/>
          <c:showVal val="0"/>
          <c:showCatName val="1"/>
          <c:showSerName val="0"/>
          <c:showPercent val="0"/>
          <c:showBubbleSize val="0"/>
          <c:separator> </c:separator>
          <c:extLst>
            <c:ext xmlns:c15="http://schemas.microsoft.com/office/drawing/2012/chart" uri="{CE6537A1-D6FC-4f65-9D91-7224C49458BB}"/>
          </c:extLst>
        </c:dLbl>
      </c:pivotFmt>
      <c:pivotFmt>
        <c:idx val="2"/>
        <c:spPr>
          <a:solidFill>
            <a:srgbClr val="9933FF"/>
          </a:solidFill>
          <a:ln>
            <a:noFill/>
          </a:ln>
          <a:effectLst/>
        </c:spPr>
      </c:pivotFmt>
      <c:pivotFmt>
        <c:idx val="3"/>
        <c:spPr>
          <a:solidFill>
            <a:srgbClr val="FF6699"/>
          </a:solidFill>
          <a:ln>
            <a:noFill/>
          </a:ln>
          <a:effectLst/>
        </c:spPr>
      </c:pivotFmt>
      <c:pivotFmt>
        <c:idx val="4"/>
        <c:spPr>
          <a:solidFill>
            <a:schemeClr val="accent4">
              <a:lumMod val="60000"/>
              <a:lumOff val="40000"/>
            </a:schemeClr>
          </a:solidFill>
          <a:ln>
            <a:noFill/>
          </a:ln>
          <a:effectLst/>
        </c:spPr>
      </c:pivotFmt>
      <c:pivotFmt>
        <c:idx val="5"/>
        <c:spPr>
          <a:solidFill>
            <a:srgbClr val="00B050"/>
          </a:solidFill>
          <a:ln>
            <a:noFill/>
          </a:ln>
          <a:effectLst/>
        </c:spPr>
      </c:pivotFmt>
    </c:pivotFmts>
    <c:plotArea>
      <c:layout/>
      <c:barChart>
        <c:barDir val="bar"/>
        <c:grouping val="clustered"/>
        <c:varyColors val="0"/>
        <c:ser>
          <c:idx val="0"/>
          <c:order val="0"/>
          <c:tx>
            <c:strRef>
              <c:f>'Pivot Tables'!$BD$8</c:f>
              <c:strCache>
                <c:ptCount val="1"/>
                <c:pt idx="0">
                  <c:v>Sum of Paid Fees</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6-16EC-4636-808D-B82DF92C121A}"/>
              </c:ext>
            </c:extLst>
          </c:dPt>
          <c:dPt>
            <c:idx val="1"/>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5-16EC-4636-808D-B82DF92C121A}"/>
              </c:ext>
            </c:extLst>
          </c:dPt>
          <c:dPt>
            <c:idx val="2"/>
            <c:invertIfNegative val="0"/>
            <c:bubble3D val="0"/>
            <c:spPr>
              <a:solidFill>
                <a:srgbClr val="FF6699"/>
              </a:solidFill>
              <a:ln>
                <a:noFill/>
              </a:ln>
              <a:effectLst/>
            </c:spPr>
            <c:extLst>
              <c:ext xmlns:c16="http://schemas.microsoft.com/office/drawing/2014/chart" uri="{C3380CC4-5D6E-409C-BE32-E72D297353CC}">
                <c16:uniqueId val="{00000004-16EC-4636-808D-B82DF92C121A}"/>
              </c:ext>
            </c:extLst>
          </c:dPt>
          <c:dPt>
            <c:idx val="3"/>
            <c:invertIfNegative val="0"/>
            <c:bubble3D val="0"/>
            <c:spPr>
              <a:solidFill>
                <a:srgbClr val="9933FF"/>
              </a:solidFill>
              <a:ln>
                <a:noFill/>
              </a:ln>
              <a:effectLst/>
            </c:spPr>
            <c:extLst>
              <c:ext xmlns:c16="http://schemas.microsoft.com/office/drawing/2014/chart" uri="{C3380CC4-5D6E-409C-BE32-E72D297353CC}">
                <c16:uniqueId val="{00000003-16EC-4636-808D-B82DF92C12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Tables'!$BC$9:$BC$12</c:f>
              <c:strCache>
                <c:ptCount val="4"/>
                <c:pt idx="0">
                  <c:v>Abdullah</c:v>
                </c:pt>
                <c:pt idx="1">
                  <c:v>Ahmed</c:v>
                </c:pt>
                <c:pt idx="2">
                  <c:v>Mohammed</c:v>
                </c:pt>
                <c:pt idx="3">
                  <c:v>Salah</c:v>
                </c:pt>
              </c:strCache>
            </c:strRef>
          </c:cat>
          <c:val>
            <c:numRef>
              <c:f>'Pivot Tables'!$BD$9:$BD$12</c:f>
              <c:numCache>
                <c:formatCode>[&lt;999950]0.0,"K";[&lt;999950000]0.0,,"M";0.0,,,"B"</c:formatCode>
                <c:ptCount val="4"/>
                <c:pt idx="0">
                  <c:v>2579000000</c:v>
                </c:pt>
                <c:pt idx="1">
                  <c:v>2751000000</c:v>
                </c:pt>
                <c:pt idx="2">
                  <c:v>5372000000</c:v>
                </c:pt>
                <c:pt idx="3">
                  <c:v>5288000000</c:v>
                </c:pt>
              </c:numCache>
            </c:numRef>
          </c:val>
          <c:extLst>
            <c:ext xmlns:c16="http://schemas.microsoft.com/office/drawing/2014/chart" uri="{C3380CC4-5D6E-409C-BE32-E72D297353CC}">
              <c16:uniqueId val="{00000000-16EC-4636-808D-B82DF92C121A}"/>
            </c:ext>
          </c:extLst>
        </c:ser>
        <c:ser>
          <c:idx val="1"/>
          <c:order val="1"/>
          <c:tx>
            <c:strRef>
              <c:f>'Pivot Tables'!$BE$8</c:f>
              <c:strCache>
                <c:ptCount val="1"/>
                <c:pt idx="0">
                  <c:v>Sum of Paid Fees2</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Base"/>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strRef>
              <c:f>'Pivot Tables'!$BC$9:$BC$12</c:f>
              <c:strCache>
                <c:ptCount val="4"/>
                <c:pt idx="0">
                  <c:v>Abdullah</c:v>
                </c:pt>
                <c:pt idx="1">
                  <c:v>Ahmed</c:v>
                </c:pt>
                <c:pt idx="2">
                  <c:v>Mohammed</c:v>
                </c:pt>
                <c:pt idx="3">
                  <c:v>Salah</c:v>
                </c:pt>
              </c:strCache>
            </c:strRef>
          </c:cat>
          <c:val>
            <c:numRef>
              <c:f>'Pivot Tables'!$BE$9:$BE$12</c:f>
              <c:numCache>
                <c:formatCode>#,##0</c:formatCode>
                <c:ptCount val="4"/>
                <c:pt idx="0">
                  <c:v>2579000000</c:v>
                </c:pt>
                <c:pt idx="1">
                  <c:v>2751000000</c:v>
                </c:pt>
                <c:pt idx="2">
                  <c:v>5372000000</c:v>
                </c:pt>
                <c:pt idx="3">
                  <c:v>5288000000</c:v>
                </c:pt>
              </c:numCache>
            </c:numRef>
          </c:val>
          <c:extLst>
            <c:ext xmlns:c16="http://schemas.microsoft.com/office/drawing/2014/chart" uri="{C3380CC4-5D6E-409C-BE32-E72D297353CC}">
              <c16:uniqueId val="{00000002-16EC-4636-808D-B82DF92C121A}"/>
            </c:ext>
          </c:extLst>
        </c:ser>
        <c:dLbls>
          <c:showLegendKey val="0"/>
          <c:showVal val="0"/>
          <c:showCatName val="0"/>
          <c:showSerName val="0"/>
          <c:showPercent val="0"/>
          <c:showBubbleSize val="0"/>
        </c:dLbls>
        <c:gapWidth val="182"/>
        <c:axId val="1039864256"/>
        <c:axId val="1039868096"/>
      </c:barChart>
      <c:catAx>
        <c:axId val="1039864256"/>
        <c:scaling>
          <c:orientation val="minMax"/>
        </c:scaling>
        <c:delete val="1"/>
        <c:axPos val="l"/>
        <c:numFmt formatCode="General" sourceLinked="1"/>
        <c:majorTickMark val="none"/>
        <c:minorTickMark val="none"/>
        <c:tickLblPos val="nextTo"/>
        <c:crossAx val="1039868096"/>
        <c:crosses val="autoZero"/>
        <c:auto val="1"/>
        <c:lblAlgn val="ctr"/>
        <c:lblOffset val="100"/>
        <c:noMultiLvlLbl val="0"/>
      </c:catAx>
      <c:valAx>
        <c:axId val="1039868096"/>
        <c:scaling>
          <c:orientation val="minMax"/>
        </c:scaling>
        <c:delete val="1"/>
        <c:axPos val="b"/>
        <c:numFmt formatCode="[&lt;999950]0.0,&quot;K&quot;;[&lt;999950000]0.0,,&quot;M&quot;;0.0,,,&quot;B&quot;" sourceLinked="1"/>
        <c:majorTickMark val="none"/>
        <c:minorTickMark val="none"/>
        <c:tickLblPos val="nextTo"/>
        <c:crossAx val="1039864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'Pivot Tables'!$BN$17</c:f>
              <c:strCache>
                <c:ptCount val="1"/>
                <c:pt idx="0">
                  <c:v>Youtube Channel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C1E-4FD3-90D1-369AAAA5379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C1E-4FD3-90D1-369AAAA53796}"/>
              </c:ext>
            </c:extLst>
          </c:dPt>
          <c:cat>
            <c:strRef>
              <c:f>'Pivot Tables'!$BM$18:$BM$19</c:f>
              <c:strCache>
                <c:ptCount val="1"/>
                <c:pt idx="0">
                  <c:v>Actual</c:v>
                </c:pt>
              </c:strCache>
            </c:strRef>
          </c:cat>
          <c:val>
            <c:numRef>
              <c:f>'Pivot Tables'!$BN$18:$BN$19</c:f>
              <c:numCache>
                <c:formatCode>[&lt;999950]0.0,"K";[&lt;999950000]0.0,,"M";0.0,,,"B"</c:formatCode>
                <c:ptCount val="2"/>
                <c:pt idx="0">
                  <c:v>806000000</c:v>
                </c:pt>
                <c:pt idx="1">
                  <c:v>3766000000</c:v>
                </c:pt>
              </c:numCache>
            </c:numRef>
          </c:val>
          <c:extLst>
            <c:ext xmlns:c16="http://schemas.microsoft.com/office/drawing/2014/chart" uri="{C3380CC4-5D6E-409C-BE32-E72D297353CC}">
              <c16:uniqueId val="{00000000-64B5-477D-A9AC-F2F2121788CF}"/>
            </c:ext>
          </c:extLst>
        </c:ser>
        <c:ser>
          <c:idx val="1"/>
          <c:order val="1"/>
          <c:tx>
            <c:strRef>
              <c:f>'Pivot Tables'!$BO$17</c:f>
              <c:strCache>
                <c:ptCount val="1"/>
                <c:pt idx="0">
                  <c:v>Google Ad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EC1E-4FD3-90D1-369AAAA5379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EC1E-4FD3-90D1-369AAAA53796}"/>
              </c:ext>
            </c:extLst>
          </c:dPt>
          <c:cat>
            <c:strRef>
              <c:f>'Pivot Tables'!$BM$18:$BM$19</c:f>
              <c:strCache>
                <c:ptCount val="1"/>
                <c:pt idx="0">
                  <c:v>Actual</c:v>
                </c:pt>
              </c:strCache>
            </c:strRef>
          </c:cat>
          <c:val>
            <c:numRef>
              <c:f>'Pivot Tables'!$BO$18:$BO$19</c:f>
              <c:numCache>
                <c:formatCode>[&lt;999950]0.0,"K";[&lt;999950000]0.0,,"M";0.0,,,"B"</c:formatCode>
                <c:ptCount val="2"/>
                <c:pt idx="0">
                  <c:v>1823000000</c:v>
                </c:pt>
                <c:pt idx="1">
                  <c:v>2749000000</c:v>
                </c:pt>
              </c:numCache>
            </c:numRef>
          </c:val>
          <c:extLst>
            <c:ext xmlns:c16="http://schemas.microsoft.com/office/drawing/2014/chart" uri="{C3380CC4-5D6E-409C-BE32-E72D297353CC}">
              <c16:uniqueId val="{00000001-64B5-477D-A9AC-F2F2121788CF}"/>
            </c:ext>
          </c:extLst>
        </c:ser>
        <c:ser>
          <c:idx val="2"/>
          <c:order val="2"/>
          <c:tx>
            <c:strRef>
              <c:f>'Pivot Tables'!$BP$17</c:f>
              <c:strCache>
                <c:ptCount val="1"/>
                <c:pt idx="0">
                  <c:v>WhatsApp</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EC1E-4FD3-90D1-369AAAA5379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EC1E-4FD3-90D1-369AAAA53796}"/>
              </c:ext>
            </c:extLst>
          </c:dPt>
          <c:cat>
            <c:strRef>
              <c:f>'Pivot Tables'!$BM$18:$BM$19</c:f>
              <c:strCache>
                <c:ptCount val="1"/>
                <c:pt idx="0">
                  <c:v>Actual</c:v>
                </c:pt>
              </c:strCache>
            </c:strRef>
          </c:cat>
          <c:val>
            <c:numRef>
              <c:f>'Pivot Tables'!$BP$18:$BP$19</c:f>
              <c:numCache>
                <c:formatCode>[&lt;999950]0.0,"K";[&lt;999950000]0.0,,"M";0.0,,,"B"</c:formatCode>
                <c:ptCount val="2"/>
                <c:pt idx="0">
                  <c:v>2494000000</c:v>
                </c:pt>
                <c:pt idx="1">
                  <c:v>2078000000</c:v>
                </c:pt>
              </c:numCache>
            </c:numRef>
          </c:val>
          <c:extLst>
            <c:ext xmlns:c16="http://schemas.microsoft.com/office/drawing/2014/chart" uri="{C3380CC4-5D6E-409C-BE32-E72D297353CC}">
              <c16:uniqueId val="{00000002-64B5-477D-A9AC-F2F2121788CF}"/>
            </c:ext>
          </c:extLst>
        </c:ser>
        <c:ser>
          <c:idx val="3"/>
          <c:order val="3"/>
          <c:tx>
            <c:strRef>
              <c:f>'Pivot Tables'!$BQ$17</c:f>
              <c:strCache>
                <c:ptCount val="1"/>
                <c:pt idx="0">
                  <c:v>Company Website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EC1E-4FD3-90D1-369AAAA5379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EC1E-4FD3-90D1-369AAAA53796}"/>
              </c:ext>
            </c:extLst>
          </c:dPt>
          <c:cat>
            <c:strRef>
              <c:f>'Pivot Tables'!$BM$18:$BM$19</c:f>
              <c:strCache>
                <c:ptCount val="1"/>
                <c:pt idx="0">
                  <c:v>Actual</c:v>
                </c:pt>
              </c:strCache>
            </c:strRef>
          </c:cat>
          <c:val>
            <c:numRef>
              <c:f>'Pivot Tables'!$BQ$18:$BQ$19</c:f>
              <c:numCache>
                <c:formatCode>[&lt;999950]0.0,"K";[&lt;999950000]0.0,,"M";0.0,,,"B"</c:formatCode>
                <c:ptCount val="2"/>
                <c:pt idx="0">
                  <c:v>2749000000</c:v>
                </c:pt>
                <c:pt idx="1">
                  <c:v>1823000000</c:v>
                </c:pt>
              </c:numCache>
            </c:numRef>
          </c:val>
          <c:extLst>
            <c:ext xmlns:c16="http://schemas.microsoft.com/office/drawing/2014/chart" uri="{C3380CC4-5D6E-409C-BE32-E72D297353CC}">
              <c16:uniqueId val="{00000003-64B5-477D-A9AC-F2F2121788CF}"/>
            </c:ext>
          </c:extLst>
        </c:ser>
        <c:ser>
          <c:idx val="4"/>
          <c:order val="4"/>
          <c:tx>
            <c:strRef>
              <c:f>'Pivot Tables'!$BR$17</c:f>
              <c:strCache>
                <c:ptCount val="1"/>
                <c:pt idx="0">
                  <c:v>Facebook Page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EC1E-4FD3-90D1-369AAAA5379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EC1E-4FD3-90D1-369AAAA53796}"/>
              </c:ext>
            </c:extLst>
          </c:dPt>
          <c:cat>
            <c:strRef>
              <c:f>'Pivot Tables'!$BM$18:$BM$19</c:f>
              <c:strCache>
                <c:ptCount val="1"/>
                <c:pt idx="0">
                  <c:v>Actual</c:v>
                </c:pt>
              </c:strCache>
            </c:strRef>
          </c:cat>
          <c:val>
            <c:numRef>
              <c:f>'Pivot Tables'!$BR$18:$BR$19</c:f>
              <c:numCache>
                <c:formatCode>[&lt;999950]0.0,"K";[&lt;999950000]0.0,,"M";0.0,,,"B"</c:formatCode>
                <c:ptCount val="2"/>
                <c:pt idx="0">
                  <c:v>3546000000</c:v>
                </c:pt>
                <c:pt idx="1">
                  <c:v>1026000000</c:v>
                </c:pt>
              </c:numCache>
            </c:numRef>
          </c:val>
          <c:extLst>
            <c:ext xmlns:c16="http://schemas.microsoft.com/office/drawing/2014/chart" uri="{C3380CC4-5D6E-409C-BE32-E72D297353CC}">
              <c16:uniqueId val="{00000004-64B5-477D-A9AC-F2F2121788CF}"/>
            </c:ext>
          </c:extLst>
        </c:ser>
        <c:ser>
          <c:idx val="5"/>
          <c:order val="5"/>
          <c:tx>
            <c:strRef>
              <c:f>'Pivot Tables'!$BS$17</c:f>
              <c:strCache>
                <c:ptCount val="1"/>
                <c:pt idx="0">
                  <c:v>Television Ad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EC1E-4FD3-90D1-369AAAA5379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EC1E-4FD3-90D1-369AAAA53796}"/>
              </c:ext>
            </c:extLst>
          </c:dPt>
          <c:cat>
            <c:strRef>
              <c:f>'Pivot Tables'!$BM$18:$BM$19</c:f>
              <c:strCache>
                <c:ptCount val="1"/>
                <c:pt idx="0">
                  <c:v>Actual</c:v>
                </c:pt>
              </c:strCache>
            </c:strRef>
          </c:cat>
          <c:val>
            <c:numRef>
              <c:f>'Pivot Tables'!$BS$18:$BS$19</c:f>
              <c:numCache>
                <c:formatCode>[&lt;999950]0.0,"K";[&lt;999950000]0.0,,"M";0.0,,,"B"</c:formatCode>
                <c:ptCount val="2"/>
                <c:pt idx="0">
                  <c:v>4572000000</c:v>
                </c:pt>
                <c:pt idx="1">
                  <c:v>1000000000</c:v>
                </c:pt>
              </c:numCache>
            </c:numRef>
          </c:val>
          <c:extLst>
            <c:ext xmlns:c16="http://schemas.microsoft.com/office/drawing/2014/chart" uri="{C3380CC4-5D6E-409C-BE32-E72D297353CC}">
              <c16:uniqueId val="{00000005-64B5-477D-A9AC-F2F2121788C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Tables!Call_months</c:name>
    <c:fmtId val="103"/>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45000"/>
                  <a:lumOff val="55000"/>
                </a:schemeClr>
              </a:gs>
              <a:gs pos="35000">
                <a:schemeClr val="accent1">
                  <a:lumMod val="30000"/>
                  <a:lumOff val="70000"/>
                  <a:alpha val="8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rgbClr val="9933FF"/>
              </a:gs>
              <a:gs pos="51000">
                <a:schemeClr val="accent1">
                  <a:lumMod val="30000"/>
                  <a:lumOff val="70000"/>
                  <a:alpha val="8000"/>
                </a:schemeClr>
              </a:gs>
            </a:gsLst>
            <a:lin ang="5400000" scaled="1"/>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052782703593255E-2"/>
          <c:y val="7.0995490947795392E-2"/>
          <c:w val="0.62862476483392571"/>
          <c:h val="0.8958732799432334"/>
        </c:manualLayout>
      </c:layout>
      <c:areaChart>
        <c:grouping val="standard"/>
        <c:varyColors val="0"/>
        <c:ser>
          <c:idx val="1"/>
          <c:order val="1"/>
          <c:tx>
            <c:strRef>
              <c:f>'Pivot Tables'!$BX$7</c:f>
              <c:strCache>
                <c:ptCount val="1"/>
                <c:pt idx="0">
                  <c:v>Count of Month2</c:v>
                </c:pt>
              </c:strCache>
            </c:strRef>
          </c:tx>
          <c:spPr>
            <a:gradFill>
              <a:gsLst>
                <a:gs pos="0">
                  <a:srgbClr val="9933FF"/>
                </a:gs>
                <a:gs pos="51000">
                  <a:schemeClr val="accent1">
                    <a:lumMod val="30000"/>
                    <a:lumOff val="70000"/>
                    <a:alpha val="8000"/>
                  </a:schemeClr>
                </a:gs>
              </a:gsLst>
              <a:lin ang="5400000" scaled="1"/>
            </a:gradFill>
            <a:ln w="25400">
              <a:noFill/>
            </a:ln>
            <a:effectLst/>
          </c:spPr>
          <c:cat>
            <c:strRef>
              <c:f>'Pivot Tables'!$BV$8:$BV$20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Tables'!$BX$8:$BX$20</c:f>
              <c:numCache>
                <c:formatCode>General</c:formatCode>
                <c:ptCount val="12"/>
                <c:pt idx="0">
                  <c:v>68</c:v>
                </c:pt>
                <c:pt idx="1">
                  <c:v>66</c:v>
                </c:pt>
                <c:pt idx="2">
                  <c:v>30</c:v>
                </c:pt>
                <c:pt idx="3">
                  <c:v>38</c:v>
                </c:pt>
                <c:pt idx="4">
                  <c:v>86</c:v>
                </c:pt>
                <c:pt idx="5">
                  <c:v>42</c:v>
                </c:pt>
                <c:pt idx="6">
                  <c:v>38</c:v>
                </c:pt>
                <c:pt idx="7">
                  <c:v>79</c:v>
                </c:pt>
                <c:pt idx="8">
                  <c:v>173</c:v>
                </c:pt>
                <c:pt idx="9">
                  <c:v>278</c:v>
                </c:pt>
                <c:pt idx="10">
                  <c:v>212</c:v>
                </c:pt>
                <c:pt idx="11">
                  <c:v>127</c:v>
                </c:pt>
              </c:numCache>
            </c:numRef>
          </c:val>
          <c:extLst>
            <c:ext xmlns:c16="http://schemas.microsoft.com/office/drawing/2014/chart" uri="{C3380CC4-5D6E-409C-BE32-E72D297353CC}">
              <c16:uniqueId val="{00000002-C362-491B-AB4B-6D9A9885D3D0}"/>
            </c:ext>
          </c:extLst>
        </c:ser>
        <c:dLbls>
          <c:showLegendKey val="0"/>
          <c:showVal val="0"/>
          <c:showCatName val="0"/>
          <c:showSerName val="0"/>
          <c:showPercent val="0"/>
          <c:showBubbleSize val="0"/>
        </c:dLbls>
        <c:axId val="881358288"/>
        <c:axId val="881346288"/>
      </c:areaChart>
      <c:lineChart>
        <c:grouping val="standard"/>
        <c:varyColors val="0"/>
        <c:ser>
          <c:idx val="0"/>
          <c:order val="0"/>
          <c:tx>
            <c:strRef>
              <c:f>'Pivot Tables'!$BW$7</c:f>
              <c:strCache>
                <c:ptCount val="1"/>
                <c:pt idx="0">
                  <c:v>Count of Month</c:v>
                </c:pt>
              </c:strCache>
            </c:strRef>
          </c:tx>
          <c:spPr>
            <a:ln w="28575" cap="rnd">
              <a:solidFill>
                <a:schemeClr val="accent1"/>
              </a:solidFill>
              <a:round/>
            </a:ln>
            <a:effectLst/>
          </c:spPr>
          <c:marker>
            <c:symbol val="none"/>
          </c:marker>
          <c:cat>
            <c:strRef>
              <c:f>'Pivot Tables'!$BV$8:$BV$20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Tables'!$BW$8:$BW$20</c:f>
              <c:numCache>
                <c:formatCode>General</c:formatCode>
                <c:ptCount val="12"/>
                <c:pt idx="0">
                  <c:v>68</c:v>
                </c:pt>
                <c:pt idx="1">
                  <c:v>66</c:v>
                </c:pt>
                <c:pt idx="2">
                  <c:v>30</c:v>
                </c:pt>
                <c:pt idx="3">
                  <c:v>38</c:v>
                </c:pt>
                <c:pt idx="4">
                  <c:v>86</c:v>
                </c:pt>
                <c:pt idx="5">
                  <c:v>42</c:v>
                </c:pt>
                <c:pt idx="6">
                  <c:v>38</c:v>
                </c:pt>
                <c:pt idx="7">
                  <c:v>79</c:v>
                </c:pt>
                <c:pt idx="8">
                  <c:v>173</c:v>
                </c:pt>
                <c:pt idx="9">
                  <c:v>278</c:v>
                </c:pt>
                <c:pt idx="10">
                  <c:v>212</c:v>
                </c:pt>
                <c:pt idx="11">
                  <c:v>127</c:v>
                </c:pt>
              </c:numCache>
            </c:numRef>
          </c:val>
          <c:smooth val="1"/>
          <c:extLst>
            <c:ext xmlns:c16="http://schemas.microsoft.com/office/drawing/2014/chart" uri="{C3380CC4-5D6E-409C-BE32-E72D297353CC}">
              <c16:uniqueId val="{00000000-7640-4326-941A-2C8013BF290C}"/>
            </c:ext>
          </c:extLst>
        </c:ser>
        <c:dLbls>
          <c:showLegendKey val="0"/>
          <c:showVal val="0"/>
          <c:showCatName val="0"/>
          <c:showSerName val="0"/>
          <c:showPercent val="0"/>
          <c:showBubbleSize val="0"/>
        </c:dLbls>
        <c:marker val="1"/>
        <c:smooth val="0"/>
        <c:axId val="881358288"/>
        <c:axId val="881346288"/>
      </c:lineChart>
      <c:catAx>
        <c:axId val="881358288"/>
        <c:scaling>
          <c:orientation val="minMax"/>
        </c:scaling>
        <c:delete val="1"/>
        <c:axPos val="b"/>
        <c:numFmt formatCode="General" sourceLinked="1"/>
        <c:majorTickMark val="none"/>
        <c:minorTickMark val="none"/>
        <c:tickLblPos val="nextTo"/>
        <c:crossAx val="881346288"/>
        <c:crosses val="autoZero"/>
        <c:auto val="1"/>
        <c:lblAlgn val="ctr"/>
        <c:lblOffset val="100"/>
        <c:noMultiLvlLbl val="0"/>
      </c:catAx>
      <c:valAx>
        <c:axId val="8813462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358288"/>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Tables!Call_months</c:name>
    <c:fmtId val="118"/>
  </c:pivotSource>
  <c:chart>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gradFill>
            <a:gsLst>
              <a:gs pos="0">
                <a:schemeClr val="accent1">
                  <a:lumMod val="45000"/>
                  <a:lumOff val="55000"/>
                </a:schemeClr>
              </a:gs>
              <a:gs pos="35000">
                <a:schemeClr val="accent1">
                  <a:lumMod val="30000"/>
                  <a:lumOff val="70000"/>
                  <a:alpha val="8000"/>
                </a:schemeClr>
              </a:gs>
            </a:gsLst>
            <a:lin ang="5400000" scaled="1"/>
          </a:gradFill>
          <a:ln>
            <a:noFill/>
          </a:ln>
          <a:effectLst/>
        </c:spPr>
        <c:marker>
          <c:symbol val="none"/>
        </c:marker>
        <c:dLbl>
          <c:idx val="0"/>
          <c:delete val="1"/>
          <c:extLst>
            <c:ext xmlns:c15="http://schemas.microsoft.com/office/drawing/2012/chart" uri="{CE6537A1-D6FC-4f65-9D91-7224C49458BB}"/>
          </c:extLst>
        </c:dLbl>
      </c:pivotFmt>
      <c:pivotFmt>
        <c:idx val="3"/>
        <c:spPr>
          <a:gradFill>
            <a:gsLst>
              <a:gs pos="0">
                <a:srgbClr val="9933FF"/>
              </a:gs>
              <a:gs pos="51000">
                <a:schemeClr val="accent1">
                  <a:lumMod val="30000"/>
                  <a:lumOff val="70000"/>
                  <a:alpha val="8000"/>
                </a:schemeClr>
              </a:gs>
            </a:gsLst>
            <a:lin ang="5400000" scaled="1"/>
          </a:gradFill>
          <a:ln w="25400">
            <a:noFill/>
          </a:ln>
          <a:effectLst/>
        </c:spPr>
        <c:marker>
          <c:symbol val="none"/>
        </c:marker>
        <c:dLbl>
          <c:idx val="0"/>
          <c:delete val="1"/>
          <c:extLst>
            <c:ext xmlns:c15="http://schemas.microsoft.com/office/drawing/2012/chart" uri="{CE6537A1-D6FC-4f65-9D91-7224C49458BB}"/>
          </c:extLst>
        </c:dLbl>
      </c:pivotFmt>
      <c:pivotFmt>
        <c:idx val="4"/>
        <c:spPr>
          <a:gradFill>
            <a:gsLst>
              <a:gs pos="0">
                <a:srgbClr val="9933FF"/>
              </a:gs>
              <a:gs pos="51000">
                <a:schemeClr val="accent1">
                  <a:lumMod val="30000"/>
                  <a:lumOff val="70000"/>
                  <a:alpha val="8000"/>
                </a:schemeClr>
              </a:gs>
            </a:gsLst>
            <a:lin ang="5400000" scaled="1"/>
          </a:gradFill>
          <a:ln w="25400">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gradFill>
            <a:gsLst>
              <a:gs pos="0">
                <a:srgbClr val="9933FF"/>
              </a:gs>
              <a:gs pos="51000">
                <a:schemeClr val="accent1">
                  <a:lumMod val="30000"/>
                  <a:lumOff val="70000"/>
                  <a:alpha val="8000"/>
                </a:schemeClr>
              </a:gs>
            </a:gsLst>
            <a:lin ang="5400000" scaled="1"/>
          </a:gradFill>
          <a:ln w="25400">
            <a:noFill/>
          </a:ln>
          <a:effectLst/>
        </c:spPr>
        <c:marker>
          <c:symbol val="none"/>
        </c:marker>
        <c:dLbl>
          <c:idx val="0"/>
          <c:delete val="1"/>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
        <c:spPr>
          <a:gradFill>
            <a:gsLst>
              <a:gs pos="0">
                <a:srgbClr val="9933FF"/>
              </a:gs>
              <a:gs pos="51000">
                <a:schemeClr val="accent1">
                  <a:lumMod val="30000"/>
                  <a:lumOff val="70000"/>
                  <a:alpha val="8000"/>
                </a:schemeClr>
              </a:gs>
            </a:gsLst>
            <a:lin ang="5400000" scaled="1"/>
          </a:gradFill>
          <a:ln w="25400">
            <a:noFill/>
          </a:ln>
          <a:effectLst/>
        </c:spPr>
        <c:marker>
          <c:symbol val="none"/>
        </c:marker>
        <c:dLbl>
          <c:idx val="0"/>
          <c:delete val="1"/>
          <c:extLst>
            <c:ext xmlns:c15="http://schemas.microsoft.com/office/drawing/2012/chart" uri="{CE6537A1-D6FC-4f65-9D91-7224C49458BB}"/>
          </c:extLst>
        </c:dLbl>
      </c:pivotFmt>
      <c:pivotFmt>
        <c:idx val="9"/>
        <c:spPr>
          <a:ln w="28575" cap="rnd">
            <a:solidFill>
              <a:srgbClr val="FF6699"/>
            </a:solidFill>
            <a:round/>
          </a:ln>
          <a:effectLst/>
        </c:spPr>
        <c:marker>
          <c:symbol val="none"/>
        </c:marker>
        <c:dLbl>
          <c:idx val="0"/>
          <c:delete val="1"/>
          <c:extLst>
            <c:ext xmlns:c15="http://schemas.microsoft.com/office/drawing/2012/chart" uri="{CE6537A1-D6FC-4f65-9D91-7224C49458BB}"/>
          </c:extLst>
        </c:dLbl>
      </c:pivotFmt>
    </c:pivotFmts>
    <c:plotArea>
      <c:layout/>
      <c:areaChart>
        <c:grouping val="standard"/>
        <c:varyColors val="0"/>
        <c:ser>
          <c:idx val="1"/>
          <c:order val="1"/>
          <c:tx>
            <c:strRef>
              <c:f>'Pivot Tables'!$BX$7</c:f>
              <c:strCache>
                <c:ptCount val="1"/>
                <c:pt idx="0">
                  <c:v>Count of Month2</c:v>
                </c:pt>
              </c:strCache>
            </c:strRef>
          </c:tx>
          <c:spPr>
            <a:gradFill>
              <a:gsLst>
                <a:gs pos="0">
                  <a:srgbClr val="9933FF"/>
                </a:gs>
                <a:gs pos="51000">
                  <a:schemeClr val="accent1">
                    <a:lumMod val="30000"/>
                    <a:lumOff val="70000"/>
                    <a:alpha val="8000"/>
                  </a:schemeClr>
                </a:gs>
              </a:gsLst>
              <a:lin ang="5400000" scaled="1"/>
            </a:gradFill>
            <a:ln w="25400">
              <a:noFill/>
            </a:ln>
            <a:effectLst/>
          </c:spPr>
          <c:cat>
            <c:strRef>
              <c:f>'Pivot Tables'!$BV$8:$BV$20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Tables'!$BX$8:$BX$20</c:f>
              <c:numCache>
                <c:formatCode>General</c:formatCode>
                <c:ptCount val="12"/>
                <c:pt idx="0">
                  <c:v>68</c:v>
                </c:pt>
                <c:pt idx="1">
                  <c:v>66</c:v>
                </c:pt>
                <c:pt idx="2">
                  <c:v>30</c:v>
                </c:pt>
                <c:pt idx="3">
                  <c:v>38</c:v>
                </c:pt>
                <c:pt idx="4">
                  <c:v>86</c:v>
                </c:pt>
                <c:pt idx="5">
                  <c:v>42</c:v>
                </c:pt>
                <c:pt idx="6">
                  <c:v>38</c:v>
                </c:pt>
                <c:pt idx="7">
                  <c:v>79</c:v>
                </c:pt>
                <c:pt idx="8">
                  <c:v>173</c:v>
                </c:pt>
                <c:pt idx="9">
                  <c:v>278</c:v>
                </c:pt>
                <c:pt idx="10">
                  <c:v>212</c:v>
                </c:pt>
                <c:pt idx="11">
                  <c:v>127</c:v>
                </c:pt>
              </c:numCache>
            </c:numRef>
          </c:val>
          <c:extLst>
            <c:ext xmlns:c16="http://schemas.microsoft.com/office/drawing/2014/chart" uri="{C3380CC4-5D6E-409C-BE32-E72D297353CC}">
              <c16:uniqueId val="{00000003-EE3F-449F-9916-F468E7501AE0}"/>
            </c:ext>
          </c:extLst>
        </c:ser>
        <c:dLbls>
          <c:showLegendKey val="0"/>
          <c:showVal val="0"/>
          <c:showCatName val="0"/>
          <c:showSerName val="0"/>
          <c:showPercent val="0"/>
          <c:showBubbleSize val="0"/>
        </c:dLbls>
        <c:axId val="881358288"/>
        <c:axId val="881346288"/>
      </c:areaChart>
      <c:lineChart>
        <c:grouping val="standard"/>
        <c:varyColors val="0"/>
        <c:ser>
          <c:idx val="0"/>
          <c:order val="0"/>
          <c:tx>
            <c:strRef>
              <c:f>'Pivot Tables'!$BW$7</c:f>
              <c:strCache>
                <c:ptCount val="1"/>
                <c:pt idx="0">
                  <c:v>Count of Month</c:v>
                </c:pt>
              </c:strCache>
            </c:strRef>
          </c:tx>
          <c:spPr>
            <a:ln w="28575" cap="rnd">
              <a:solidFill>
                <a:srgbClr val="FF6699"/>
              </a:solidFill>
              <a:round/>
            </a:ln>
            <a:effectLst/>
          </c:spPr>
          <c:marker>
            <c:symbol val="none"/>
          </c:marker>
          <c:cat>
            <c:strRef>
              <c:f>'Pivot Tables'!$BV$8:$BV$20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Tables'!$BW$8:$BW$20</c:f>
              <c:numCache>
                <c:formatCode>General</c:formatCode>
                <c:ptCount val="12"/>
                <c:pt idx="0">
                  <c:v>68</c:v>
                </c:pt>
                <c:pt idx="1">
                  <c:v>66</c:v>
                </c:pt>
                <c:pt idx="2">
                  <c:v>30</c:v>
                </c:pt>
                <c:pt idx="3">
                  <c:v>38</c:v>
                </c:pt>
                <c:pt idx="4">
                  <c:v>86</c:v>
                </c:pt>
                <c:pt idx="5">
                  <c:v>42</c:v>
                </c:pt>
                <c:pt idx="6">
                  <c:v>38</c:v>
                </c:pt>
                <c:pt idx="7">
                  <c:v>79</c:v>
                </c:pt>
                <c:pt idx="8">
                  <c:v>173</c:v>
                </c:pt>
                <c:pt idx="9">
                  <c:v>278</c:v>
                </c:pt>
                <c:pt idx="10">
                  <c:v>212</c:v>
                </c:pt>
                <c:pt idx="11">
                  <c:v>127</c:v>
                </c:pt>
              </c:numCache>
            </c:numRef>
          </c:val>
          <c:smooth val="1"/>
          <c:extLst>
            <c:ext xmlns:c16="http://schemas.microsoft.com/office/drawing/2014/chart" uri="{C3380CC4-5D6E-409C-BE32-E72D297353CC}">
              <c16:uniqueId val="{00000005-EE3F-449F-9916-F468E7501AE0}"/>
            </c:ext>
          </c:extLst>
        </c:ser>
        <c:dLbls>
          <c:showLegendKey val="0"/>
          <c:showVal val="0"/>
          <c:showCatName val="0"/>
          <c:showSerName val="0"/>
          <c:showPercent val="0"/>
          <c:showBubbleSize val="0"/>
        </c:dLbls>
        <c:marker val="1"/>
        <c:smooth val="0"/>
        <c:axId val="881358288"/>
        <c:axId val="881346288"/>
      </c:lineChart>
      <c:catAx>
        <c:axId val="881358288"/>
        <c:scaling>
          <c:orientation val="minMax"/>
        </c:scaling>
        <c:delete val="1"/>
        <c:axPos val="b"/>
        <c:numFmt formatCode="General" sourceLinked="1"/>
        <c:majorTickMark val="none"/>
        <c:minorTickMark val="none"/>
        <c:tickLblPos val="nextTo"/>
        <c:crossAx val="881346288"/>
        <c:crosses val="autoZero"/>
        <c:auto val="1"/>
        <c:lblAlgn val="ctr"/>
        <c:lblOffset val="100"/>
        <c:noMultiLvlLbl val="0"/>
      </c:catAx>
      <c:valAx>
        <c:axId val="881346288"/>
        <c:scaling>
          <c:orientation val="minMax"/>
        </c:scaling>
        <c:delete val="1"/>
        <c:axPos val="l"/>
        <c:numFmt formatCode="General" sourceLinked="1"/>
        <c:majorTickMark val="none"/>
        <c:minorTickMark val="none"/>
        <c:tickLblPos val="nextTo"/>
        <c:crossAx val="881358288"/>
        <c:crosses val="autoZero"/>
        <c:crossBetween val="between"/>
      </c:valAx>
      <c:spPr>
        <a:noFill/>
        <a:ln w="25400">
          <a:noFill/>
        </a:ln>
        <a:effectLst/>
      </c:spPr>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Tables!Adv_Months</c:name>
    <c:fmtId val="123"/>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Tables'!$CD$7:$CD$8</c:f>
              <c:strCache>
                <c:ptCount val="1"/>
                <c:pt idx="0">
                  <c:v>AD01-9361</c:v>
                </c:pt>
              </c:strCache>
            </c:strRef>
          </c:tx>
          <c:spPr>
            <a:ln w="28575" cap="rnd">
              <a:solidFill>
                <a:schemeClr val="accent1"/>
              </a:solidFill>
              <a:round/>
            </a:ln>
            <a:effectLst/>
          </c:spPr>
          <c:marker>
            <c:symbol val="none"/>
          </c:marker>
          <c:cat>
            <c:strRef>
              <c:f>'Pivot Tables'!$CC$9:$CC$21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Tables'!$CD$9:$CD$21</c:f>
              <c:numCache>
                <c:formatCode>[&lt;999950]0.0,"K";[&lt;999950000]0.0,,"M";0.0,,,"B"</c:formatCode>
                <c:ptCount val="12"/>
                <c:pt idx="0">
                  <c:v>262000000</c:v>
                </c:pt>
                <c:pt idx="1">
                  <c:v>306000000</c:v>
                </c:pt>
                <c:pt idx="2">
                  <c:v>0</c:v>
                </c:pt>
                <c:pt idx="3">
                  <c:v>144000000</c:v>
                </c:pt>
                <c:pt idx="4">
                  <c:v>294000000</c:v>
                </c:pt>
                <c:pt idx="5">
                  <c:v>212000000</c:v>
                </c:pt>
                <c:pt idx="6">
                  <c:v>180000000</c:v>
                </c:pt>
                <c:pt idx="7">
                  <c:v>372000000</c:v>
                </c:pt>
                <c:pt idx="8">
                  <c:v>652000000</c:v>
                </c:pt>
                <c:pt idx="9">
                  <c:v>1179000000</c:v>
                </c:pt>
                <c:pt idx="10">
                  <c:v>789000000</c:v>
                </c:pt>
                <c:pt idx="11">
                  <c:v>445000000</c:v>
                </c:pt>
              </c:numCache>
            </c:numRef>
          </c:val>
          <c:smooth val="0"/>
          <c:extLst>
            <c:ext xmlns:c16="http://schemas.microsoft.com/office/drawing/2014/chart" uri="{C3380CC4-5D6E-409C-BE32-E72D297353CC}">
              <c16:uniqueId val="{00000000-66A8-4DE8-A0C7-70DF6C32F829}"/>
            </c:ext>
          </c:extLst>
        </c:ser>
        <c:ser>
          <c:idx val="1"/>
          <c:order val="1"/>
          <c:tx>
            <c:strRef>
              <c:f>'Pivot Tables'!$CE$7:$CE$8</c:f>
              <c:strCache>
                <c:ptCount val="1"/>
                <c:pt idx="0">
                  <c:v>AD01-9362</c:v>
                </c:pt>
              </c:strCache>
            </c:strRef>
          </c:tx>
          <c:spPr>
            <a:ln w="28575" cap="rnd">
              <a:solidFill>
                <a:schemeClr val="accent2"/>
              </a:solidFill>
              <a:round/>
            </a:ln>
            <a:effectLst/>
          </c:spPr>
          <c:marker>
            <c:symbol val="none"/>
          </c:marker>
          <c:cat>
            <c:strRef>
              <c:f>'Pivot Tables'!$CC$9:$CC$21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Tables'!$CE$9:$CE$21</c:f>
              <c:numCache>
                <c:formatCode>[&lt;999950]0.0,"K";[&lt;999950000]0.0,,"M";0.0,,,"B"</c:formatCode>
                <c:ptCount val="12"/>
                <c:pt idx="0">
                  <c:v>472000000</c:v>
                </c:pt>
                <c:pt idx="1">
                  <c:v>408000000</c:v>
                </c:pt>
                <c:pt idx="2">
                  <c:v>116000000</c:v>
                </c:pt>
                <c:pt idx="3">
                  <c:v>264000000</c:v>
                </c:pt>
                <c:pt idx="4">
                  <c:v>546000000</c:v>
                </c:pt>
                <c:pt idx="5">
                  <c:v>146000000</c:v>
                </c:pt>
                <c:pt idx="6">
                  <c:v>262000000</c:v>
                </c:pt>
                <c:pt idx="7">
                  <c:v>443000000</c:v>
                </c:pt>
                <c:pt idx="8">
                  <c:v>858000000</c:v>
                </c:pt>
                <c:pt idx="9">
                  <c:v>1448000000</c:v>
                </c:pt>
                <c:pt idx="10">
                  <c:v>1078000000</c:v>
                </c:pt>
                <c:pt idx="11">
                  <c:v>444000000</c:v>
                </c:pt>
              </c:numCache>
            </c:numRef>
          </c:val>
          <c:smooth val="0"/>
          <c:extLst>
            <c:ext xmlns:c16="http://schemas.microsoft.com/office/drawing/2014/chart" uri="{C3380CC4-5D6E-409C-BE32-E72D297353CC}">
              <c16:uniqueId val="{00000001-66A8-4DE8-A0C7-70DF6C32F829}"/>
            </c:ext>
          </c:extLst>
        </c:ser>
        <c:ser>
          <c:idx val="2"/>
          <c:order val="2"/>
          <c:tx>
            <c:strRef>
              <c:f>'Pivot Tables'!$CF$7:$CF$8</c:f>
              <c:strCache>
                <c:ptCount val="1"/>
                <c:pt idx="0">
                  <c:v>AD01-9363</c:v>
                </c:pt>
              </c:strCache>
            </c:strRef>
          </c:tx>
          <c:spPr>
            <a:ln w="28575" cap="rnd">
              <a:solidFill>
                <a:schemeClr val="accent3"/>
              </a:solidFill>
              <a:round/>
            </a:ln>
            <a:effectLst/>
          </c:spPr>
          <c:marker>
            <c:symbol val="none"/>
          </c:marker>
          <c:cat>
            <c:strRef>
              <c:f>'Pivot Tables'!$CC$9:$CC$21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Tables'!$CF$9:$CF$21</c:f>
              <c:numCache>
                <c:formatCode>[&lt;999950]0.0,"K";[&lt;999950000]0.0,,"M";0.0,,,"B"</c:formatCode>
                <c:ptCount val="12"/>
                <c:pt idx="0">
                  <c:v>0</c:v>
                </c:pt>
                <c:pt idx="1">
                  <c:v>48000000</c:v>
                </c:pt>
                <c:pt idx="3">
                  <c:v>24000000</c:v>
                </c:pt>
                <c:pt idx="4">
                  <c:v>68000000</c:v>
                </c:pt>
                <c:pt idx="5">
                  <c:v>24000000</c:v>
                </c:pt>
                <c:pt idx="7">
                  <c:v>38000000</c:v>
                </c:pt>
                <c:pt idx="8">
                  <c:v>142000000</c:v>
                </c:pt>
                <c:pt idx="9">
                  <c:v>242000000</c:v>
                </c:pt>
                <c:pt idx="10">
                  <c:v>239000000</c:v>
                </c:pt>
                <c:pt idx="11">
                  <c:v>75000000</c:v>
                </c:pt>
              </c:numCache>
            </c:numRef>
          </c:val>
          <c:smooth val="0"/>
          <c:extLst>
            <c:ext xmlns:c16="http://schemas.microsoft.com/office/drawing/2014/chart" uri="{C3380CC4-5D6E-409C-BE32-E72D297353CC}">
              <c16:uniqueId val="{00000002-66A8-4DE8-A0C7-70DF6C32F829}"/>
            </c:ext>
          </c:extLst>
        </c:ser>
        <c:ser>
          <c:idx val="3"/>
          <c:order val="3"/>
          <c:tx>
            <c:strRef>
              <c:f>'Pivot Tables'!$CG$7:$CG$8</c:f>
              <c:strCache>
                <c:ptCount val="1"/>
                <c:pt idx="0">
                  <c:v>AD01-9364</c:v>
                </c:pt>
              </c:strCache>
            </c:strRef>
          </c:tx>
          <c:spPr>
            <a:ln w="28575" cap="rnd">
              <a:solidFill>
                <a:schemeClr val="accent4"/>
              </a:solidFill>
              <a:round/>
            </a:ln>
            <a:effectLst/>
          </c:spPr>
          <c:marker>
            <c:symbol val="none"/>
          </c:marker>
          <c:cat>
            <c:strRef>
              <c:f>'Pivot Tables'!$CC$9:$CC$21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Tables'!$CG$9:$CG$21</c:f>
              <c:numCache>
                <c:formatCode>[&lt;999950]0.0,"K";[&lt;999950000]0.0,,"M";0.0,,,"B"</c:formatCode>
                <c:ptCount val="12"/>
                <c:pt idx="0">
                  <c:v>190000000</c:v>
                </c:pt>
                <c:pt idx="1">
                  <c:v>248000000</c:v>
                </c:pt>
                <c:pt idx="2">
                  <c:v>0</c:v>
                </c:pt>
                <c:pt idx="3">
                  <c:v>82000000</c:v>
                </c:pt>
                <c:pt idx="4">
                  <c:v>226000000</c:v>
                </c:pt>
                <c:pt idx="5">
                  <c:v>130000000</c:v>
                </c:pt>
                <c:pt idx="6">
                  <c:v>0</c:v>
                </c:pt>
                <c:pt idx="7">
                  <c:v>225000000</c:v>
                </c:pt>
                <c:pt idx="8">
                  <c:v>413000000</c:v>
                </c:pt>
                <c:pt idx="9">
                  <c:v>752000000</c:v>
                </c:pt>
                <c:pt idx="10">
                  <c:v>545000000</c:v>
                </c:pt>
                <c:pt idx="11">
                  <c:v>200000000</c:v>
                </c:pt>
              </c:numCache>
            </c:numRef>
          </c:val>
          <c:smooth val="0"/>
          <c:extLst>
            <c:ext xmlns:c16="http://schemas.microsoft.com/office/drawing/2014/chart" uri="{C3380CC4-5D6E-409C-BE32-E72D297353CC}">
              <c16:uniqueId val="{00000003-66A8-4DE8-A0C7-70DF6C32F829}"/>
            </c:ext>
          </c:extLst>
        </c:ser>
        <c:ser>
          <c:idx val="4"/>
          <c:order val="4"/>
          <c:tx>
            <c:strRef>
              <c:f>'Pivot Tables'!$CH$7:$CH$8</c:f>
              <c:strCache>
                <c:ptCount val="1"/>
                <c:pt idx="0">
                  <c:v>AD01-9365</c:v>
                </c:pt>
              </c:strCache>
            </c:strRef>
          </c:tx>
          <c:spPr>
            <a:ln w="28575" cap="rnd">
              <a:solidFill>
                <a:schemeClr val="accent5"/>
              </a:solidFill>
              <a:round/>
            </a:ln>
            <a:effectLst/>
          </c:spPr>
          <c:marker>
            <c:symbol val="none"/>
          </c:marker>
          <c:cat>
            <c:strRef>
              <c:f>'Pivot Tables'!$CC$9:$CC$21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Tables'!$CH$9:$CH$21</c:f>
              <c:numCache>
                <c:formatCode>[&lt;999950]0.0,"K";[&lt;999950000]0.0,,"M";0.0,,,"B"</c:formatCode>
                <c:ptCount val="12"/>
                <c:pt idx="0">
                  <c:v>60000000</c:v>
                </c:pt>
                <c:pt idx="1">
                  <c:v>30000000</c:v>
                </c:pt>
                <c:pt idx="2">
                  <c:v>0</c:v>
                </c:pt>
                <c:pt idx="3">
                  <c:v>24000000</c:v>
                </c:pt>
                <c:pt idx="4">
                  <c:v>24000000</c:v>
                </c:pt>
                <c:pt idx="5">
                  <c:v>0</c:v>
                </c:pt>
                <c:pt idx="7">
                  <c:v>74000000</c:v>
                </c:pt>
                <c:pt idx="8">
                  <c:v>113000000</c:v>
                </c:pt>
                <c:pt idx="9">
                  <c:v>188000000</c:v>
                </c:pt>
                <c:pt idx="10">
                  <c:v>163000000</c:v>
                </c:pt>
                <c:pt idx="11">
                  <c:v>83000000</c:v>
                </c:pt>
              </c:numCache>
            </c:numRef>
          </c:val>
          <c:smooth val="0"/>
          <c:extLst>
            <c:ext xmlns:c16="http://schemas.microsoft.com/office/drawing/2014/chart" uri="{C3380CC4-5D6E-409C-BE32-E72D297353CC}">
              <c16:uniqueId val="{00000004-66A8-4DE8-A0C7-70DF6C32F829}"/>
            </c:ext>
          </c:extLst>
        </c:ser>
        <c:dLbls>
          <c:showLegendKey val="0"/>
          <c:showVal val="0"/>
          <c:showCatName val="0"/>
          <c:showSerName val="0"/>
          <c:showPercent val="0"/>
          <c:showBubbleSize val="0"/>
        </c:dLbls>
        <c:smooth val="0"/>
        <c:axId val="487597839"/>
        <c:axId val="487599759"/>
      </c:lineChart>
      <c:catAx>
        <c:axId val="48759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599759"/>
        <c:crosses val="autoZero"/>
        <c:auto val="1"/>
        <c:lblAlgn val="ctr"/>
        <c:lblOffset val="100"/>
        <c:noMultiLvlLbl val="0"/>
      </c:catAx>
      <c:valAx>
        <c:axId val="487599759"/>
        <c:scaling>
          <c:orientation val="minMax"/>
        </c:scaling>
        <c:delete val="0"/>
        <c:axPos val="l"/>
        <c:majorGridlines>
          <c:spPr>
            <a:ln w="9525" cap="flat" cmpd="sng" algn="ctr">
              <a:solidFill>
                <a:schemeClr val="tx1">
                  <a:lumMod val="15000"/>
                  <a:lumOff val="85000"/>
                </a:schemeClr>
              </a:solidFill>
              <a:round/>
            </a:ln>
            <a:effectLst/>
          </c:spPr>
        </c:majorGridlines>
        <c:numFmt formatCode="[&lt;999950]0.0,&quot;K&quot;;[&lt;999950000]0.0,,&quot;M&quot;;0.0,,,&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597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Tables!Training_sales</c:name>
    <c:fmtId val="12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Tables'!$CM$7</c:f>
              <c:strCache>
                <c:ptCount val="1"/>
                <c:pt idx="0">
                  <c:v>Total</c:v>
                </c:pt>
              </c:strCache>
            </c:strRef>
          </c:tx>
          <c:spPr>
            <a:solidFill>
              <a:schemeClr val="accent1"/>
            </a:solidFill>
            <a:ln>
              <a:noFill/>
            </a:ln>
            <a:effectLst/>
          </c:spPr>
          <c:invertIfNegative val="0"/>
          <c:cat>
            <c:multiLvlStrRef>
              <c:f>'Pivot Tables'!$CL$8:$CL$27</c:f>
              <c:multiLvlStrCache>
                <c:ptCount val="15"/>
                <c:lvl>
                  <c:pt idx="0">
                    <c:v>BE</c:v>
                  </c:pt>
                  <c:pt idx="1">
                    <c:v>CNI</c:v>
                  </c:pt>
                  <c:pt idx="2">
                    <c:v>GK</c:v>
                  </c:pt>
                  <c:pt idx="3">
                    <c:v>BE</c:v>
                  </c:pt>
                  <c:pt idx="4">
                    <c:v>CNI</c:v>
                  </c:pt>
                  <c:pt idx="5">
                    <c:v>FC</c:v>
                  </c:pt>
                  <c:pt idx="6">
                    <c:v>GK</c:v>
                  </c:pt>
                  <c:pt idx="7">
                    <c:v>BE</c:v>
                  </c:pt>
                  <c:pt idx="8">
                    <c:v>CNI</c:v>
                  </c:pt>
                  <c:pt idx="9">
                    <c:v>FC</c:v>
                  </c:pt>
                  <c:pt idx="10">
                    <c:v>GK</c:v>
                  </c:pt>
                  <c:pt idx="11">
                    <c:v>BE</c:v>
                  </c:pt>
                  <c:pt idx="12">
                    <c:v>CNI</c:v>
                  </c:pt>
                  <c:pt idx="13">
                    <c:v>FC</c:v>
                  </c:pt>
                  <c:pt idx="14">
                    <c:v>GK</c:v>
                  </c:pt>
                </c:lvl>
                <c:lvl>
                  <c:pt idx="0">
                    <c:v>Abdullah</c:v>
                  </c:pt>
                  <c:pt idx="3">
                    <c:v>Ahmed</c:v>
                  </c:pt>
                  <c:pt idx="7">
                    <c:v>Mohammed</c:v>
                  </c:pt>
                  <c:pt idx="11">
                    <c:v>Salah</c:v>
                  </c:pt>
                </c:lvl>
              </c:multiLvlStrCache>
            </c:multiLvlStrRef>
          </c:cat>
          <c:val>
            <c:numRef>
              <c:f>'Pivot Tables'!$CM$8:$CM$27</c:f>
              <c:numCache>
                <c:formatCode>[&lt;999950]0.0,"K";[&lt;999950000]0.0,,"M";0.0,,,"B"</c:formatCode>
                <c:ptCount val="15"/>
                <c:pt idx="0">
                  <c:v>513000000</c:v>
                </c:pt>
                <c:pt idx="1">
                  <c:v>146000000</c:v>
                </c:pt>
                <c:pt idx="2">
                  <c:v>1920000000</c:v>
                </c:pt>
                <c:pt idx="3">
                  <c:v>703000000</c:v>
                </c:pt>
                <c:pt idx="4">
                  <c:v>284000000</c:v>
                </c:pt>
                <c:pt idx="5">
                  <c:v>95000000</c:v>
                </c:pt>
                <c:pt idx="6">
                  <c:v>1669000000</c:v>
                </c:pt>
                <c:pt idx="7">
                  <c:v>1254000000</c:v>
                </c:pt>
                <c:pt idx="8">
                  <c:v>410000000</c:v>
                </c:pt>
                <c:pt idx="9">
                  <c:v>114000000</c:v>
                </c:pt>
                <c:pt idx="10">
                  <c:v>3594000000</c:v>
                </c:pt>
                <c:pt idx="11">
                  <c:v>1425000000</c:v>
                </c:pt>
                <c:pt idx="12">
                  <c:v>417000000</c:v>
                </c:pt>
                <c:pt idx="13">
                  <c:v>38000000</c:v>
                </c:pt>
                <c:pt idx="14">
                  <c:v>3408000000</c:v>
                </c:pt>
              </c:numCache>
            </c:numRef>
          </c:val>
          <c:extLst>
            <c:ext xmlns:c16="http://schemas.microsoft.com/office/drawing/2014/chart" uri="{C3380CC4-5D6E-409C-BE32-E72D297353CC}">
              <c16:uniqueId val="{00000000-BF5E-44F4-82FF-0684691004BA}"/>
            </c:ext>
          </c:extLst>
        </c:ser>
        <c:dLbls>
          <c:showLegendKey val="0"/>
          <c:showVal val="0"/>
          <c:showCatName val="0"/>
          <c:showSerName val="0"/>
          <c:showPercent val="0"/>
          <c:showBubbleSize val="0"/>
        </c:dLbls>
        <c:gapWidth val="219"/>
        <c:overlap val="-27"/>
        <c:axId val="628841343"/>
        <c:axId val="628840383"/>
      </c:barChart>
      <c:catAx>
        <c:axId val="628841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840383"/>
        <c:crosses val="autoZero"/>
        <c:auto val="1"/>
        <c:lblAlgn val="ctr"/>
        <c:lblOffset val="100"/>
        <c:noMultiLvlLbl val="0"/>
      </c:catAx>
      <c:valAx>
        <c:axId val="628840383"/>
        <c:scaling>
          <c:orientation val="minMax"/>
        </c:scaling>
        <c:delete val="0"/>
        <c:axPos val="l"/>
        <c:majorGridlines>
          <c:spPr>
            <a:ln w="9525" cap="flat" cmpd="sng" algn="ctr">
              <a:solidFill>
                <a:schemeClr val="tx1">
                  <a:lumMod val="15000"/>
                  <a:lumOff val="85000"/>
                </a:schemeClr>
              </a:solidFill>
              <a:round/>
            </a:ln>
            <a:effectLst/>
          </c:spPr>
        </c:majorGridlines>
        <c:numFmt formatCode="[&lt;999950]0.0,&quot;K&quot;;[&lt;999950000]0.0,,&quot;M&quot;;0.0,,,&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841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Tables!Training_sales</c:name>
    <c:fmtId val="1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Tables'!$CM$7</c:f>
              <c:strCache>
                <c:ptCount val="1"/>
                <c:pt idx="0">
                  <c:v>Total</c:v>
                </c:pt>
              </c:strCache>
            </c:strRef>
          </c:tx>
          <c:spPr>
            <a:solidFill>
              <a:schemeClr val="accent1"/>
            </a:solidFill>
            <a:ln>
              <a:noFill/>
            </a:ln>
            <a:effectLst/>
          </c:spPr>
          <c:invertIfNegative val="0"/>
          <c:cat>
            <c:multiLvlStrRef>
              <c:f>'Pivot Tables'!$CL$8:$CL$27</c:f>
              <c:multiLvlStrCache>
                <c:ptCount val="15"/>
                <c:lvl>
                  <c:pt idx="0">
                    <c:v>BE</c:v>
                  </c:pt>
                  <c:pt idx="1">
                    <c:v>CNI</c:v>
                  </c:pt>
                  <c:pt idx="2">
                    <c:v>GK</c:v>
                  </c:pt>
                  <c:pt idx="3">
                    <c:v>BE</c:v>
                  </c:pt>
                  <c:pt idx="4">
                    <c:v>CNI</c:v>
                  </c:pt>
                  <c:pt idx="5">
                    <c:v>FC</c:v>
                  </c:pt>
                  <c:pt idx="6">
                    <c:v>GK</c:v>
                  </c:pt>
                  <c:pt idx="7">
                    <c:v>BE</c:v>
                  </c:pt>
                  <c:pt idx="8">
                    <c:v>CNI</c:v>
                  </c:pt>
                  <c:pt idx="9">
                    <c:v>FC</c:v>
                  </c:pt>
                  <c:pt idx="10">
                    <c:v>GK</c:v>
                  </c:pt>
                  <c:pt idx="11">
                    <c:v>BE</c:v>
                  </c:pt>
                  <c:pt idx="12">
                    <c:v>CNI</c:v>
                  </c:pt>
                  <c:pt idx="13">
                    <c:v>FC</c:v>
                  </c:pt>
                  <c:pt idx="14">
                    <c:v>GK</c:v>
                  </c:pt>
                </c:lvl>
                <c:lvl>
                  <c:pt idx="0">
                    <c:v>Abdullah</c:v>
                  </c:pt>
                  <c:pt idx="3">
                    <c:v>Ahmed</c:v>
                  </c:pt>
                  <c:pt idx="7">
                    <c:v>Mohammed</c:v>
                  </c:pt>
                  <c:pt idx="11">
                    <c:v>Salah</c:v>
                  </c:pt>
                </c:lvl>
              </c:multiLvlStrCache>
            </c:multiLvlStrRef>
          </c:cat>
          <c:val>
            <c:numRef>
              <c:f>'Pivot Tables'!$CM$8:$CM$27</c:f>
              <c:numCache>
                <c:formatCode>[&lt;999950]0.0,"K";[&lt;999950000]0.0,,"M";0.0,,,"B"</c:formatCode>
                <c:ptCount val="15"/>
                <c:pt idx="0">
                  <c:v>513000000</c:v>
                </c:pt>
                <c:pt idx="1">
                  <c:v>146000000</c:v>
                </c:pt>
                <c:pt idx="2">
                  <c:v>1920000000</c:v>
                </c:pt>
                <c:pt idx="3">
                  <c:v>703000000</c:v>
                </c:pt>
                <c:pt idx="4">
                  <c:v>284000000</c:v>
                </c:pt>
                <c:pt idx="5">
                  <c:v>95000000</c:v>
                </c:pt>
                <c:pt idx="6">
                  <c:v>1669000000</c:v>
                </c:pt>
                <c:pt idx="7">
                  <c:v>1254000000</c:v>
                </c:pt>
                <c:pt idx="8">
                  <c:v>410000000</c:v>
                </c:pt>
                <c:pt idx="9">
                  <c:v>114000000</c:v>
                </c:pt>
                <c:pt idx="10">
                  <c:v>3594000000</c:v>
                </c:pt>
                <c:pt idx="11">
                  <c:v>1425000000</c:v>
                </c:pt>
                <c:pt idx="12">
                  <c:v>417000000</c:v>
                </c:pt>
                <c:pt idx="13">
                  <c:v>38000000</c:v>
                </c:pt>
                <c:pt idx="14">
                  <c:v>3408000000</c:v>
                </c:pt>
              </c:numCache>
            </c:numRef>
          </c:val>
          <c:extLst>
            <c:ext xmlns:c16="http://schemas.microsoft.com/office/drawing/2014/chart" uri="{C3380CC4-5D6E-409C-BE32-E72D297353CC}">
              <c16:uniqueId val="{00000000-7CE9-4106-8CB7-EEAECC139B32}"/>
            </c:ext>
          </c:extLst>
        </c:ser>
        <c:dLbls>
          <c:showLegendKey val="0"/>
          <c:showVal val="0"/>
          <c:showCatName val="0"/>
          <c:showSerName val="0"/>
          <c:showPercent val="0"/>
          <c:showBubbleSize val="0"/>
        </c:dLbls>
        <c:gapWidth val="219"/>
        <c:overlap val="-27"/>
        <c:axId val="628841343"/>
        <c:axId val="628840383"/>
      </c:barChart>
      <c:catAx>
        <c:axId val="628841343"/>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840383"/>
        <c:crosses val="autoZero"/>
        <c:auto val="1"/>
        <c:lblAlgn val="ctr"/>
        <c:lblOffset val="100"/>
        <c:noMultiLvlLbl val="0"/>
      </c:catAx>
      <c:valAx>
        <c:axId val="628840383"/>
        <c:scaling>
          <c:orientation val="minMax"/>
        </c:scaling>
        <c:delete val="1"/>
        <c:axPos val="l"/>
        <c:numFmt formatCode="[&lt;999950]0.0,&quot;K&quot;;[&lt;999950000]0.0,,&quot;M&quot;;0.0,,,&quot;B&quot;" sourceLinked="1"/>
        <c:majorTickMark val="out"/>
        <c:minorTickMark val="none"/>
        <c:tickLblPos val="nextTo"/>
        <c:crossAx val="628841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Tables!PivotTable23</c:name>
    <c:fmtId val="138"/>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Tables'!$CT$8:$CT$9</c:f>
              <c:strCache>
                <c:ptCount val="1"/>
                <c:pt idx="0">
                  <c:v>BE</c:v>
                </c:pt>
              </c:strCache>
            </c:strRef>
          </c:tx>
          <c:spPr>
            <a:ln w="28575" cap="rnd">
              <a:solidFill>
                <a:schemeClr val="accent1"/>
              </a:solidFill>
              <a:round/>
            </a:ln>
            <a:effectLst/>
          </c:spPr>
          <c:marker>
            <c:symbol val="none"/>
          </c:marker>
          <c:cat>
            <c:strRef>
              <c:f>'Pivot Tables'!$CS$10:$CS$26</c:f>
              <c:strCache>
                <c:ptCount val="16"/>
                <c:pt idx="0">
                  <c:v>Jood</c:v>
                </c:pt>
                <c:pt idx="1">
                  <c:v>Habib</c:v>
                </c:pt>
                <c:pt idx="2">
                  <c:v>Adam</c:v>
                </c:pt>
                <c:pt idx="3">
                  <c:v>Kenza</c:v>
                </c:pt>
                <c:pt idx="4">
                  <c:v>Ahmed</c:v>
                </c:pt>
                <c:pt idx="5">
                  <c:v>Dina</c:v>
                </c:pt>
                <c:pt idx="6">
                  <c:v>Hisham</c:v>
                </c:pt>
                <c:pt idx="7">
                  <c:v>John</c:v>
                </c:pt>
                <c:pt idx="8">
                  <c:v>Sahar</c:v>
                </c:pt>
                <c:pt idx="9">
                  <c:v>Khalil</c:v>
                </c:pt>
                <c:pt idx="10">
                  <c:v>Reham</c:v>
                </c:pt>
                <c:pt idx="11">
                  <c:v>Kisho</c:v>
                </c:pt>
                <c:pt idx="12">
                  <c:v>Dary</c:v>
                </c:pt>
                <c:pt idx="13">
                  <c:v>Hany</c:v>
                </c:pt>
                <c:pt idx="14">
                  <c:v>Rony</c:v>
                </c:pt>
                <c:pt idx="15">
                  <c:v>Mohmed</c:v>
                </c:pt>
              </c:strCache>
            </c:strRef>
          </c:cat>
          <c:val>
            <c:numRef>
              <c:f>'Pivot Tables'!$CT$10:$CT$26</c:f>
              <c:numCache>
                <c:formatCode>[&lt;999950]0.0,"K";[&lt;999950000]0.0,,"M";0.0,,,"B"</c:formatCode>
                <c:ptCount val="16"/>
                <c:pt idx="0">
                  <c:v>95000000</c:v>
                </c:pt>
                <c:pt idx="1">
                  <c:v>38000000</c:v>
                </c:pt>
                <c:pt idx="2">
                  <c:v>152000000</c:v>
                </c:pt>
                <c:pt idx="3">
                  <c:v>171000000</c:v>
                </c:pt>
                <c:pt idx="4">
                  <c:v>114000000</c:v>
                </c:pt>
                <c:pt idx="5">
                  <c:v>247000000</c:v>
                </c:pt>
                <c:pt idx="6">
                  <c:v>171000000</c:v>
                </c:pt>
                <c:pt idx="7">
                  <c:v>171000000</c:v>
                </c:pt>
                <c:pt idx="8">
                  <c:v>285000000</c:v>
                </c:pt>
                <c:pt idx="9">
                  <c:v>114000000</c:v>
                </c:pt>
                <c:pt idx="10">
                  <c:v>228000000</c:v>
                </c:pt>
                <c:pt idx="11">
                  <c:v>247000000</c:v>
                </c:pt>
                <c:pt idx="12">
                  <c:v>475000000</c:v>
                </c:pt>
                <c:pt idx="13">
                  <c:v>589000000</c:v>
                </c:pt>
                <c:pt idx="14">
                  <c:v>551000000</c:v>
                </c:pt>
                <c:pt idx="15">
                  <c:v>247000000</c:v>
                </c:pt>
              </c:numCache>
            </c:numRef>
          </c:val>
          <c:smooth val="0"/>
          <c:extLst>
            <c:ext xmlns:c16="http://schemas.microsoft.com/office/drawing/2014/chart" uri="{C3380CC4-5D6E-409C-BE32-E72D297353CC}">
              <c16:uniqueId val="{00000000-5447-4C8D-ACEF-DDF607578237}"/>
            </c:ext>
          </c:extLst>
        </c:ser>
        <c:ser>
          <c:idx val="1"/>
          <c:order val="1"/>
          <c:tx>
            <c:strRef>
              <c:f>'Pivot Tables'!$CU$8:$CU$9</c:f>
              <c:strCache>
                <c:ptCount val="1"/>
                <c:pt idx="0">
                  <c:v>CNI</c:v>
                </c:pt>
              </c:strCache>
            </c:strRef>
          </c:tx>
          <c:spPr>
            <a:ln w="28575" cap="rnd">
              <a:solidFill>
                <a:schemeClr val="accent2"/>
              </a:solidFill>
              <a:round/>
            </a:ln>
            <a:effectLst/>
          </c:spPr>
          <c:marker>
            <c:symbol val="none"/>
          </c:marker>
          <c:cat>
            <c:strRef>
              <c:f>'Pivot Tables'!$CS$10:$CS$26</c:f>
              <c:strCache>
                <c:ptCount val="16"/>
                <c:pt idx="0">
                  <c:v>Jood</c:v>
                </c:pt>
                <c:pt idx="1">
                  <c:v>Habib</c:v>
                </c:pt>
                <c:pt idx="2">
                  <c:v>Adam</c:v>
                </c:pt>
                <c:pt idx="3">
                  <c:v>Kenza</c:v>
                </c:pt>
                <c:pt idx="4">
                  <c:v>Ahmed</c:v>
                </c:pt>
                <c:pt idx="5">
                  <c:v>Dina</c:v>
                </c:pt>
                <c:pt idx="6">
                  <c:v>Hisham</c:v>
                </c:pt>
                <c:pt idx="7">
                  <c:v>John</c:v>
                </c:pt>
                <c:pt idx="8">
                  <c:v>Sahar</c:v>
                </c:pt>
                <c:pt idx="9">
                  <c:v>Khalil</c:v>
                </c:pt>
                <c:pt idx="10">
                  <c:v>Reham</c:v>
                </c:pt>
                <c:pt idx="11">
                  <c:v>Kisho</c:v>
                </c:pt>
                <c:pt idx="12">
                  <c:v>Dary</c:v>
                </c:pt>
                <c:pt idx="13">
                  <c:v>Hany</c:v>
                </c:pt>
                <c:pt idx="14">
                  <c:v>Rony</c:v>
                </c:pt>
                <c:pt idx="15">
                  <c:v>Mohmed</c:v>
                </c:pt>
              </c:strCache>
            </c:strRef>
          </c:cat>
          <c:val>
            <c:numRef>
              <c:f>'Pivot Tables'!$CU$10:$CU$26</c:f>
              <c:numCache>
                <c:formatCode>[&lt;999950]0.0,"K";[&lt;999950000]0.0,,"M";0.0,,,"B"</c:formatCode>
                <c:ptCount val="16"/>
                <c:pt idx="0">
                  <c:v>22000000</c:v>
                </c:pt>
                <c:pt idx="1">
                  <c:v>11000000</c:v>
                </c:pt>
                <c:pt idx="2">
                  <c:v>11000000</c:v>
                </c:pt>
                <c:pt idx="3">
                  <c:v>100000000</c:v>
                </c:pt>
                <c:pt idx="4">
                  <c:v>100000000</c:v>
                </c:pt>
                <c:pt idx="5">
                  <c:v>60000000</c:v>
                </c:pt>
                <c:pt idx="6">
                  <c:v>20000000</c:v>
                </c:pt>
                <c:pt idx="7">
                  <c:v>113000000</c:v>
                </c:pt>
                <c:pt idx="8">
                  <c:v>40000000</c:v>
                </c:pt>
                <c:pt idx="9">
                  <c:v>122000000</c:v>
                </c:pt>
                <c:pt idx="10">
                  <c:v>115000000</c:v>
                </c:pt>
                <c:pt idx="11">
                  <c:v>97000000</c:v>
                </c:pt>
                <c:pt idx="12">
                  <c:v>82000000</c:v>
                </c:pt>
                <c:pt idx="13">
                  <c:v>162000000</c:v>
                </c:pt>
                <c:pt idx="14">
                  <c:v>60000000</c:v>
                </c:pt>
                <c:pt idx="15">
                  <c:v>142000000</c:v>
                </c:pt>
              </c:numCache>
            </c:numRef>
          </c:val>
          <c:smooth val="0"/>
          <c:extLst>
            <c:ext xmlns:c16="http://schemas.microsoft.com/office/drawing/2014/chart" uri="{C3380CC4-5D6E-409C-BE32-E72D297353CC}">
              <c16:uniqueId val="{00000001-5447-4C8D-ACEF-DDF607578237}"/>
            </c:ext>
          </c:extLst>
        </c:ser>
        <c:ser>
          <c:idx val="2"/>
          <c:order val="2"/>
          <c:tx>
            <c:strRef>
              <c:f>'Pivot Tables'!$CV$8:$CV$9</c:f>
              <c:strCache>
                <c:ptCount val="1"/>
                <c:pt idx="0">
                  <c:v>FC</c:v>
                </c:pt>
              </c:strCache>
            </c:strRef>
          </c:tx>
          <c:spPr>
            <a:ln w="28575" cap="rnd">
              <a:solidFill>
                <a:schemeClr val="accent3"/>
              </a:solidFill>
              <a:round/>
            </a:ln>
            <a:effectLst/>
          </c:spPr>
          <c:marker>
            <c:symbol val="none"/>
          </c:marker>
          <c:cat>
            <c:strRef>
              <c:f>'Pivot Tables'!$CS$10:$CS$26</c:f>
              <c:strCache>
                <c:ptCount val="16"/>
                <c:pt idx="0">
                  <c:v>Jood</c:v>
                </c:pt>
                <c:pt idx="1">
                  <c:v>Habib</c:v>
                </c:pt>
                <c:pt idx="2">
                  <c:v>Adam</c:v>
                </c:pt>
                <c:pt idx="3">
                  <c:v>Kenza</c:v>
                </c:pt>
                <c:pt idx="4">
                  <c:v>Ahmed</c:v>
                </c:pt>
                <c:pt idx="5">
                  <c:v>Dina</c:v>
                </c:pt>
                <c:pt idx="6">
                  <c:v>Hisham</c:v>
                </c:pt>
                <c:pt idx="7">
                  <c:v>John</c:v>
                </c:pt>
                <c:pt idx="8">
                  <c:v>Sahar</c:v>
                </c:pt>
                <c:pt idx="9">
                  <c:v>Khalil</c:v>
                </c:pt>
                <c:pt idx="10">
                  <c:v>Reham</c:v>
                </c:pt>
                <c:pt idx="11">
                  <c:v>Kisho</c:v>
                </c:pt>
                <c:pt idx="12">
                  <c:v>Dary</c:v>
                </c:pt>
                <c:pt idx="13">
                  <c:v>Hany</c:v>
                </c:pt>
                <c:pt idx="14">
                  <c:v>Rony</c:v>
                </c:pt>
                <c:pt idx="15">
                  <c:v>Mohmed</c:v>
                </c:pt>
              </c:strCache>
            </c:strRef>
          </c:cat>
          <c:val>
            <c:numRef>
              <c:f>'Pivot Tables'!$CV$10:$CV$26</c:f>
              <c:numCache>
                <c:formatCode>[&lt;999950]0.0,"K";[&lt;999950000]0.0,,"M";0.0,,,"B"</c:formatCode>
                <c:ptCount val="16"/>
                <c:pt idx="1">
                  <c:v>38000000</c:v>
                </c:pt>
                <c:pt idx="7">
                  <c:v>38000000</c:v>
                </c:pt>
                <c:pt idx="9">
                  <c:v>19000000</c:v>
                </c:pt>
                <c:pt idx="13">
                  <c:v>76000000</c:v>
                </c:pt>
                <c:pt idx="15">
                  <c:v>76000000</c:v>
                </c:pt>
              </c:numCache>
            </c:numRef>
          </c:val>
          <c:smooth val="0"/>
          <c:extLst>
            <c:ext xmlns:c16="http://schemas.microsoft.com/office/drawing/2014/chart" uri="{C3380CC4-5D6E-409C-BE32-E72D297353CC}">
              <c16:uniqueId val="{00000005-5447-4C8D-ACEF-DDF607578237}"/>
            </c:ext>
          </c:extLst>
        </c:ser>
        <c:ser>
          <c:idx val="3"/>
          <c:order val="3"/>
          <c:tx>
            <c:strRef>
              <c:f>'Pivot Tables'!$CW$8:$CW$9</c:f>
              <c:strCache>
                <c:ptCount val="1"/>
                <c:pt idx="0">
                  <c:v>GK</c:v>
                </c:pt>
              </c:strCache>
            </c:strRef>
          </c:tx>
          <c:spPr>
            <a:ln w="28575" cap="rnd">
              <a:solidFill>
                <a:schemeClr val="accent4"/>
              </a:solidFill>
              <a:round/>
            </a:ln>
            <a:effectLst/>
          </c:spPr>
          <c:marker>
            <c:symbol val="none"/>
          </c:marker>
          <c:cat>
            <c:strRef>
              <c:f>'Pivot Tables'!$CS$10:$CS$26</c:f>
              <c:strCache>
                <c:ptCount val="16"/>
                <c:pt idx="0">
                  <c:v>Jood</c:v>
                </c:pt>
                <c:pt idx="1">
                  <c:v>Habib</c:v>
                </c:pt>
                <c:pt idx="2">
                  <c:v>Adam</c:v>
                </c:pt>
                <c:pt idx="3">
                  <c:v>Kenza</c:v>
                </c:pt>
                <c:pt idx="4">
                  <c:v>Ahmed</c:v>
                </c:pt>
                <c:pt idx="5">
                  <c:v>Dina</c:v>
                </c:pt>
                <c:pt idx="6">
                  <c:v>Hisham</c:v>
                </c:pt>
                <c:pt idx="7">
                  <c:v>John</c:v>
                </c:pt>
                <c:pt idx="8">
                  <c:v>Sahar</c:v>
                </c:pt>
                <c:pt idx="9">
                  <c:v>Khalil</c:v>
                </c:pt>
                <c:pt idx="10">
                  <c:v>Reham</c:v>
                </c:pt>
                <c:pt idx="11">
                  <c:v>Kisho</c:v>
                </c:pt>
                <c:pt idx="12">
                  <c:v>Dary</c:v>
                </c:pt>
                <c:pt idx="13">
                  <c:v>Hany</c:v>
                </c:pt>
                <c:pt idx="14">
                  <c:v>Rony</c:v>
                </c:pt>
                <c:pt idx="15">
                  <c:v>Mohmed</c:v>
                </c:pt>
              </c:strCache>
            </c:strRef>
          </c:cat>
          <c:val>
            <c:numRef>
              <c:f>'Pivot Tables'!$CW$10:$CW$26</c:f>
              <c:numCache>
                <c:formatCode>[&lt;999950]0.0,"K";[&lt;999950000]0.0,,"M";0.0,,,"B"</c:formatCode>
                <c:ptCount val="16"/>
                <c:pt idx="0">
                  <c:v>212000000</c:v>
                </c:pt>
                <c:pt idx="1">
                  <c:v>245000000</c:v>
                </c:pt>
                <c:pt idx="2">
                  <c:v>216000000</c:v>
                </c:pt>
                <c:pt idx="3">
                  <c:v>140000000</c:v>
                </c:pt>
                <c:pt idx="4">
                  <c:v>436000000</c:v>
                </c:pt>
                <c:pt idx="5">
                  <c:v>525000000</c:v>
                </c:pt>
                <c:pt idx="6">
                  <c:v>804000000</c:v>
                </c:pt>
                <c:pt idx="7">
                  <c:v>707000000</c:v>
                </c:pt>
                <c:pt idx="8">
                  <c:v>741000000</c:v>
                </c:pt>
                <c:pt idx="9">
                  <c:v>922000000</c:v>
                </c:pt>
                <c:pt idx="10">
                  <c:v>900000000</c:v>
                </c:pt>
                <c:pt idx="11">
                  <c:v>944000000</c:v>
                </c:pt>
                <c:pt idx="12">
                  <c:v>803000000</c:v>
                </c:pt>
                <c:pt idx="13">
                  <c:v>707000000</c:v>
                </c:pt>
                <c:pt idx="14">
                  <c:v>1027000000</c:v>
                </c:pt>
                <c:pt idx="15">
                  <c:v>1262000000</c:v>
                </c:pt>
              </c:numCache>
            </c:numRef>
          </c:val>
          <c:smooth val="0"/>
          <c:extLst>
            <c:ext xmlns:c16="http://schemas.microsoft.com/office/drawing/2014/chart" uri="{C3380CC4-5D6E-409C-BE32-E72D297353CC}">
              <c16:uniqueId val="{00000006-5447-4C8D-ACEF-DDF607578237}"/>
            </c:ext>
          </c:extLst>
        </c:ser>
        <c:dLbls>
          <c:showLegendKey val="0"/>
          <c:showVal val="0"/>
          <c:showCatName val="0"/>
          <c:showSerName val="0"/>
          <c:showPercent val="0"/>
          <c:showBubbleSize val="0"/>
        </c:dLbls>
        <c:smooth val="0"/>
        <c:axId val="671507215"/>
        <c:axId val="671505295"/>
      </c:lineChart>
      <c:catAx>
        <c:axId val="671507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505295"/>
        <c:crosses val="autoZero"/>
        <c:auto val="1"/>
        <c:lblAlgn val="ctr"/>
        <c:lblOffset val="100"/>
        <c:noMultiLvlLbl val="0"/>
      </c:catAx>
      <c:valAx>
        <c:axId val="671505295"/>
        <c:scaling>
          <c:orientation val="minMax"/>
        </c:scaling>
        <c:delete val="0"/>
        <c:axPos val="l"/>
        <c:majorGridlines>
          <c:spPr>
            <a:ln w="9525" cap="flat" cmpd="sng" algn="ctr">
              <a:solidFill>
                <a:schemeClr val="tx1">
                  <a:lumMod val="15000"/>
                  <a:lumOff val="85000"/>
                </a:schemeClr>
              </a:solidFill>
              <a:round/>
            </a:ln>
            <a:effectLst/>
          </c:spPr>
        </c:majorGridlines>
        <c:numFmt formatCode="[&lt;999950]0.0,&quot;K&quot;;[&lt;999950000]0.0,,&quot;M&quot;;0.0,,,&quot;B&quot;"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671507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2.svg"/><Relationship Id="rId18" Type="http://schemas.openxmlformats.org/officeDocument/2006/relationships/chart" Target="../charts/chart15.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1.png"/><Relationship Id="rId17" Type="http://schemas.openxmlformats.org/officeDocument/2006/relationships/chart" Target="../charts/chart14.xml"/><Relationship Id="rId2" Type="http://schemas.openxmlformats.org/officeDocument/2006/relationships/chart" Target="../charts/chart2.xml"/><Relationship Id="rId16" Type="http://schemas.openxmlformats.org/officeDocument/2006/relationships/chart" Target="../charts/chart13.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2.xml"/><Relationship Id="rId10" Type="http://schemas.openxmlformats.org/officeDocument/2006/relationships/chart" Target="../charts/chart10.xml"/><Relationship Id="rId19" Type="http://schemas.openxmlformats.org/officeDocument/2006/relationships/chart" Target="../charts/chart16.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3.svg"/></Relationships>
</file>

<file path=xl/drawings/_rels/drawing2.xml.rels><?xml version="1.0" encoding="UTF-8" standalone="yes"?>
<Relationships xmlns="http://schemas.openxmlformats.org/package/2006/relationships"><Relationship Id="rId8" Type="http://schemas.openxmlformats.org/officeDocument/2006/relationships/chart" Target="../charts/chart24.xml"/><Relationship Id="rId13" Type="http://schemas.openxmlformats.org/officeDocument/2006/relationships/chart" Target="../charts/chart29.xml"/><Relationship Id="rId18" Type="http://schemas.openxmlformats.org/officeDocument/2006/relationships/chart" Target="../charts/chart34.xml"/><Relationship Id="rId3" Type="http://schemas.openxmlformats.org/officeDocument/2006/relationships/chart" Target="../charts/chart19.xml"/><Relationship Id="rId7" Type="http://schemas.openxmlformats.org/officeDocument/2006/relationships/chart" Target="../charts/chart23.xml"/><Relationship Id="rId12" Type="http://schemas.openxmlformats.org/officeDocument/2006/relationships/chart" Target="../charts/chart28.xml"/><Relationship Id="rId17" Type="http://schemas.openxmlformats.org/officeDocument/2006/relationships/chart" Target="../charts/chart33.xml"/><Relationship Id="rId2" Type="http://schemas.openxmlformats.org/officeDocument/2006/relationships/chart" Target="../charts/chart18.xml"/><Relationship Id="rId16" Type="http://schemas.openxmlformats.org/officeDocument/2006/relationships/chart" Target="../charts/chart32.xml"/><Relationship Id="rId1" Type="http://schemas.openxmlformats.org/officeDocument/2006/relationships/chart" Target="../charts/chart17.xml"/><Relationship Id="rId6" Type="http://schemas.openxmlformats.org/officeDocument/2006/relationships/chart" Target="../charts/chart22.xml"/><Relationship Id="rId11" Type="http://schemas.openxmlformats.org/officeDocument/2006/relationships/chart" Target="../charts/chart27.xml"/><Relationship Id="rId5" Type="http://schemas.openxmlformats.org/officeDocument/2006/relationships/chart" Target="../charts/chart21.xml"/><Relationship Id="rId15" Type="http://schemas.openxmlformats.org/officeDocument/2006/relationships/chart" Target="../charts/chart31.xml"/><Relationship Id="rId10" Type="http://schemas.openxmlformats.org/officeDocument/2006/relationships/chart" Target="../charts/chart26.xml"/><Relationship Id="rId4" Type="http://schemas.openxmlformats.org/officeDocument/2006/relationships/chart" Target="../charts/chart20.xml"/><Relationship Id="rId9" Type="http://schemas.openxmlformats.org/officeDocument/2006/relationships/chart" Target="../charts/chart25.xml"/><Relationship Id="rId14" Type="http://schemas.openxmlformats.org/officeDocument/2006/relationships/chart" Target="../charts/chart30.xml"/></Relationships>
</file>

<file path=xl/drawings/drawing1.xml><?xml version="1.0" encoding="utf-8"?>
<xdr:wsDr xmlns:xdr="http://schemas.openxmlformats.org/drawingml/2006/spreadsheetDrawing" xmlns:a="http://schemas.openxmlformats.org/drawingml/2006/main">
  <xdr:twoCellAnchor>
    <xdr:from>
      <xdr:col>0</xdr:col>
      <xdr:colOff>67205</xdr:colOff>
      <xdr:row>0</xdr:row>
      <xdr:rowOff>93382</xdr:rowOff>
    </xdr:from>
    <xdr:to>
      <xdr:col>0</xdr:col>
      <xdr:colOff>613410</xdr:colOff>
      <xdr:row>4</xdr:row>
      <xdr:rowOff>90658</xdr:rowOff>
    </xdr:to>
    <xdr:sp macro="" textlink="">
      <xdr:nvSpPr>
        <xdr:cNvPr id="2" name="Rectangle: Rounded Corners 1">
          <a:extLst>
            <a:ext uri="{FF2B5EF4-FFF2-40B4-BE49-F238E27FC236}">
              <a16:creationId xmlns:a16="http://schemas.microsoft.com/office/drawing/2014/main" id="{7865B12B-DD4B-5BDD-83F0-13EE8DF7B856}"/>
            </a:ext>
          </a:extLst>
        </xdr:cNvPr>
        <xdr:cNvSpPr/>
      </xdr:nvSpPr>
      <xdr:spPr>
        <a:xfrm>
          <a:off x="67205" y="93382"/>
          <a:ext cx="546205" cy="797376"/>
        </a:xfrm>
        <a:prstGeom prst="roundRect">
          <a:avLst>
            <a:gd name="adj" fmla="val 8022"/>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xdr:row>
      <xdr:rowOff>194913</xdr:rowOff>
    </xdr:from>
    <xdr:to>
      <xdr:col>0</xdr:col>
      <xdr:colOff>673422</xdr:colOff>
      <xdr:row>4</xdr:row>
      <xdr:rowOff>101567</xdr:rowOff>
    </xdr:to>
    <xdr:sp macro="" textlink="">
      <xdr:nvSpPr>
        <xdr:cNvPr id="3" name="TextBox 2">
          <a:extLst>
            <a:ext uri="{FF2B5EF4-FFF2-40B4-BE49-F238E27FC236}">
              <a16:creationId xmlns:a16="http://schemas.microsoft.com/office/drawing/2014/main" id="{D2640FFF-A428-0EA7-8A81-397DD85C438C}"/>
            </a:ext>
          </a:extLst>
        </xdr:cNvPr>
        <xdr:cNvSpPr txBox="1"/>
      </xdr:nvSpPr>
      <xdr:spPr>
        <a:xfrm>
          <a:off x="0" y="395439"/>
          <a:ext cx="673422" cy="508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500">
              <a:solidFill>
                <a:srgbClr val="CC00CC"/>
              </a:solidFill>
              <a:latin typeface="Aptos" panose="020B0004020202020204" pitchFamily="34" charset="0"/>
            </a:rPr>
            <a:t>OTHERS LEVEL</a:t>
          </a:r>
          <a:endParaRPr lang="en-IN" sz="400">
            <a:solidFill>
              <a:schemeClr val="tx1"/>
            </a:solidFill>
            <a:latin typeface="Aptos" panose="020B0004020202020204" pitchFamily="34" charset="0"/>
          </a:endParaRPr>
        </a:p>
        <a:p>
          <a:pPr algn="ctr"/>
          <a:r>
            <a:rPr lang="en-IN" sz="200">
              <a:solidFill>
                <a:schemeClr val="tx1"/>
              </a:solidFill>
              <a:latin typeface="Aptos" panose="020B0004020202020204" pitchFamily="34" charset="0"/>
            </a:rPr>
            <a:t> </a:t>
          </a:r>
          <a:r>
            <a:rPr lang="en-IN" sz="500" baseline="0">
              <a:solidFill>
                <a:schemeClr val="dk1"/>
              </a:solidFill>
              <a:latin typeface="Aptos" panose="020B0004020202020204" pitchFamily="34" charset="0"/>
            </a:rPr>
            <a:t>Sales Performance Matrix 2022</a:t>
          </a:r>
          <a:endParaRPr lang="en-IN" sz="400" baseline="0">
            <a:latin typeface="Aptos" panose="020B0004020202020204" pitchFamily="34" charset="0"/>
          </a:endParaRPr>
        </a:p>
        <a:p>
          <a:endParaRPr lang="en-IN" sz="800"/>
        </a:p>
      </xdr:txBody>
    </xdr:sp>
    <xdr:clientData/>
  </xdr:twoCellAnchor>
  <xdr:twoCellAnchor>
    <xdr:from>
      <xdr:col>0</xdr:col>
      <xdr:colOff>635736</xdr:colOff>
      <xdr:row>0</xdr:row>
      <xdr:rowOff>93382</xdr:rowOff>
    </xdr:from>
    <xdr:to>
      <xdr:col>1</xdr:col>
      <xdr:colOff>637044</xdr:colOff>
      <xdr:row>4</xdr:row>
      <xdr:rowOff>90658</xdr:rowOff>
    </xdr:to>
    <xdr:sp macro="" textlink="">
      <xdr:nvSpPr>
        <xdr:cNvPr id="5" name="Rectangle: Rounded Corners 4">
          <a:extLst>
            <a:ext uri="{FF2B5EF4-FFF2-40B4-BE49-F238E27FC236}">
              <a16:creationId xmlns:a16="http://schemas.microsoft.com/office/drawing/2014/main" id="{62AFE8A8-C96C-4D77-9421-2296D629E0CD}"/>
            </a:ext>
          </a:extLst>
        </xdr:cNvPr>
        <xdr:cNvSpPr/>
      </xdr:nvSpPr>
      <xdr:spPr>
        <a:xfrm>
          <a:off x="635736" y="93382"/>
          <a:ext cx="686181" cy="798050"/>
        </a:xfrm>
        <a:prstGeom prst="roundRect">
          <a:avLst>
            <a:gd name="adj" fmla="val 3881"/>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619484</xdr:colOff>
      <xdr:row>0</xdr:row>
      <xdr:rowOff>80442</xdr:rowOff>
    </xdr:from>
    <xdr:to>
      <xdr:col>2</xdr:col>
      <xdr:colOff>14323</xdr:colOff>
      <xdr:row>1</xdr:row>
      <xdr:rowOff>39389</xdr:rowOff>
    </xdr:to>
    <xdr:sp macro="" textlink="">
      <xdr:nvSpPr>
        <xdr:cNvPr id="6" name="TextBox 5">
          <a:extLst>
            <a:ext uri="{FF2B5EF4-FFF2-40B4-BE49-F238E27FC236}">
              <a16:creationId xmlns:a16="http://schemas.microsoft.com/office/drawing/2014/main" id="{235F25C2-D340-6A3B-B5DA-1E268A41B4CC}"/>
            </a:ext>
          </a:extLst>
        </xdr:cNvPr>
        <xdr:cNvSpPr txBox="1"/>
      </xdr:nvSpPr>
      <xdr:spPr>
        <a:xfrm>
          <a:off x="619484" y="80442"/>
          <a:ext cx="766296" cy="159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600" b="1">
              <a:latin typeface="Aptos" panose="020B0004020202020204" pitchFamily="34" charset="0"/>
            </a:rPr>
            <a:t>Total</a:t>
          </a:r>
          <a:r>
            <a:rPr lang="en-IN" sz="600" b="1" baseline="0">
              <a:latin typeface="Aptos" panose="020B0004020202020204" pitchFamily="34" charset="0"/>
            </a:rPr>
            <a:t> </a:t>
          </a:r>
          <a:r>
            <a:rPr lang="en-IN" sz="600" b="1" baseline="0">
              <a:latin typeface="Arial" panose="020B0604020202020204" pitchFamily="34" charset="0"/>
              <a:cs typeface="Arial" panose="020B0604020202020204" pitchFamily="34" charset="0"/>
            </a:rPr>
            <a:t>Earning</a:t>
          </a:r>
          <a:endParaRPr lang="en-IN" sz="1200" b="1">
            <a:latin typeface="Arial" panose="020B0604020202020204" pitchFamily="34" charset="0"/>
            <a:cs typeface="Arial" panose="020B0604020202020204" pitchFamily="34" charset="0"/>
          </a:endParaRPr>
        </a:p>
      </xdr:txBody>
    </xdr:sp>
    <xdr:clientData/>
  </xdr:twoCellAnchor>
  <xdr:twoCellAnchor>
    <xdr:from>
      <xdr:col>0</xdr:col>
      <xdr:colOff>635736</xdr:colOff>
      <xdr:row>0</xdr:row>
      <xdr:rowOff>197945</xdr:rowOff>
    </xdr:from>
    <xdr:to>
      <xdr:col>1</xdr:col>
      <xdr:colOff>610530</xdr:colOff>
      <xdr:row>1</xdr:row>
      <xdr:rowOff>161138</xdr:rowOff>
    </xdr:to>
    <xdr:sp macro="" textlink="'Pivot Tables'!A7">
      <xdr:nvSpPr>
        <xdr:cNvPr id="9" name="TextBox 8">
          <a:extLst>
            <a:ext uri="{FF2B5EF4-FFF2-40B4-BE49-F238E27FC236}">
              <a16:creationId xmlns:a16="http://schemas.microsoft.com/office/drawing/2014/main" id="{125478BC-17B7-AEE2-0119-96FEC4F9945A}"/>
            </a:ext>
          </a:extLst>
        </xdr:cNvPr>
        <xdr:cNvSpPr txBox="1"/>
      </xdr:nvSpPr>
      <xdr:spPr>
        <a:xfrm>
          <a:off x="635736" y="197945"/>
          <a:ext cx="660523" cy="163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8F828155-B584-4A63-803C-F7FC7C5EA638}" type="TxLink">
            <a:rPr lang="en-US" sz="600" b="0" i="0" u="none" strike="noStrike">
              <a:solidFill>
                <a:srgbClr val="000000"/>
              </a:solidFill>
              <a:latin typeface="Calibri"/>
              <a:ea typeface="Calibri"/>
              <a:cs typeface="Calibri"/>
            </a:rPr>
            <a:pPr/>
            <a:t>15,99,00,00,000</a:t>
          </a:fld>
          <a:endParaRPr lang="en-IN" sz="200">
            <a:latin typeface="Arial" panose="020B0604020202020204" pitchFamily="34" charset="0"/>
            <a:cs typeface="Arial" panose="020B0604020202020204" pitchFamily="34" charset="0"/>
          </a:endParaRPr>
        </a:p>
      </xdr:txBody>
    </xdr:sp>
    <xdr:clientData/>
  </xdr:twoCellAnchor>
  <xdr:twoCellAnchor>
    <xdr:from>
      <xdr:col>0</xdr:col>
      <xdr:colOff>537264</xdr:colOff>
      <xdr:row>1</xdr:row>
      <xdr:rowOff>98786</xdr:rowOff>
    </xdr:from>
    <xdr:to>
      <xdr:col>1</xdr:col>
      <xdr:colOff>535333</xdr:colOff>
      <xdr:row>2</xdr:row>
      <xdr:rowOff>12533</xdr:rowOff>
    </xdr:to>
    <xdr:sp macro="" textlink="">
      <xdr:nvSpPr>
        <xdr:cNvPr id="11" name="TextBox 10">
          <a:extLst>
            <a:ext uri="{FF2B5EF4-FFF2-40B4-BE49-F238E27FC236}">
              <a16:creationId xmlns:a16="http://schemas.microsoft.com/office/drawing/2014/main" id="{325E15A8-12EF-09A3-F22C-C867F928C184}"/>
            </a:ext>
          </a:extLst>
        </xdr:cNvPr>
        <xdr:cNvSpPr txBox="1"/>
      </xdr:nvSpPr>
      <xdr:spPr>
        <a:xfrm>
          <a:off x="537264" y="299312"/>
          <a:ext cx="683798" cy="114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IN" sz="300">
              <a:latin typeface="Arial" panose="020B0604020202020204" pitchFamily="34" charset="0"/>
              <a:cs typeface="Arial" panose="020B0604020202020204" pitchFamily="34" charset="0"/>
            </a:rPr>
            <a:t>egyptian pounds</a:t>
          </a:r>
          <a:endParaRPr lang="en-IN" sz="1050">
            <a:latin typeface="Arial" panose="020B0604020202020204" pitchFamily="34" charset="0"/>
            <a:cs typeface="Arial" panose="020B0604020202020204" pitchFamily="34" charset="0"/>
          </a:endParaRPr>
        </a:p>
      </xdr:txBody>
    </xdr:sp>
    <xdr:clientData/>
  </xdr:twoCellAnchor>
  <xdr:twoCellAnchor>
    <xdr:from>
      <xdr:col>1</xdr:col>
      <xdr:colOff>508399</xdr:colOff>
      <xdr:row>1</xdr:row>
      <xdr:rowOff>5953</xdr:rowOff>
    </xdr:from>
    <xdr:to>
      <xdr:col>1</xdr:col>
      <xdr:colOff>563231</xdr:colOff>
      <xdr:row>1</xdr:row>
      <xdr:rowOff>54184</xdr:rowOff>
    </xdr:to>
    <xdr:sp macro="" textlink="">
      <xdr:nvSpPr>
        <xdr:cNvPr id="12" name="Isosceles Triangle 11">
          <a:extLst>
            <a:ext uri="{FF2B5EF4-FFF2-40B4-BE49-F238E27FC236}">
              <a16:creationId xmlns:a16="http://schemas.microsoft.com/office/drawing/2014/main" id="{44B2DC74-E034-DCB7-6A92-A4EDF36FB48B}"/>
            </a:ext>
          </a:extLst>
        </xdr:cNvPr>
        <xdr:cNvSpPr/>
      </xdr:nvSpPr>
      <xdr:spPr>
        <a:xfrm>
          <a:off x="1194256" y="205579"/>
          <a:ext cx="54832" cy="48231"/>
        </a:xfrm>
        <a:prstGeom prst="triangle">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592628</xdr:colOff>
      <xdr:row>2</xdr:row>
      <xdr:rowOff>69826</xdr:rowOff>
    </xdr:from>
    <xdr:to>
      <xdr:col>2</xdr:col>
      <xdr:colOff>100263</xdr:colOff>
      <xdr:row>3</xdr:row>
      <xdr:rowOff>16113</xdr:rowOff>
    </xdr:to>
    <xdr:sp macro="" textlink="">
      <xdr:nvSpPr>
        <xdr:cNvPr id="18" name="TextBox 17">
          <a:extLst>
            <a:ext uri="{FF2B5EF4-FFF2-40B4-BE49-F238E27FC236}">
              <a16:creationId xmlns:a16="http://schemas.microsoft.com/office/drawing/2014/main" id="{A0ED7E4B-CBCD-4053-BBF1-9E2EBC051A4D}"/>
            </a:ext>
          </a:extLst>
        </xdr:cNvPr>
        <xdr:cNvSpPr txBox="1"/>
      </xdr:nvSpPr>
      <xdr:spPr>
        <a:xfrm>
          <a:off x="592628" y="470879"/>
          <a:ext cx="879092" cy="146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500" b="1"/>
            <a:t>Total Paid Calls</a:t>
          </a:r>
          <a:endParaRPr lang="en-IN" sz="1100" b="1"/>
        </a:p>
      </xdr:txBody>
    </xdr:sp>
    <xdr:clientData/>
  </xdr:twoCellAnchor>
  <xdr:twoCellAnchor>
    <xdr:from>
      <xdr:col>1</xdr:col>
      <xdr:colOff>3581</xdr:colOff>
      <xdr:row>2</xdr:row>
      <xdr:rowOff>182622</xdr:rowOff>
    </xdr:from>
    <xdr:to>
      <xdr:col>1</xdr:col>
      <xdr:colOff>571141</xdr:colOff>
      <xdr:row>3</xdr:row>
      <xdr:rowOff>89521</xdr:rowOff>
    </xdr:to>
    <xdr:sp macro="" textlink="'Pivot Tables'!E9">
      <xdr:nvSpPr>
        <xdr:cNvPr id="19" name="TextBox 18">
          <a:extLst>
            <a:ext uri="{FF2B5EF4-FFF2-40B4-BE49-F238E27FC236}">
              <a16:creationId xmlns:a16="http://schemas.microsoft.com/office/drawing/2014/main" id="{2F5CF27D-6AAE-20E4-A32C-4EA9C4C3DA45}"/>
            </a:ext>
          </a:extLst>
        </xdr:cNvPr>
        <xdr:cNvSpPr txBox="1"/>
      </xdr:nvSpPr>
      <xdr:spPr>
        <a:xfrm>
          <a:off x="689310" y="583675"/>
          <a:ext cx="567560" cy="107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ABF6CE53-D1F1-4D55-93D4-19C2C50833CC}" type="TxLink">
            <a:rPr lang="en-US" sz="700" b="0" i="0" u="none" strike="noStrike">
              <a:solidFill>
                <a:srgbClr val="000000"/>
              </a:solidFill>
              <a:latin typeface="Arial" panose="020B0604020202020204" pitchFamily="34" charset="0"/>
              <a:ea typeface="Calibri"/>
              <a:cs typeface="Arial" panose="020B0604020202020204" pitchFamily="34" charset="0"/>
            </a:rPr>
            <a:pPr marL="0" indent="0"/>
            <a:t>926</a:t>
          </a:fld>
          <a:endParaRPr lang="en-IN" sz="700" b="0" i="0" u="none" strike="noStrike">
            <a:solidFill>
              <a:srgbClr val="000000"/>
            </a:solidFill>
            <a:latin typeface="Arial" panose="020B0604020202020204" pitchFamily="34" charset="0"/>
            <a:ea typeface="Calibri"/>
            <a:cs typeface="Arial" panose="020B0604020202020204" pitchFamily="34" charset="0"/>
          </a:endParaRPr>
        </a:p>
      </xdr:txBody>
    </xdr:sp>
    <xdr:clientData/>
  </xdr:twoCellAnchor>
  <xdr:twoCellAnchor>
    <xdr:from>
      <xdr:col>1</xdr:col>
      <xdr:colOff>654225</xdr:colOff>
      <xdr:row>0</xdr:row>
      <xdr:rowOff>87730</xdr:rowOff>
    </xdr:from>
    <xdr:to>
      <xdr:col>2</xdr:col>
      <xdr:colOff>655534</xdr:colOff>
      <xdr:row>4</xdr:row>
      <xdr:rowOff>85006</xdr:rowOff>
    </xdr:to>
    <xdr:sp macro="" textlink="">
      <xdr:nvSpPr>
        <xdr:cNvPr id="22" name="Rectangle: Rounded Corners 21">
          <a:extLst>
            <a:ext uri="{FF2B5EF4-FFF2-40B4-BE49-F238E27FC236}">
              <a16:creationId xmlns:a16="http://schemas.microsoft.com/office/drawing/2014/main" id="{5301CA7F-812B-446A-AB24-48648B8BF037}"/>
            </a:ext>
          </a:extLst>
        </xdr:cNvPr>
        <xdr:cNvSpPr/>
      </xdr:nvSpPr>
      <xdr:spPr>
        <a:xfrm>
          <a:off x="1339098" y="87730"/>
          <a:ext cx="686182" cy="798050"/>
        </a:xfrm>
        <a:prstGeom prst="roundRect">
          <a:avLst>
            <a:gd name="adj" fmla="val 3881"/>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606949</xdr:colOff>
      <xdr:row>0</xdr:row>
      <xdr:rowOff>66245</xdr:rowOff>
    </xdr:from>
    <xdr:to>
      <xdr:col>2</xdr:col>
      <xdr:colOff>458346</xdr:colOff>
      <xdr:row>1</xdr:row>
      <xdr:rowOff>153976</xdr:rowOff>
    </xdr:to>
    <xdr:sp macro="" textlink="">
      <xdr:nvSpPr>
        <xdr:cNvPr id="24" name="TextBox 23">
          <a:extLst>
            <a:ext uri="{FF2B5EF4-FFF2-40B4-BE49-F238E27FC236}">
              <a16:creationId xmlns:a16="http://schemas.microsoft.com/office/drawing/2014/main" id="{84E6EF84-A59B-45CC-BA75-2851383B06FD}"/>
            </a:ext>
          </a:extLst>
        </xdr:cNvPr>
        <xdr:cNvSpPr txBox="1"/>
      </xdr:nvSpPr>
      <xdr:spPr>
        <a:xfrm>
          <a:off x="1292678" y="66245"/>
          <a:ext cx="537125" cy="288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400" b="0">
              <a:latin typeface="Arial" panose="020B0604020202020204" pitchFamily="34" charset="0"/>
              <a:cs typeface="Arial" panose="020B0604020202020204" pitchFamily="34" charset="0"/>
            </a:rPr>
            <a:t>Top</a:t>
          </a:r>
          <a:r>
            <a:rPr lang="en-IN" sz="400" b="0" baseline="0">
              <a:latin typeface="Arial" panose="020B0604020202020204" pitchFamily="34" charset="0"/>
              <a:cs typeface="Arial" panose="020B0604020202020204" pitchFamily="34" charset="0"/>
            </a:rPr>
            <a:t> 5 Consultant Sales Revenue</a:t>
          </a:r>
          <a:endParaRPr lang="en-IN" sz="1100" b="0">
            <a:latin typeface="Arial" panose="020B0604020202020204" pitchFamily="34" charset="0"/>
            <a:cs typeface="Arial" panose="020B0604020202020204" pitchFamily="34" charset="0"/>
          </a:endParaRPr>
        </a:p>
      </xdr:txBody>
    </xdr:sp>
    <xdr:clientData/>
  </xdr:twoCellAnchor>
  <xdr:twoCellAnchor>
    <xdr:from>
      <xdr:col>2</xdr:col>
      <xdr:colOff>307298</xdr:colOff>
      <xdr:row>1</xdr:row>
      <xdr:rowOff>170280</xdr:rowOff>
    </xdr:from>
    <xdr:to>
      <xdr:col>3</xdr:col>
      <xdr:colOff>75521</xdr:colOff>
      <xdr:row>2</xdr:row>
      <xdr:rowOff>59273</xdr:rowOff>
    </xdr:to>
    <xdr:sp macro="" textlink="'Pivot Tables'!K5">
      <xdr:nvSpPr>
        <xdr:cNvPr id="4" name="TextBox 3">
          <a:extLst>
            <a:ext uri="{FF2B5EF4-FFF2-40B4-BE49-F238E27FC236}">
              <a16:creationId xmlns:a16="http://schemas.microsoft.com/office/drawing/2014/main" id="{DD849A91-7B81-40BF-BFC3-3DF279120D1B}"/>
            </a:ext>
          </a:extLst>
        </xdr:cNvPr>
        <xdr:cNvSpPr txBox="1"/>
      </xdr:nvSpPr>
      <xdr:spPr>
        <a:xfrm>
          <a:off x="1678898" y="370305"/>
          <a:ext cx="454023" cy="89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00EC8FD-9A51-476D-BE1B-7989829F354E}" type="TxLink">
            <a:rPr lang="en-US" sz="400" b="0" i="0" u="none" strike="noStrike">
              <a:solidFill>
                <a:srgbClr val="000000"/>
              </a:solidFill>
              <a:latin typeface="Arial" panose="020B0604020202020204" pitchFamily="34" charset="0"/>
              <a:ea typeface="Calibri"/>
              <a:cs typeface="Arial" panose="020B0604020202020204" pitchFamily="34" charset="0"/>
            </a:rPr>
            <a:pPr algn="l"/>
            <a:t>Mohmed</a:t>
          </a:fld>
          <a:endParaRPr lang="en-IN" sz="300" b="1">
            <a:latin typeface="Arial" panose="020B0604020202020204" pitchFamily="34" charset="0"/>
            <a:cs typeface="Arial" panose="020B0604020202020204" pitchFamily="34" charset="0"/>
          </a:endParaRPr>
        </a:p>
      </xdr:txBody>
    </xdr:sp>
    <xdr:clientData/>
  </xdr:twoCellAnchor>
  <xdr:twoCellAnchor>
    <xdr:from>
      <xdr:col>1</xdr:col>
      <xdr:colOff>615096</xdr:colOff>
      <xdr:row>1</xdr:row>
      <xdr:rowOff>143664</xdr:rowOff>
    </xdr:from>
    <xdr:to>
      <xdr:col>2</xdr:col>
      <xdr:colOff>428945</xdr:colOff>
      <xdr:row>2</xdr:row>
      <xdr:rowOff>89950</xdr:rowOff>
    </xdr:to>
    <xdr:sp macro="" textlink="'Pivot Tables'!L5">
      <xdr:nvSpPr>
        <xdr:cNvPr id="7" name="TextBox 6">
          <a:extLst>
            <a:ext uri="{FF2B5EF4-FFF2-40B4-BE49-F238E27FC236}">
              <a16:creationId xmlns:a16="http://schemas.microsoft.com/office/drawing/2014/main" id="{3E4BB38F-FBC5-4D95-B051-11B91DC8177B}"/>
            </a:ext>
          </a:extLst>
        </xdr:cNvPr>
        <xdr:cNvSpPr txBox="1"/>
      </xdr:nvSpPr>
      <xdr:spPr>
        <a:xfrm>
          <a:off x="1300896" y="343689"/>
          <a:ext cx="499649" cy="146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203E258-C767-4CF6-A5A6-7E371519E1AF}" type="TxLink">
            <a:rPr lang="en-US" sz="300" b="0" i="0" u="none" strike="noStrike">
              <a:solidFill>
                <a:srgbClr val="000000"/>
              </a:solidFill>
              <a:latin typeface="Arial" panose="020B0604020202020204" pitchFamily="34" charset="0"/>
              <a:ea typeface="Calibri"/>
              <a:cs typeface="Arial" panose="020B0604020202020204" pitchFamily="34" charset="0"/>
            </a:rPr>
            <a:pPr algn="l"/>
            <a:t>1,72,70,00,000</a:t>
          </a:fld>
          <a:endParaRPr lang="en-IN" sz="100" b="1">
            <a:latin typeface="Arial" panose="020B0604020202020204" pitchFamily="34" charset="0"/>
            <a:cs typeface="Arial" panose="020B0604020202020204" pitchFamily="34" charset="0"/>
          </a:endParaRPr>
        </a:p>
      </xdr:txBody>
    </xdr:sp>
    <xdr:clientData/>
  </xdr:twoCellAnchor>
  <xdr:twoCellAnchor>
    <xdr:from>
      <xdr:col>1</xdr:col>
      <xdr:colOff>594418</xdr:colOff>
      <xdr:row>2</xdr:row>
      <xdr:rowOff>53713</xdr:rowOff>
    </xdr:from>
    <xdr:to>
      <xdr:col>2</xdr:col>
      <xdr:colOff>670924</xdr:colOff>
      <xdr:row>3</xdr:row>
      <xdr:rowOff>0</xdr:rowOff>
    </xdr:to>
    <xdr:sp macro="" textlink="">
      <xdr:nvSpPr>
        <xdr:cNvPr id="8" name="TextBox 7">
          <a:extLst>
            <a:ext uri="{FF2B5EF4-FFF2-40B4-BE49-F238E27FC236}">
              <a16:creationId xmlns:a16="http://schemas.microsoft.com/office/drawing/2014/main" id="{B4BA5FAA-0E30-4C17-BF91-F76E6F7FF2C2}"/>
            </a:ext>
          </a:extLst>
        </xdr:cNvPr>
        <xdr:cNvSpPr txBox="1"/>
      </xdr:nvSpPr>
      <xdr:spPr>
        <a:xfrm>
          <a:off x="1280147" y="454766"/>
          <a:ext cx="762234" cy="146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lang="en-IN" sz="1100" b="0">
            <a:latin typeface="Arial" panose="020B0604020202020204" pitchFamily="34" charset="0"/>
            <a:cs typeface="Arial" panose="020B0604020202020204" pitchFamily="34" charset="0"/>
          </a:endParaRPr>
        </a:p>
      </xdr:txBody>
    </xdr:sp>
    <xdr:clientData/>
  </xdr:twoCellAnchor>
  <xdr:twoCellAnchor>
    <xdr:from>
      <xdr:col>2</xdr:col>
      <xdr:colOff>0</xdr:colOff>
      <xdr:row>6</xdr:row>
      <xdr:rowOff>200526</xdr:rowOff>
    </xdr:from>
    <xdr:to>
      <xdr:col>3</xdr:col>
      <xdr:colOff>193364</xdr:colOff>
      <xdr:row>7</xdr:row>
      <xdr:rowOff>146813</xdr:rowOff>
    </xdr:to>
    <xdr:sp macro="" textlink="">
      <xdr:nvSpPr>
        <xdr:cNvPr id="10" name="TextBox 9">
          <a:extLst>
            <a:ext uri="{FF2B5EF4-FFF2-40B4-BE49-F238E27FC236}">
              <a16:creationId xmlns:a16="http://schemas.microsoft.com/office/drawing/2014/main" id="{417F1D0B-E906-4BF2-B249-433D6D7BEA8C}"/>
            </a:ext>
          </a:extLst>
        </xdr:cNvPr>
        <xdr:cNvSpPr txBox="1"/>
      </xdr:nvSpPr>
      <xdr:spPr>
        <a:xfrm>
          <a:off x="1371457" y="1403684"/>
          <a:ext cx="879092" cy="146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lang="en-IN" sz="1100" b="1"/>
        </a:p>
        <a:p>
          <a:endParaRPr lang="en-IN" sz="1100" b="1"/>
        </a:p>
      </xdr:txBody>
    </xdr:sp>
    <xdr:clientData/>
  </xdr:twoCellAnchor>
  <xdr:twoCellAnchor>
    <xdr:from>
      <xdr:col>2</xdr:col>
      <xdr:colOff>0</xdr:colOff>
      <xdr:row>8</xdr:row>
      <xdr:rowOff>0</xdr:rowOff>
    </xdr:from>
    <xdr:to>
      <xdr:col>3</xdr:col>
      <xdr:colOff>193364</xdr:colOff>
      <xdr:row>8</xdr:row>
      <xdr:rowOff>146813</xdr:rowOff>
    </xdr:to>
    <xdr:sp macro="" textlink="">
      <xdr:nvSpPr>
        <xdr:cNvPr id="13" name="TextBox 12">
          <a:extLst>
            <a:ext uri="{FF2B5EF4-FFF2-40B4-BE49-F238E27FC236}">
              <a16:creationId xmlns:a16="http://schemas.microsoft.com/office/drawing/2014/main" id="{BC03DC27-7A60-4B88-A0DC-CFF645027B91}"/>
            </a:ext>
          </a:extLst>
        </xdr:cNvPr>
        <xdr:cNvSpPr txBox="1"/>
      </xdr:nvSpPr>
      <xdr:spPr>
        <a:xfrm>
          <a:off x="1371457" y="1604211"/>
          <a:ext cx="879092" cy="146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lang="en-IN" sz="1100" b="1"/>
        </a:p>
      </xdr:txBody>
    </xdr:sp>
    <xdr:clientData/>
  </xdr:twoCellAnchor>
  <xdr:twoCellAnchor>
    <xdr:from>
      <xdr:col>2</xdr:col>
      <xdr:colOff>301831</xdr:colOff>
      <xdr:row>2</xdr:row>
      <xdr:rowOff>36311</xdr:rowOff>
    </xdr:from>
    <xdr:to>
      <xdr:col>3</xdr:col>
      <xdr:colOff>52962</xdr:colOff>
      <xdr:row>2</xdr:row>
      <xdr:rowOff>183031</xdr:rowOff>
    </xdr:to>
    <xdr:sp macro="" textlink="'Pivot Tables'!K6">
      <xdr:nvSpPr>
        <xdr:cNvPr id="14" name="TextBox 13">
          <a:extLst>
            <a:ext uri="{FF2B5EF4-FFF2-40B4-BE49-F238E27FC236}">
              <a16:creationId xmlns:a16="http://schemas.microsoft.com/office/drawing/2014/main" id="{3987D4E5-2582-47D7-9CD8-FB9CB31C49ED}"/>
            </a:ext>
          </a:extLst>
        </xdr:cNvPr>
        <xdr:cNvSpPr txBox="1"/>
      </xdr:nvSpPr>
      <xdr:spPr>
        <a:xfrm>
          <a:off x="1673431" y="436361"/>
          <a:ext cx="436931" cy="14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2054408-1820-4E7E-B158-5EA2857865CD}" type="TxLink">
            <a:rPr lang="en-US" sz="400" b="0" i="0" u="none" strike="noStrike">
              <a:solidFill>
                <a:srgbClr val="000000"/>
              </a:solidFill>
              <a:latin typeface="Arial" panose="020B0604020202020204" pitchFamily="34" charset="0"/>
              <a:ea typeface="Calibri"/>
              <a:cs typeface="Arial" panose="020B0604020202020204" pitchFamily="34" charset="0"/>
            </a:rPr>
            <a:pPr algn="l"/>
            <a:t>Rony</a:t>
          </a:fld>
          <a:endParaRPr lang="en-IN" sz="100" b="1">
            <a:latin typeface="Arial" panose="020B0604020202020204" pitchFamily="34" charset="0"/>
            <a:cs typeface="Arial" panose="020B0604020202020204" pitchFamily="34" charset="0"/>
          </a:endParaRPr>
        </a:p>
      </xdr:txBody>
    </xdr:sp>
    <xdr:clientData/>
  </xdr:twoCellAnchor>
  <xdr:twoCellAnchor>
    <xdr:from>
      <xdr:col>2</xdr:col>
      <xdr:colOff>301831</xdr:colOff>
      <xdr:row>2</xdr:row>
      <xdr:rowOff>125734</xdr:rowOff>
    </xdr:from>
    <xdr:to>
      <xdr:col>3</xdr:col>
      <xdr:colOff>40431</xdr:colOff>
      <xdr:row>3</xdr:row>
      <xdr:rowOff>72021</xdr:rowOff>
    </xdr:to>
    <xdr:sp macro="" textlink="'Pivot Tables'!K7">
      <xdr:nvSpPr>
        <xdr:cNvPr id="15" name="TextBox 14">
          <a:extLst>
            <a:ext uri="{FF2B5EF4-FFF2-40B4-BE49-F238E27FC236}">
              <a16:creationId xmlns:a16="http://schemas.microsoft.com/office/drawing/2014/main" id="{BD1610E8-67E5-477B-AC0E-800E11016468}"/>
            </a:ext>
          </a:extLst>
        </xdr:cNvPr>
        <xdr:cNvSpPr txBox="1"/>
      </xdr:nvSpPr>
      <xdr:spPr>
        <a:xfrm>
          <a:off x="1673431" y="525784"/>
          <a:ext cx="424400" cy="146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76B7CBB-6608-47DE-B780-9AA607DF3A8E}" type="TxLink">
            <a:rPr lang="en-US" sz="400" b="0" i="0" u="none" strike="noStrike">
              <a:solidFill>
                <a:srgbClr val="000000"/>
              </a:solidFill>
              <a:latin typeface="Arial" panose="020B0604020202020204" pitchFamily="34" charset="0"/>
              <a:ea typeface="Calibri"/>
              <a:cs typeface="Arial" panose="020B0604020202020204" pitchFamily="34" charset="0"/>
            </a:rPr>
            <a:pPr algn="l"/>
            <a:t>Hany</a:t>
          </a:fld>
          <a:endParaRPr lang="en-IN" sz="300" b="1">
            <a:latin typeface="Arial" panose="020B0604020202020204" pitchFamily="34" charset="0"/>
            <a:cs typeface="Arial" panose="020B0604020202020204" pitchFamily="34" charset="0"/>
          </a:endParaRPr>
        </a:p>
      </xdr:txBody>
    </xdr:sp>
    <xdr:clientData/>
  </xdr:twoCellAnchor>
  <xdr:twoCellAnchor>
    <xdr:from>
      <xdr:col>2</xdr:col>
      <xdr:colOff>299887</xdr:colOff>
      <xdr:row>3</xdr:row>
      <xdr:rowOff>110163</xdr:rowOff>
    </xdr:from>
    <xdr:to>
      <xdr:col>2</xdr:col>
      <xdr:colOff>670924</xdr:colOff>
      <xdr:row>4</xdr:row>
      <xdr:rowOff>56450</xdr:rowOff>
    </xdr:to>
    <xdr:sp macro="" textlink="'Pivot Tables'!K9">
      <xdr:nvSpPr>
        <xdr:cNvPr id="16" name="TextBox 15">
          <a:extLst>
            <a:ext uri="{FF2B5EF4-FFF2-40B4-BE49-F238E27FC236}">
              <a16:creationId xmlns:a16="http://schemas.microsoft.com/office/drawing/2014/main" id="{0A3A6263-5413-4E8B-BEAD-B874FE905E85}"/>
            </a:ext>
          </a:extLst>
        </xdr:cNvPr>
        <xdr:cNvSpPr txBox="1"/>
      </xdr:nvSpPr>
      <xdr:spPr>
        <a:xfrm>
          <a:off x="1671487" y="710238"/>
          <a:ext cx="371037" cy="146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1D927B0-90EC-43D9-AFDC-E7F686AAB845}" type="TxLink">
            <a:rPr lang="en-US" sz="400" b="0" i="0" u="none" strike="noStrike">
              <a:solidFill>
                <a:srgbClr val="000000"/>
              </a:solidFill>
              <a:latin typeface="Arial" panose="020B0604020202020204" pitchFamily="34" charset="0"/>
              <a:ea typeface="Calibri"/>
              <a:cs typeface="Arial" panose="020B0604020202020204" pitchFamily="34" charset="0"/>
            </a:rPr>
            <a:pPr algn="l"/>
            <a:t>Kisho</a:t>
          </a:fld>
          <a:endParaRPr lang="en-IN" sz="100" b="1">
            <a:latin typeface="Arial" panose="020B0604020202020204" pitchFamily="34" charset="0"/>
            <a:cs typeface="Arial" panose="020B0604020202020204" pitchFamily="34" charset="0"/>
          </a:endParaRPr>
        </a:p>
      </xdr:txBody>
    </xdr:sp>
    <xdr:clientData/>
  </xdr:twoCellAnchor>
  <xdr:twoCellAnchor>
    <xdr:from>
      <xdr:col>2</xdr:col>
      <xdr:colOff>299887</xdr:colOff>
      <xdr:row>3</xdr:row>
      <xdr:rowOff>16113</xdr:rowOff>
    </xdr:from>
    <xdr:to>
      <xdr:col>3</xdr:col>
      <xdr:colOff>38487</xdr:colOff>
      <xdr:row>3</xdr:row>
      <xdr:rowOff>162833</xdr:rowOff>
    </xdr:to>
    <xdr:sp macro="" textlink="'Pivot Tables'!K8">
      <xdr:nvSpPr>
        <xdr:cNvPr id="17" name="TextBox 16">
          <a:extLst>
            <a:ext uri="{FF2B5EF4-FFF2-40B4-BE49-F238E27FC236}">
              <a16:creationId xmlns:a16="http://schemas.microsoft.com/office/drawing/2014/main" id="{5B7731A0-4F35-4ADE-A711-F632724A8076}"/>
            </a:ext>
          </a:extLst>
        </xdr:cNvPr>
        <xdr:cNvSpPr txBox="1"/>
      </xdr:nvSpPr>
      <xdr:spPr>
        <a:xfrm>
          <a:off x="1671487" y="616188"/>
          <a:ext cx="424400" cy="14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A902A39-863F-442E-B72D-18FB92AEE626}" type="TxLink">
            <a:rPr lang="en-US" sz="400" b="0" i="0" u="none" strike="noStrike">
              <a:solidFill>
                <a:srgbClr val="000000"/>
              </a:solidFill>
              <a:latin typeface="Arial" panose="020B0604020202020204" pitchFamily="34" charset="0"/>
              <a:ea typeface="Calibri"/>
              <a:cs typeface="Arial" panose="020B0604020202020204" pitchFamily="34" charset="0"/>
            </a:rPr>
            <a:pPr algn="l"/>
            <a:t>Dary</a:t>
          </a:fld>
          <a:endParaRPr lang="en-IN" sz="200" b="1">
            <a:latin typeface="Arial" panose="020B0604020202020204" pitchFamily="34" charset="0"/>
            <a:cs typeface="Arial" panose="020B0604020202020204" pitchFamily="34" charset="0"/>
          </a:endParaRPr>
        </a:p>
      </xdr:txBody>
    </xdr:sp>
    <xdr:clientData/>
  </xdr:twoCellAnchor>
  <xdr:twoCellAnchor>
    <xdr:from>
      <xdr:col>1</xdr:col>
      <xdr:colOff>617599</xdr:colOff>
      <xdr:row>2</xdr:row>
      <xdr:rowOff>36311</xdr:rowOff>
    </xdr:from>
    <xdr:to>
      <xdr:col>2</xdr:col>
      <xdr:colOff>431448</xdr:colOff>
      <xdr:row>2</xdr:row>
      <xdr:rowOff>182622</xdr:rowOff>
    </xdr:to>
    <xdr:sp macro="" textlink="'Pivot Tables'!L6">
      <xdr:nvSpPr>
        <xdr:cNvPr id="21" name="TextBox 20">
          <a:extLst>
            <a:ext uri="{FF2B5EF4-FFF2-40B4-BE49-F238E27FC236}">
              <a16:creationId xmlns:a16="http://schemas.microsoft.com/office/drawing/2014/main" id="{38FEA775-CFB5-497B-B1E1-616DA33F874F}"/>
            </a:ext>
          </a:extLst>
        </xdr:cNvPr>
        <xdr:cNvSpPr txBox="1"/>
      </xdr:nvSpPr>
      <xdr:spPr>
        <a:xfrm>
          <a:off x="1303399" y="436361"/>
          <a:ext cx="499649" cy="146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DC74D22C-6ECF-4735-896D-113BA69E42B9}" type="TxLink">
            <a:rPr lang="en-US" sz="300" b="0" i="0" u="none" strike="noStrike">
              <a:solidFill>
                <a:srgbClr val="000000"/>
              </a:solidFill>
              <a:latin typeface="Arial" panose="020B0604020202020204" pitchFamily="34" charset="0"/>
              <a:ea typeface="Calibri"/>
              <a:cs typeface="Arial" panose="020B0604020202020204" pitchFamily="34" charset="0"/>
            </a:rPr>
            <a:pPr algn="l"/>
            <a:t>1,63,80,00,000</a:t>
          </a:fld>
          <a:endParaRPr lang="en-IN" sz="200" b="1">
            <a:latin typeface="Arial" panose="020B0604020202020204" pitchFamily="34" charset="0"/>
            <a:cs typeface="Arial" panose="020B0604020202020204" pitchFamily="34" charset="0"/>
          </a:endParaRPr>
        </a:p>
      </xdr:txBody>
    </xdr:sp>
    <xdr:clientData/>
  </xdr:twoCellAnchor>
  <xdr:twoCellAnchor>
    <xdr:from>
      <xdr:col>1</xdr:col>
      <xdr:colOff>615096</xdr:colOff>
      <xdr:row>2</xdr:row>
      <xdr:rowOff>128807</xdr:rowOff>
    </xdr:from>
    <xdr:to>
      <xdr:col>2</xdr:col>
      <xdr:colOff>428945</xdr:colOff>
      <xdr:row>3</xdr:row>
      <xdr:rowOff>75093</xdr:rowOff>
    </xdr:to>
    <xdr:sp macro="" textlink="'Pivot Tables'!L7">
      <xdr:nvSpPr>
        <xdr:cNvPr id="23" name="TextBox 22">
          <a:extLst>
            <a:ext uri="{FF2B5EF4-FFF2-40B4-BE49-F238E27FC236}">
              <a16:creationId xmlns:a16="http://schemas.microsoft.com/office/drawing/2014/main" id="{C89DC60D-790B-4E72-ACB2-C8DB0C58ED57}"/>
            </a:ext>
          </a:extLst>
        </xdr:cNvPr>
        <xdr:cNvSpPr txBox="1"/>
      </xdr:nvSpPr>
      <xdr:spPr>
        <a:xfrm>
          <a:off x="1300896" y="528857"/>
          <a:ext cx="499649" cy="146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9B92371-BECD-469B-89C6-EC5134BA1F32}" type="TxLink">
            <a:rPr lang="en-US" sz="300" b="0" i="0" u="none" strike="noStrike">
              <a:solidFill>
                <a:srgbClr val="000000"/>
              </a:solidFill>
              <a:latin typeface="Arial" panose="020B0604020202020204" pitchFamily="34" charset="0"/>
              <a:ea typeface="Calibri"/>
              <a:cs typeface="Arial" panose="020B0604020202020204" pitchFamily="34" charset="0"/>
            </a:rPr>
            <a:pPr algn="l"/>
            <a:t>1,53,40,00,000</a:t>
          </a:fld>
          <a:endParaRPr lang="en-IN" sz="100" b="1">
            <a:latin typeface="Arial" panose="020B0604020202020204" pitchFamily="34" charset="0"/>
            <a:cs typeface="Arial" panose="020B0604020202020204" pitchFamily="34" charset="0"/>
          </a:endParaRPr>
        </a:p>
      </xdr:txBody>
    </xdr:sp>
    <xdr:clientData/>
  </xdr:twoCellAnchor>
  <xdr:twoCellAnchor>
    <xdr:from>
      <xdr:col>1</xdr:col>
      <xdr:colOff>615096</xdr:colOff>
      <xdr:row>3</xdr:row>
      <xdr:rowOff>17760</xdr:rowOff>
    </xdr:from>
    <xdr:to>
      <xdr:col>2</xdr:col>
      <xdr:colOff>428945</xdr:colOff>
      <xdr:row>3</xdr:row>
      <xdr:rowOff>164071</xdr:rowOff>
    </xdr:to>
    <xdr:sp macro="" textlink="'Pivot Tables'!L8">
      <xdr:nvSpPr>
        <xdr:cNvPr id="25" name="TextBox 24">
          <a:extLst>
            <a:ext uri="{FF2B5EF4-FFF2-40B4-BE49-F238E27FC236}">
              <a16:creationId xmlns:a16="http://schemas.microsoft.com/office/drawing/2014/main" id="{ECB8BB7D-0719-428F-AA41-A9F1C3EC8B64}"/>
            </a:ext>
          </a:extLst>
        </xdr:cNvPr>
        <xdr:cNvSpPr txBox="1"/>
      </xdr:nvSpPr>
      <xdr:spPr>
        <a:xfrm>
          <a:off x="1300896" y="617835"/>
          <a:ext cx="499649" cy="146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C487585-0B2E-4230-BC3C-7F0FB5D1739B}" type="TxLink">
            <a:rPr lang="en-US" sz="300" b="0" i="0" u="none" strike="noStrike">
              <a:solidFill>
                <a:srgbClr val="000000"/>
              </a:solidFill>
              <a:latin typeface="Arial" panose="020B0604020202020204" pitchFamily="34" charset="0"/>
              <a:ea typeface="Calibri"/>
              <a:cs typeface="Arial" panose="020B0604020202020204" pitchFamily="34" charset="0"/>
            </a:rPr>
            <a:pPr algn="l"/>
            <a:t>1,36,00,00,000</a:t>
          </a:fld>
          <a:endParaRPr lang="en-IN" sz="100" b="1">
            <a:latin typeface="Arial" panose="020B0604020202020204" pitchFamily="34" charset="0"/>
            <a:cs typeface="Arial" panose="020B0604020202020204" pitchFamily="34" charset="0"/>
          </a:endParaRPr>
        </a:p>
      </xdr:txBody>
    </xdr:sp>
    <xdr:clientData/>
  </xdr:twoCellAnchor>
  <xdr:twoCellAnchor>
    <xdr:from>
      <xdr:col>1</xdr:col>
      <xdr:colOff>615096</xdr:colOff>
      <xdr:row>3</xdr:row>
      <xdr:rowOff>110164</xdr:rowOff>
    </xdr:from>
    <xdr:to>
      <xdr:col>2</xdr:col>
      <xdr:colOff>428945</xdr:colOff>
      <xdr:row>4</xdr:row>
      <xdr:rowOff>56450</xdr:rowOff>
    </xdr:to>
    <xdr:sp macro="" textlink="'Pivot Tables'!L9">
      <xdr:nvSpPr>
        <xdr:cNvPr id="26" name="TextBox 25">
          <a:extLst>
            <a:ext uri="{FF2B5EF4-FFF2-40B4-BE49-F238E27FC236}">
              <a16:creationId xmlns:a16="http://schemas.microsoft.com/office/drawing/2014/main" id="{D7B26778-4091-4426-A925-337BC660DCEB}"/>
            </a:ext>
          </a:extLst>
        </xdr:cNvPr>
        <xdr:cNvSpPr txBox="1"/>
      </xdr:nvSpPr>
      <xdr:spPr>
        <a:xfrm>
          <a:off x="1300896" y="710239"/>
          <a:ext cx="499649" cy="146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B3D5E63-CCA7-442D-B5A7-A6D6E2934559}" type="TxLink">
            <a:rPr lang="en-US" sz="300" b="0" i="0" u="none" strike="noStrike">
              <a:solidFill>
                <a:srgbClr val="000000"/>
              </a:solidFill>
              <a:latin typeface="Arial" panose="020B0604020202020204" pitchFamily="34" charset="0"/>
              <a:ea typeface="Calibri"/>
              <a:cs typeface="Arial" panose="020B0604020202020204" pitchFamily="34" charset="0"/>
            </a:rPr>
            <a:pPr algn="l"/>
            <a:t>1,28,80,00,000</a:t>
          </a:fld>
          <a:endParaRPr lang="en-IN" sz="100" b="1">
            <a:latin typeface="Arial" panose="020B0604020202020204" pitchFamily="34" charset="0"/>
            <a:cs typeface="Arial" panose="020B0604020202020204" pitchFamily="34" charset="0"/>
          </a:endParaRPr>
        </a:p>
      </xdr:txBody>
    </xdr:sp>
    <xdr:clientData/>
  </xdr:twoCellAnchor>
  <xdr:twoCellAnchor>
    <xdr:from>
      <xdr:col>2</xdr:col>
      <xdr:colOff>458788</xdr:colOff>
      <xdr:row>0</xdr:row>
      <xdr:rowOff>154727</xdr:rowOff>
    </xdr:from>
    <xdr:to>
      <xdr:col>2</xdr:col>
      <xdr:colOff>531843</xdr:colOff>
      <xdr:row>1</xdr:row>
      <xdr:rowOff>20843</xdr:rowOff>
    </xdr:to>
    <xdr:sp macro="" textlink="">
      <xdr:nvSpPr>
        <xdr:cNvPr id="28" name="Star: 5 Points 27">
          <a:extLst>
            <a:ext uri="{FF2B5EF4-FFF2-40B4-BE49-F238E27FC236}">
              <a16:creationId xmlns:a16="http://schemas.microsoft.com/office/drawing/2014/main" id="{A5E4E2F5-A9C1-087E-2435-E61DB429D941}"/>
            </a:ext>
          </a:extLst>
        </xdr:cNvPr>
        <xdr:cNvSpPr/>
      </xdr:nvSpPr>
      <xdr:spPr>
        <a:xfrm>
          <a:off x="1830388" y="154727"/>
          <a:ext cx="73055" cy="66141"/>
        </a:xfrm>
        <a:prstGeom prst="star5">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670924</xdr:colOff>
      <xdr:row>0</xdr:row>
      <xdr:rowOff>80245</xdr:rowOff>
    </xdr:from>
    <xdr:to>
      <xdr:col>5</xdr:col>
      <xdr:colOff>670924</xdr:colOff>
      <xdr:row>4</xdr:row>
      <xdr:rowOff>77521</xdr:rowOff>
    </xdr:to>
    <xdr:sp macro="" textlink="">
      <xdr:nvSpPr>
        <xdr:cNvPr id="29" name="Rectangle: Rounded Corners 28">
          <a:extLst>
            <a:ext uri="{FF2B5EF4-FFF2-40B4-BE49-F238E27FC236}">
              <a16:creationId xmlns:a16="http://schemas.microsoft.com/office/drawing/2014/main" id="{EAB77539-847F-439E-80C7-AECCF836ADEA}"/>
            </a:ext>
          </a:extLst>
        </xdr:cNvPr>
        <xdr:cNvSpPr/>
      </xdr:nvSpPr>
      <xdr:spPr>
        <a:xfrm>
          <a:off x="2043962" y="80245"/>
          <a:ext cx="2059556" cy="795219"/>
        </a:xfrm>
        <a:prstGeom prst="roundRect">
          <a:avLst>
            <a:gd name="adj" fmla="val 3881"/>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4989</xdr:colOff>
      <xdr:row>0</xdr:row>
      <xdr:rowOff>80285</xdr:rowOff>
    </xdr:from>
    <xdr:to>
      <xdr:col>7</xdr:col>
      <xdr:colOff>102512</xdr:colOff>
      <xdr:row>4</xdr:row>
      <xdr:rowOff>77561</xdr:rowOff>
    </xdr:to>
    <xdr:sp macro="" textlink="">
      <xdr:nvSpPr>
        <xdr:cNvPr id="31" name="Rectangle: Rounded Corners 30">
          <a:extLst>
            <a:ext uri="{FF2B5EF4-FFF2-40B4-BE49-F238E27FC236}">
              <a16:creationId xmlns:a16="http://schemas.microsoft.com/office/drawing/2014/main" id="{24DE0703-53B4-4083-B0FA-8498FAF16949}"/>
            </a:ext>
          </a:extLst>
        </xdr:cNvPr>
        <xdr:cNvSpPr/>
      </xdr:nvSpPr>
      <xdr:spPr>
        <a:xfrm>
          <a:off x="4118251" y="80285"/>
          <a:ext cx="783067" cy="800280"/>
        </a:xfrm>
        <a:prstGeom prst="roundRect">
          <a:avLst>
            <a:gd name="adj" fmla="val 3881"/>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349680</xdr:colOff>
      <xdr:row>0</xdr:row>
      <xdr:rowOff>67308</xdr:rowOff>
    </xdr:from>
    <xdr:to>
      <xdr:col>10</xdr:col>
      <xdr:colOff>565042</xdr:colOff>
      <xdr:row>4</xdr:row>
      <xdr:rowOff>64584</xdr:rowOff>
    </xdr:to>
    <xdr:sp macro="" textlink="">
      <xdr:nvSpPr>
        <xdr:cNvPr id="33" name="Rectangle: Rounded Corners 32">
          <a:extLst>
            <a:ext uri="{FF2B5EF4-FFF2-40B4-BE49-F238E27FC236}">
              <a16:creationId xmlns:a16="http://schemas.microsoft.com/office/drawing/2014/main" id="{A8EE5D69-E68A-4D0B-9D94-232CC9E09DCB}"/>
            </a:ext>
          </a:extLst>
        </xdr:cNvPr>
        <xdr:cNvSpPr/>
      </xdr:nvSpPr>
      <xdr:spPr>
        <a:xfrm>
          <a:off x="6524786" y="67308"/>
          <a:ext cx="901485" cy="804479"/>
        </a:xfrm>
        <a:prstGeom prst="roundRect">
          <a:avLst>
            <a:gd name="adj" fmla="val 3881"/>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651414</xdr:colOff>
      <xdr:row>0</xdr:row>
      <xdr:rowOff>151465</xdr:rowOff>
    </xdr:from>
    <xdr:to>
      <xdr:col>4</xdr:col>
      <xdr:colOff>666027</xdr:colOff>
      <xdr:row>1</xdr:row>
      <xdr:rowOff>98786</xdr:rowOff>
    </xdr:to>
    <xdr:sp macro="" textlink="">
      <xdr:nvSpPr>
        <xdr:cNvPr id="35" name="TextBox 34">
          <a:extLst>
            <a:ext uri="{FF2B5EF4-FFF2-40B4-BE49-F238E27FC236}">
              <a16:creationId xmlns:a16="http://schemas.microsoft.com/office/drawing/2014/main" id="{FC957C2A-94F0-4123-ADD5-1D98C192471F}"/>
            </a:ext>
          </a:extLst>
        </xdr:cNvPr>
        <xdr:cNvSpPr txBox="1"/>
      </xdr:nvSpPr>
      <xdr:spPr>
        <a:xfrm>
          <a:off x="2022487" y="151465"/>
          <a:ext cx="1385685" cy="14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N" sz="1050" b="0" i="0" u="none" strike="noStrike">
              <a:solidFill>
                <a:srgbClr val="000000"/>
              </a:solidFill>
              <a:latin typeface="Arial" panose="020B0604020202020204" pitchFamily="34" charset="0"/>
              <a:ea typeface="Calibri"/>
              <a:cs typeface="Arial" panose="020B0604020202020204" pitchFamily="34" charset="0"/>
            </a:rPr>
            <a:t> </a:t>
          </a:r>
          <a:r>
            <a:rPr lang="en-IN" sz="500" b="0" i="0" u="none" strike="noStrike">
              <a:solidFill>
                <a:srgbClr val="000000"/>
              </a:solidFill>
              <a:latin typeface="Arial" panose="020B0604020202020204" pitchFamily="34" charset="0"/>
              <a:ea typeface="Calibri"/>
              <a:cs typeface="Arial" panose="020B0604020202020204" pitchFamily="34" charset="0"/>
            </a:rPr>
            <a:t>Total</a:t>
          </a:r>
          <a:r>
            <a:rPr lang="en-IN" sz="500" b="0" i="0" u="none" strike="noStrike" baseline="0">
              <a:solidFill>
                <a:srgbClr val="000000"/>
              </a:solidFill>
              <a:latin typeface="Arial" panose="020B0604020202020204" pitchFamily="34" charset="0"/>
              <a:ea typeface="Calibri"/>
              <a:cs typeface="Arial" panose="020B0604020202020204" pitchFamily="34" charset="0"/>
            </a:rPr>
            <a:t> Earnings By Months</a:t>
          </a:r>
          <a:endParaRPr lang="en-IN" sz="1600" b="0" i="0" u="none" strike="noStrike">
            <a:solidFill>
              <a:srgbClr val="000000"/>
            </a:solidFill>
            <a:latin typeface="Arial" panose="020B0604020202020204" pitchFamily="34" charset="0"/>
            <a:ea typeface="Calibri"/>
            <a:cs typeface="Arial" panose="020B0604020202020204" pitchFamily="34" charset="0"/>
          </a:endParaRPr>
        </a:p>
      </xdr:txBody>
    </xdr:sp>
    <xdr:clientData/>
  </xdr:twoCellAnchor>
  <xdr:twoCellAnchor>
    <xdr:from>
      <xdr:col>3</xdr:col>
      <xdr:colOff>0</xdr:colOff>
      <xdr:row>0</xdr:row>
      <xdr:rowOff>74785</xdr:rowOff>
    </xdr:from>
    <xdr:to>
      <xdr:col>5</xdr:col>
      <xdr:colOff>686519</xdr:colOff>
      <xdr:row>4</xdr:row>
      <xdr:rowOff>56450</xdr:rowOff>
    </xdr:to>
    <xdr:graphicFrame macro="">
      <xdr:nvGraphicFramePr>
        <xdr:cNvPr id="36" name="Chart 35">
          <a:extLst>
            <a:ext uri="{FF2B5EF4-FFF2-40B4-BE49-F238E27FC236}">
              <a16:creationId xmlns:a16="http://schemas.microsoft.com/office/drawing/2014/main" id="{8E84D932-39E9-43C3-A783-826DC72861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555269</xdr:colOff>
      <xdr:row>2</xdr:row>
      <xdr:rowOff>153768</xdr:rowOff>
    </xdr:from>
    <xdr:to>
      <xdr:col>5</xdr:col>
      <xdr:colOff>452758</xdr:colOff>
      <xdr:row>4</xdr:row>
      <xdr:rowOff>40748</xdr:rowOff>
    </xdr:to>
    <xdr:sp macro="" textlink="">
      <xdr:nvSpPr>
        <xdr:cNvPr id="20" name="TextBox 19">
          <a:extLst>
            <a:ext uri="{FF2B5EF4-FFF2-40B4-BE49-F238E27FC236}">
              <a16:creationId xmlns:a16="http://schemas.microsoft.com/office/drawing/2014/main" id="{3B987353-E71B-4F6E-9174-C1BB25C4C06B}"/>
            </a:ext>
          </a:extLst>
        </xdr:cNvPr>
        <xdr:cNvSpPr txBox="1"/>
      </xdr:nvSpPr>
      <xdr:spPr>
        <a:xfrm>
          <a:off x="3297444" y="555270"/>
          <a:ext cx="583033" cy="288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400" b="0">
              <a:latin typeface="Arial" panose="020B0604020202020204" pitchFamily="34" charset="0"/>
              <a:cs typeface="Arial" panose="020B0604020202020204" pitchFamily="34" charset="0"/>
            </a:rPr>
            <a:t>Highest</a:t>
          </a:r>
        </a:p>
        <a:p>
          <a:pPr algn="l"/>
          <a:r>
            <a:rPr lang="en-IN" sz="400" b="0">
              <a:latin typeface="Arial" panose="020B0604020202020204" pitchFamily="34" charset="0"/>
              <a:cs typeface="Arial" panose="020B0604020202020204" pitchFamily="34" charset="0"/>
            </a:rPr>
            <a:t>Monthly</a:t>
          </a:r>
          <a:r>
            <a:rPr lang="en-IN" sz="400" b="0" baseline="0">
              <a:latin typeface="Arial" panose="020B0604020202020204" pitchFamily="34" charset="0"/>
              <a:cs typeface="Arial" panose="020B0604020202020204" pitchFamily="34" charset="0"/>
            </a:rPr>
            <a:t> revenue</a:t>
          </a:r>
          <a:endParaRPr lang="en-IN" sz="1100" b="0">
            <a:latin typeface="Arial" panose="020B0604020202020204" pitchFamily="34" charset="0"/>
            <a:cs typeface="Arial" panose="020B0604020202020204" pitchFamily="34" charset="0"/>
          </a:endParaRPr>
        </a:p>
      </xdr:txBody>
    </xdr:sp>
    <xdr:clientData/>
  </xdr:twoCellAnchor>
  <xdr:twoCellAnchor>
    <xdr:from>
      <xdr:col>2</xdr:col>
      <xdr:colOff>653510</xdr:colOff>
      <xdr:row>2</xdr:row>
      <xdr:rowOff>162309</xdr:rowOff>
    </xdr:from>
    <xdr:to>
      <xdr:col>3</xdr:col>
      <xdr:colOff>550999</xdr:colOff>
      <xdr:row>4</xdr:row>
      <xdr:rowOff>49289</xdr:rowOff>
    </xdr:to>
    <xdr:sp macro="" textlink="">
      <xdr:nvSpPr>
        <xdr:cNvPr id="27" name="TextBox 26">
          <a:extLst>
            <a:ext uri="{FF2B5EF4-FFF2-40B4-BE49-F238E27FC236}">
              <a16:creationId xmlns:a16="http://schemas.microsoft.com/office/drawing/2014/main" id="{F5A1EC06-A9B5-49BE-9C02-05C77EC8A248}"/>
            </a:ext>
          </a:extLst>
        </xdr:cNvPr>
        <xdr:cNvSpPr txBox="1"/>
      </xdr:nvSpPr>
      <xdr:spPr>
        <a:xfrm>
          <a:off x="2024597" y="563811"/>
          <a:ext cx="583033" cy="288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400" b="0">
              <a:latin typeface="Arial" panose="020B0604020202020204" pitchFamily="34" charset="0"/>
              <a:cs typeface="Arial" panose="020B0604020202020204" pitchFamily="34" charset="0"/>
            </a:rPr>
            <a:t>Lowest</a:t>
          </a:r>
        </a:p>
        <a:p>
          <a:pPr algn="l"/>
          <a:r>
            <a:rPr lang="en-IN" sz="400" b="0">
              <a:latin typeface="Arial" panose="020B0604020202020204" pitchFamily="34" charset="0"/>
              <a:cs typeface="Arial" panose="020B0604020202020204" pitchFamily="34" charset="0"/>
            </a:rPr>
            <a:t>Monthly</a:t>
          </a:r>
          <a:r>
            <a:rPr lang="en-IN" sz="400" b="0" baseline="0">
              <a:latin typeface="Arial" panose="020B0604020202020204" pitchFamily="34" charset="0"/>
              <a:cs typeface="Arial" panose="020B0604020202020204" pitchFamily="34" charset="0"/>
            </a:rPr>
            <a:t> revenue</a:t>
          </a:r>
          <a:endParaRPr lang="en-IN" sz="1100" b="0">
            <a:latin typeface="Arial" panose="020B0604020202020204" pitchFamily="34" charset="0"/>
            <a:cs typeface="Arial" panose="020B0604020202020204" pitchFamily="34" charset="0"/>
          </a:endParaRPr>
        </a:p>
      </xdr:txBody>
    </xdr:sp>
    <xdr:clientData/>
  </xdr:twoCellAnchor>
  <xdr:twoCellAnchor>
    <xdr:from>
      <xdr:col>3</xdr:col>
      <xdr:colOff>585936</xdr:colOff>
      <xdr:row>2</xdr:row>
      <xdr:rowOff>156671</xdr:rowOff>
    </xdr:from>
    <xdr:to>
      <xdr:col>4</xdr:col>
      <xdr:colOff>483425</xdr:colOff>
      <xdr:row>4</xdr:row>
      <xdr:rowOff>4271</xdr:rowOff>
    </xdr:to>
    <xdr:sp macro="" textlink="">
      <xdr:nvSpPr>
        <xdr:cNvPr id="30" name="TextBox 29">
          <a:extLst>
            <a:ext uri="{FF2B5EF4-FFF2-40B4-BE49-F238E27FC236}">
              <a16:creationId xmlns:a16="http://schemas.microsoft.com/office/drawing/2014/main" id="{68C0D2DF-E7B9-4807-8892-EDC3F9AD30B7}"/>
            </a:ext>
          </a:extLst>
        </xdr:cNvPr>
        <xdr:cNvSpPr txBox="1"/>
      </xdr:nvSpPr>
      <xdr:spPr>
        <a:xfrm>
          <a:off x="2642567" y="558173"/>
          <a:ext cx="583033" cy="249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400" b="0">
              <a:latin typeface="Arial" panose="020B0604020202020204" pitchFamily="34" charset="0"/>
              <a:cs typeface="Arial" panose="020B0604020202020204" pitchFamily="34" charset="0"/>
            </a:rPr>
            <a:t>Average</a:t>
          </a:r>
        </a:p>
        <a:p>
          <a:pPr algn="l"/>
          <a:r>
            <a:rPr lang="en-IN" sz="400" b="0">
              <a:latin typeface="Arial" panose="020B0604020202020204" pitchFamily="34" charset="0"/>
              <a:cs typeface="Arial" panose="020B0604020202020204" pitchFamily="34" charset="0"/>
            </a:rPr>
            <a:t>Monthly</a:t>
          </a:r>
          <a:r>
            <a:rPr lang="en-IN" sz="400" b="0" baseline="0">
              <a:latin typeface="Arial" panose="020B0604020202020204" pitchFamily="34" charset="0"/>
              <a:cs typeface="Arial" panose="020B0604020202020204" pitchFamily="34" charset="0"/>
            </a:rPr>
            <a:t> revenue</a:t>
          </a:r>
          <a:endParaRPr lang="en-IN" sz="1100" b="0">
            <a:latin typeface="Arial" panose="020B0604020202020204" pitchFamily="34" charset="0"/>
            <a:cs typeface="Arial" panose="020B0604020202020204" pitchFamily="34" charset="0"/>
          </a:endParaRPr>
        </a:p>
      </xdr:txBody>
    </xdr:sp>
    <xdr:clientData/>
  </xdr:twoCellAnchor>
  <xdr:twoCellAnchor>
    <xdr:from>
      <xdr:col>4</xdr:col>
      <xdr:colOff>546725</xdr:colOff>
      <xdr:row>3</xdr:row>
      <xdr:rowOff>104647</xdr:rowOff>
    </xdr:from>
    <xdr:to>
      <xdr:col>5</xdr:col>
      <xdr:colOff>561674</xdr:colOff>
      <xdr:row>4</xdr:row>
      <xdr:rowOff>50933</xdr:rowOff>
    </xdr:to>
    <xdr:sp macro="" textlink="'Pivot Tables'!P30">
      <xdr:nvSpPr>
        <xdr:cNvPr id="32" name="TextBox 31">
          <a:extLst>
            <a:ext uri="{FF2B5EF4-FFF2-40B4-BE49-F238E27FC236}">
              <a16:creationId xmlns:a16="http://schemas.microsoft.com/office/drawing/2014/main" id="{D5A47220-7AF4-45CB-BCCF-A8B40875289F}"/>
            </a:ext>
          </a:extLst>
        </xdr:cNvPr>
        <xdr:cNvSpPr txBox="1"/>
      </xdr:nvSpPr>
      <xdr:spPr>
        <a:xfrm>
          <a:off x="3288900" y="706900"/>
          <a:ext cx="700493" cy="147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86CBB1C-C4B0-4EF3-A47D-9E94850EF753}" type="TxLink">
            <a:rPr lang="en-US" sz="600" b="0" i="0" u="none" strike="noStrike">
              <a:solidFill>
                <a:srgbClr val="000000"/>
              </a:solidFill>
              <a:latin typeface="Arial" panose="020B0604020202020204" pitchFamily="34" charset="0"/>
              <a:ea typeface="Calibri"/>
              <a:cs typeface="Arial" panose="020B0604020202020204" pitchFamily="34" charset="0"/>
            </a:rPr>
            <a:pPr algn="l"/>
            <a:t>3,80,90,00,000</a:t>
          </a:fld>
          <a:endParaRPr lang="en-IN" sz="100" b="1">
            <a:latin typeface="Arial" panose="020B0604020202020204" pitchFamily="34" charset="0"/>
            <a:cs typeface="Arial" panose="020B0604020202020204" pitchFamily="34" charset="0"/>
          </a:endParaRPr>
        </a:p>
      </xdr:txBody>
    </xdr:sp>
    <xdr:clientData/>
  </xdr:twoCellAnchor>
  <xdr:twoCellAnchor>
    <xdr:from>
      <xdr:col>2</xdr:col>
      <xdr:colOff>642831</xdr:colOff>
      <xdr:row>3</xdr:row>
      <xdr:rowOff>123868</xdr:rowOff>
    </xdr:from>
    <xdr:to>
      <xdr:col>3</xdr:col>
      <xdr:colOff>657780</xdr:colOff>
      <xdr:row>4</xdr:row>
      <xdr:rowOff>70154</xdr:rowOff>
    </xdr:to>
    <xdr:sp macro="" textlink="'Pivot Tables'!P32">
      <xdr:nvSpPr>
        <xdr:cNvPr id="34" name="TextBox 33">
          <a:extLst>
            <a:ext uri="{FF2B5EF4-FFF2-40B4-BE49-F238E27FC236}">
              <a16:creationId xmlns:a16="http://schemas.microsoft.com/office/drawing/2014/main" id="{329E7B2D-674E-4695-A759-33A347D5ED82}"/>
            </a:ext>
          </a:extLst>
        </xdr:cNvPr>
        <xdr:cNvSpPr txBox="1"/>
      </xdr:nvSpPr>
      <xdr:spPr>
        <a:xfrm>
          <a:off x="2013918" y="726121"/>
          <a:ext cx="700493" cy="147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20EAACA-BB7C-4076-AAC9-E7655CA2B56A}" type="TxLink">
            <a:rPr lang="en-US" sz="600" b="0" i="0" u="none" strike="noStrike">
              <a:solidFill>
                <a:srgbClr val="000000"/>
              </a:solidFill>
              <a:latin typeface="Arial" panose="020B0604020202020204" pitchFamily="34" charset="0"/>
              <a:ea typeface="Calibri"/>
              <a:cs typeface="Arial" panose="020B0604020202020204" pitchFamily="34" charset="0"/>
            </a:rPr>
            <a:pPr algn="l"/>
            <a:t>11,60,00,000</a:t>
          </a:fld>
          <a:endParaRPr lang="en-IN" sz="100" b="1">
            <a:latin typeface="Arial" panose="020B0604020202020204" pitchFamily="34" charset="0"/>
            <a:cs typeface="Arial" panose="020B0604020202020204" pitchFamily="34" charset="0"/>
          </a:endParaRPr>
        </a:p>
      </xdr:txBody>
    </xdr:sp>
    <xdr:clientData/>
  </xdr:twoCellAnchor>
  <xdr:twoCellAnchor>
    <xdr:from>
      <xdr:col>3</xdr:col>
      <xdr:colOff>563812</xdr:colOff>
      <xdr:row>3</xdr:row>
      <xdr:rowOff>117461</xdr:rowOff>
    </xdr:from>
    <xdr:to>
      <xdr:col>4</xdr:col>
      <xdr:colOff>666323</xdr:colOff>
      <xdr:row>4</xdr:row>
      <xdr:rowOff>63747</xdr:rowOff>
    </xdr:to>
    <xdr:sp macro="" textlink="'Pivot Tables'!P31">
      <xdr:nvSpPr>
        <xdr:cNvPr id="37" name="TextBox 36">
          <a:extLst>
            <a:ext uri="{FF2B5EF4-FFF2-40B4-BE49-F238E27FC236}">
              <a16:creationId xmlns:a16="http://schemas.microsoft.com/office/drawing/2014/main" id="{8AB6B9D7-C886-4D34-8D5A-D9FF26504D33}"/>
            </a:ext>
          </a:extLst>
        </xdr:cNvPr>
        <xdr:cNvSpPr txBox="1"/>
      </xdr:nvSpPr>
      <xdr:spPr>
        <a:xfrm>
          <a:off x="2620443" y="719714"/>
          <a:ext cx="788055" cy="147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9F215BF-BE4D-42E7-9EB9-0E197401E09E}" type="TxLink">
            <a:rPr lang="en-US" sz="600" b="0" i="0" u="none" strike="noStrike">
              <a:solidFill>
                <a:srgbClr val="000000"/>
              </a:solidFill>
              <a:latin typeface="Arial" panose="020B0604020202020204" pitchFamily="34" charset="0"/>
              <a:ea typeface="Calibri"/>
              <a:cs typeface="Arial" panose="020B0604020202020204" pitchFamily="34" charset="0"/>
            </a:rPr>
            <a:pPr algn="l"/>
            <a:t>1,33,25,00,000</a:t>
          </a:fld>
          <a:endParaRPr lang="en-IN" sz="100" b="1">
            <a:latin typeface="Arial" panose="020B0604020202020204" pitchFamily="34" charset="0"/>
            <a:cs typeface="Arial" panose="020B0604020202020204" pitchFamily="34" charset="0"/>
          </a:endParaRPr>
        </a:p>
      </xdr:txBody>
    </xdr:sp>
    <xdr:clientData/>
  </xdr:twoCellAnchor>
  <xdr:twoCellAnchor>
    <xdr:from>
      <xdr:col>6</xdr:col>
      <xdr:colOff>294721</xdr:colOff>
      <xdr:row>0</xdr:row>
      <xdr:rowOff>151632</xdr:rowOff>
    </xdr:from>
    <xdr:to>
      <xdr:col>7</xdr:col>
      <xdr:colOff>192210</xdr:colOff>
      <xdr:row>1</xdr:row>
      <xdr:rowOff>119597</xdr:rowOff>
    </xdr:to>
    <xdr:sp macro="" textlink="">
      <xdr:nvSpPr>
        <xdr:cNvPr id="42" name="TextBox 41">
          <a:extLst>
            <a:ext uri="{FF2B5EF4-FFF2-40B4-BE49-F238E27FC236}">
              <a16:creationId xmlns:a16="http://schemas.microsoft.com/office/drawing/2014/main" id="{2F3BFAFC-FD7A-4DA4-94EC-23C0F3695522}"/>
            </a:ext>
          </a:extLst>
        </xdr:cNvPr>
        <xdr:cNvSpPr txBox="1"/>
      </xdr:nvSpPr>
      <xdr:spPr>
        <a:xfrm>
          <a:off x="4407983" y="151632"/>
          <a:ext cx="583033" cy="168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400" b="0">
              <a:latin typeface="Arial" panose="020B0604020202020204" pitchFamily="34" charset="0"/>
              <a:cs typeface="Arial" panose="020B0604020202020204" pitchFamily="34" charset="0"/>
            </a:rPr>
            <a:t>Total</a:t>
          </a:r>
          <a:r>
            <a:rPr lang="en-IN" sz="400" b="0" baseline="0">
              <a:latin typeface="Arial" panose="020B0604020202020204" pitchFamily="34" charset="0"/>
              <a:cs typeface="Arial" panose="020B0604020202020204" pitchFamily="34" charset="0"/>
            </a:rPr>
            <a:t> Paid Calls</a:t>
          </a:r>
          <a:endParaRPr lang="en-IN" sz="400" b="0">
            <a:latin typeface="Arial" panose="020B0604020202020204" pitchFamily="34" charset="0"/>
            <a:cs typeface="Arial" panose="020B0604020202020204" pitchFamily="34" charset="0"/>
          </a:endParaRPr>
        </a:p>
      </xdr:txBody>
    </xdr:sp>
    <xdr:clientData/>
  </xdr:twoCellAnchor>
  <xdr:twoCellAnchor>
    <xdr:from>
      <xdr:col>5</xdr:col>
      <xdr:colOff>672730</xdr:colOff>
      <xdr:row>0</xdr:row>
      <xdr:rowOff>49121</xdr:rowOff>
    </xdr:from>
    <xdr:to>
      <xdr:col>6</xdr:col>
      <xdr:colOff>363061</xdr:colOff>
      <xdr:row>2</xdr:row>
      <xdr:rowOff>87563</xdr:rowOff>
    </xdr:to>
    <xdr:graphicFrame macro="">
      <xdr:nvGraphicFramePr>
        <xdr:cNvPr id="44" name="Chart 43">
          <a:extLst>
            <a:ext uri="{FF2B5EF4-FFF2-40B4-BE49-F238E27FC236}">
              <a16:creationId xmlns:a16="http://schemas.microsoft.com/office/drawing/2014/main" id="{9AE1D306-16AA-4229-AA9F-D431AB391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576626</xdr:colOff>
      <xdr:row>1</xdr:row>
      <xdr:rowOff>172989</xdr:rowOff>
    </xdr:from>
    <xdr:to>
      <xdr:col>6</xdr:col>
      <xdr:colOff>518962</xdr:colOff>
      <xdr:row>5</xdr:row>
      <xdr:rowOff>19220</xdr:rowOff>
    </xdr:to>
    <xdr:graphicFrame macro="">
      <xdr:nvGraphicFramePr>
        <xdr:cNvPr id="45" name="Chart 44">
          <a:extLst>
            <a:ext uri="{FF2B5EF4-FFF2-40B4-BE49-F238E27FC236}">
              <a16:creationId xmlns:a16="http://schemas.microsoft.com/office/drawing/2014/main" id="{A6429D1D-CF2C-4E29-AA44-DA000CF90B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19221</xdr:colOff>
      <xdr:row>2</xdr:row>
      <xdr:rowOff>89698</xdr:rowOff>
    </xdr:from>
    <xdr:to>
      <xdr:col>7</xdr:col>
      <xdr:colOff>49121</xdr:colOff>
      <xdr:row>2</xdr:row>
      <xdr:rowOff>96009</xdr:rowOff>
    </xdr:to>
    <xdr:cxnSp macro="">
      <xdr:nvCxnSpPr>
        <xdr:cNvPr id="47" name="Straight Connector 46">
          <a:extLst>
            <a:ext uri="{FF2B5EF4-FFF2-40B4-BE49-F238E27FC236}">
              <a16:creationId xmlns:a16="http://schemas.microsoft.com/office/drawing/2014/main" id="{40757355-A6D0-3905-8D82-A31C46409C9D}"/>
            </a:ext>
          </a:extLst>
        </xdr:cNvPr>
        <xdr:cNvCxnSpPr/>
      </xdr:nvCxnSpPr>
      <xdr:spPr>
        <a:xfrm flipH="1" flipV="1">
          <a:off x="4132483" y="491200"/>
          <a:ext cx="715444" cy="6311"/>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298992</xdr:colOff>
      <xdr:row>1</xdr:row>
      <xdr:rowOff>46984</xdr:rowOff>
    </xdr:from>
    <xdr:to>
      <xdr:col>6</xdr:col>
      <xdr:colOff>632153</xdr:colOff>
      <xdr:row>2</xdr:row>
      <xdr:rowOff>14949</xdr:rowOff>
    </xdr:to>
    <xdr:sp macro="" textlink="'Pivot Tables'!$V$12">
      <xdr:nvSpPr>
        <xdr:cNvPr id="51" name="TextBox 50">
          <a:extLst>
            <a:ext uri="{FF2B5EF4-FFF2-40B4-BE49-F238E27FC236}">
              <a16:creationId xmlns:a16="http://schemas.microsoft.com/office/drawing/2014/main" id="{3C03566F-95D5-45F0-B999-535EC0312E9C}"/>
            </a:ext>
          </a:extLst>
        </xdr:cNvPr>
        <xdr:cNvSpPr txBox="1"/>
      </xdr:nvSpPr>
      <xdr:spPr>
        <a:xfrm>
          <a:off x="4412254" y="247735"/>
          <a:ext cx="333161" cy="168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FD6080A6-B511-4D1C-B374-52408FF2CC55}" type="TxLink">
            <a:rPr lang="en-US" sz="600" b="0" i="0" u="none" strike="noStrike">
              <a:solidFill>
                <a:srgbClr val="000000"/>
              </a:solidFill>
              <a:latin typeface="Arial" panose="020B0604020202020204" pitchFamily="34" charset="0"/>
              <a:ea typeface="Calibri"/>
              <a:cs typeface="Arial" panose="020B0604020202020204" pitchFamily="34" charset="0"/>
            </a:rPr>
            <a:pPr algn="l"/>
            <a:t>926</a:t>
          </a:fld>
          <a:endParaRPr lang="en-IN" sz="100" b="0">
            <a:latin typeface="Arial" panose="020B0604020202020204" pitchFamily="34" charset="0"/>
            <a:cs typeface="Arial" panose="020B0604020202020204" pitchFamily="34" charset="0"/>
          </a:endParaRPr>
        </a:p>
      </xdr:txBody>
    </xdr:sp>
    <xdr:clientData/>
  </xdr:twoCellAnchor>
  <xdr:twoCellAnchor>
    <xdr:from>
      <xdr:col>6</xdr:col>
      <xdr:colOff>307535</xdr:colOff>
      <xdr:row>2</xdr:row>
      <xdr:rowOff>111055</xdr:rowOff>
    </xdr:from>
    <xdr:to>
      <xdr:col>7</xdr:col>
      <xdr:colOff>166581</xdr:colOff>
      <xdr:row>3</xdr:row>
      <xdr:rowOff>185802</xdr:rowOff>
    </xdr:to>
    <xdr:sp macro="" textlink="">
      <xdr:nvSpPr>
        <xdr:cNvPr id="52" name="TextBox 51">
          <a:extLst>
            <a:ext uri="{FF2B5EF4-FFF2-40B4-BE49-F238E27FC236}">
              <a16:creationId xmlns:a16="http://schemas.microsoft.com/office/drawing/2014/main" id="{3B339BEF-19FD-47FD-A1A7-45468AFD1125}"/>
            </a:ext>
          </a:extLst>
        </xdr:cNvPr>
        <xdr:cNvSpPr txBox="1"/>
      </xdr:nvSpPr>
      <xdr:spPr>
        <a:xfrm>
          <a:off x="4420797" y="512557"/>
          <a:ext cx="544590" cy="2754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400" b="0">
              <a:latin typeface="Arial" panose="020B0604020202020204" pitchFamily="34" charset="0"/>
              <a:cs typeface="Arial" panose="020B0604020202020204" pitchFamily="34" charset="0"/>
            </a:rPr>
            <a:t>Total</a:t>
          </a:r>
          <a:r>
            <a:rPr lang="en-IN" sz="400" b="0" baseline="0">
              <a:latin typeface="Arial" panose="020B0604020202020204" pitchFamily="34" charset="0"/>
              <a:cs typeface="Arial" panose="020B0604020202020204" pitchFamily="34" charset="0"/>
            </a:rPr>
            <a:t> Unpaid Calls</a:t>
          </a:r>
          <a:endParaRPr lang="en-IN" sz="400" b="0">
            <a:latin typeface="Arial" panose="020B0604020202020204" pitchFamily="34" charset="0"/>
            <a:cs typeface="Arial" panose="020B0604020202020204" pitchFamily="34" charset="0"/>
          </a:endParaRPr>
        </a:p>
      </xdr:txBody>
    </xdr:sp>
    <xdr:clientData/>
  </xdr:twoCellAnchor>
  <xdr:twoCellAnchor>
    <xdr:from>
      <xdr:col>6</xdr:col>
      <xdr:colOff>307534</xdr:colOff>
      <xdr:row>3</xdr:row>
      <xdr:rowOff>53391</xdr:rowOff>
    </xdr:from>
    <xdr:to>
      <xdr:col>7</xdr:col>
      <xdr:colOff>205023</xdr:colOff>
      <xdr:row>4</xdr:row>
      <xdr:rowOff>21356</xdr:rowOff>
    </xdr:to>
    <xdr:sp macro="" textlink="'Pivot Tables'!$V$13">
      <xdr:nvSpPr>
        <xdr:cNvPr id="53" name="TextBox 52">
          <a:extLst>
            <a:ext uri="{FF2B5EF4-FFF2-40B4-BE49-F238E27FC236}">
              <a16:creationId xmlns:a16="http://schemas.microsoft.com/office/drawing/2014/main" id="{45902B96-5EC3-4718-9D22-CFEF932D0F4C}"/>
            </a:ext>
          </a:extLst>
        </xdr:cNvPr>
        <xdr:cNvSpPr txBox="1"/>
      </xdr:nvSpPr>
      <xdr:spPr>
        <a:xfrm>
          <a:off x="4420796" y="655644"/>
          <a:ext cx="583033" cy="168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B88C5BEC-FD57-4B03-BDBD-CE63C110FED1}" type="TxLink">
            <a:rPr lang="en-US" sz="600" b="0" i="0" u="none" strike="noStrike">
              <a:solidFill>
                <a:srgbClr val="000000"/>
              </a:solidFill>
              <a:latin typeface="Arial" panose="020B0604020202020204" pitchFamily="34" charset="0"/>
              <a:ea typeface="Calibri"/>
              <a:cs typeface="Arial" panose="020B0604020202020204" pitchFamily="34" charset="0"/>
            </a:rPr>
            <a:pPr algn="l"/>
            <a:t>311</a:t>
          </a:fld>
          <a:endParaRPr lang="en-IN" sz="100" b="0">
            <a:latin typeface="Arial" panose="020B0604020202020204" pitchFamily="34" charset="0"/>
            <a:cs typeface="Arial" panose="020B0604020202020204" pitchFamily="34" charset="0"/>
          </a:endParaRPr>
        </a:p>
      </xdr:txBody>
    </xdr:sp>
    <xdr:clientData/>
  </xdr:twoCellAnchor>
  <xdr:twoCellAnchor>
    <xdr:from>
      <xdr:col>8</xdr:col>
      <xdr:colOff>0</xdr:colOff>
      <xdr:row>2</xdr:row>
      <xdr:rowOff>200751</xdr:rowOff>
    </xdr:from>
    <xdr:to>
      <xdr:col>8</xdr:col>
      <xdr:colOff>333161</xdr:colOff>
      <xdr:row>3</xdr:row>
      <xdr:rowOff>168716</xdr:rowOff>
    </xdr:to>
    <xdr:sp macro="" textlink="Dashboard!$H$10">
      <xdr:nvSpPr>
        <xdr:cNvPr id="54" name="TextBox 53">
          <a:extLst>
            <a:ext uri="{FF2B5EF4-FFF2-40B4-BE49-F238E27FC236}">
              <a16:creationId xmlns:a16="http://schemas.microsoft.com/office/drawing/2014/main" id="{46FBD0DA-32D6-4F3E-81D4-DA561A4ADE80}"/>
            </a:ext>
          </a:extLst>
        </xdr:cNvPr>
        <xdr:cNvSpPr txBox="1"/>
      </xdr:nvSpPr>
      <xdr:spPr>
        <a:xfrm>
          <a:off x="5484350" y="602253"/>
          <a:ext cx="333161" cy="168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6B80919-AD3C-42FD-9582-6D6871FB3523}" type="TxLink">
            <a:rPr lang="en-US" sz="1200" b="0" i="0" u="none" strike="noStrike">
              <a:solidFill>
                <a:srgbClr val="000000"/>
              </a:solidFill>
              <a:latin typeface="Calibri"/>
              <a:ea typeface="Calibri"/>
              <a:cs typeface="Calibri"/>
            </a:rPr>
            <a:pPr algn="l"/>
            <a:t> </a:t>
          </a:fld>
          <a:endParaRPr lang="en-IN" sz="100" b="0">
            <a:latin typeface="Arial" panose="020B0604020202020204" pitchFamily="34" charset="0"/>
            <a:cs typeface="Arial" panose="020B0604020202020204" pitchFamily="34" charset="0"/>
          </a:endParaRPr>
        </a:p>
      </xdr:txBody>
    </xdr:sp>
    <xdr:clientData/>
  </xdr:twoCellAnchor>
  <xdr:twoCellAnchor>
    <xdr:from>
      <xdr:col>6</xdr:col>
      <xdr:colOff>26397</xdr:colOff>
      <xdr:row>0</xdr:row>
      <xdr:rowOff>199384</xdr:rowOff>
    </xdr:from>
    <xdr:to>
      <xdr:col>6</xdr:col>
      <xdr:colOff>427130</xdr:colOff>
      <xdr:row>1</xdr:row>
      <xdr:rowOff>167349</xdr:rowOff>
    </xdr:to>
    <xdr:sp macro="" textlink="'Pivot Tables'!W12">
      <xdr:nvSpPr>
        <xdr:cNvPr id="55" name="TextBox 54">
          <a:extLst>
            <a:ext uri="{FF2B5EF4-FFF2-40B4-BE49-F238E27FC236}">
              <a16:creationId xmlns:a16="http://schemas.microsoft.com/office/drawing/2014/main" id="{835C3BAB-FAC0-4941-B098-BBF3936E9B22}"/>
            </a:ext>
          </a:extLst>
        </xdr:cNvPr>
        <xdr:cNvSpPr txBox="1"/>
      </xdr:nvSpPr>
      <xdr:spPr>
        <a:xfrm>
          <a:off x="4139659" y="199384"/>
          <a:ext cx="400733" cy="168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D529333F-FEF3-4FE1-AA95-9C952B0002BF}" type="TxLink">
            <a:rPr lang="en-US" sz="600" b="0" i="0" u="none" strike="noStrike">
              <a:solidFill>
                <a:srgbClr val="000000"/>
              </a:solidFill>
              <a:latin typeface="Arial" panose="020B0604020202020204" pitchFamily="34" charset="0"/>
              <a:ea typeface="Calibri"/>
              <a:cs typeface="Arial" panose="020B0604020202020204" pitchFamily="34" charset="0"/>
            </a:rPr>
            <a:pPr algn="l"/>
            <a:t>75%</a:t>
          </a:fld>
          <a:endParaRPr lang="en-IN" sz="100" b="0">
            <a:latin typeface="Arial" panose="020B0604020202020204" pitchFamily="34" charset="0"/>
            <a:cs typeface="Arial" panose="020B0604020202020204" pitchFamily="34" charset="0"/>
          </a:endParaRPr>
        </a:p>
      </xdr:txBody>
    </xdr:sp>
    <xdr:clientData/>
  </xdr:twoCellAnchor>
  <xdr:twoCellAnchor>
    <xdr:from>
      <xdr:col>6</xdr:col>
      <xdr:colOff>40579</xdr:colOff>
      <xdr:row>2</xdr:row>
      <xdr:rowOff>196481</xdr:rowOff>
    </xdr:from>
    <xdr:to>
      <xdr:col>6</xdr:col>
      <xdr:colOff>441312</xdr:colOff>
      <xdr:row>3</xdr:row>
      <xdr:rowOff>164446</xdr:rowOff>
    </xdr:to>
    <xdr:sp macro="" textlink="'Pivot Tables'!W13">
      <xdr:nvSpPr>
        <xdr:cNvPr id="56" name="TextBox 55">
          <a:extLst>
            <a:ext uri="{FF2B5EF4-FFF2-40B4-BE49-F238E27FC236}">
              <a16:creationId xmlns:a16="http://schemas.microsoft.com/office/drawing/2014/main" id="{AF523A44-6B87-4956-83AF-4C145940714D}"/>
            </a:ext>
          </a:extLst>
        </xdr:cNvPr>
        <xdr:cNvSpPr txBox="1"/>
      </xdr:nvSpPr>
      <xdr:spPr>
        <a:xfrm>
          <a:off x="4153841" y="597983"/>
          <a:ext cx="400733" cy="168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1EB71A6D-2362-4DE7-BF5B-68ABDF027F40}" type="TxLink">
            <a:rPr lang="en-US" sz="600" b="0" i="0" u="none" strike="noStrike">
              <a:solidFill>
                <a:srgbClr val="000000"/>
              </a:solidFill>
              <a:latin typeface="Arial" panose="020B0604020202020204" pitchFamily="34" charset="0"/>
              <a:ea typeface="Calibri"/>
              <a:cs typeface="Arial" panose="020B0604020202020204" pitchFamily="34" charset="0"/>
            </a:rPr>
            <a:pPr algn="l"/>
            <a:t>25%</a:t>
          </a:fld>
          <a:endParaRPr lang="en-IN" sz="100" b="0">
            <a:latin typeface="Arial" panose="020B0604020202020204" pitchFamily="34" charset="0"/>
            <a:cs typeface="Arial" panose="020B0604020202020204" pitchFamily="34" charset="0"/>
          </a:endParaRPr>
        </a:p>
      </xdr:txBody>
    </xdr:sp>
    <xdr:clientData/>
  </xdr:twoCellAnchor>
  <xdr:twoCellAnchor>
    <xdr:from>
      <xdr:col>7</xdr:col>
      <xdr:colOff>136963</xdr:colOff>
      <xdr:row>0</xdr:row>
      <xdr:rowOff>81696</xdr:rowOff>
    </xdr:from>
    <xdr:to>
      <xdr:col>9</xdr:col>
      <xdr:colOff>301162</xdr:colOff>
      <xdr:row>4</xdr:row>
      <xdr:rowOff>74594</xdr:rowOff>
    </xdr:to>
    <xdr:sp macro="" textlink="">
      <xdr:nvSpPr>
        <xdr:cNvPr id="38" name="Rectangle: Rounded Corners 37">
          <a:extLst>
            <a:ext uri="{FF2B5EF4-FFF2-40B4-BE49-F238E27FC236}">
              <a16:creationId xmlns:a16="http://schemas.microsoft.com/office/drawing/2014/main" id="{0665004B-17E2-4206-A906-21BEE5BAD059}"/>
            </a:ext>
          </a:extLst>
        </xdr:cNvPr>
        <xdr:cNvSpPr/>
      </xdr:nvSpPr>
      <xdr:spPr>
        <a:xfrm>
          <a:off x="4936760" y="81696"/>
          <a:ext cx="1535569" cy="796211"/>
        </a:xfrm>
        <a:prstGeom prst="roundRect">
          <a:avLst>
            <a:gd name="adj" fmla="val 3881"/>
          </a:avLst>
        </a:prstGeom>
        <a:solidFill>
          <a:srgbClr val="A5C2E3"/>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7</xdr:col>
      <xdr:colOff>149076</xdr:colOff>
      <xdr:row>0</xdr:row>
      <xdr:rowOff>96336</xdr:rowOff>
    </xdr:from>
    <xdr:to>
      <xdr:col>9</xdr:col>
      <xdr:colOff>288355</xdr:colOff>
      <xdr:row>4</xdr:row>
      <xdr:rowOff>53833</xdr:rowOff>
    </xdr:to>
    <mc:AlternateContent xmlns:mc="http://schemas.openxmlformats.org/markup-compatibility/2006" xmlns:a14="http://schemas.microsoft.com/office/drawing/2010/main">
      <mc:Choice Requires="a14">
        <xdr:graphicFrame macro="">
          <xdr:nvGraphicFramePr>
            <xdr:cNvPr id="40" name="Month 1">
              <a:extLst>
                <a:ext uri="{FF2B5EF4-FFF2-40B4-BE49-F238E27FC236}">
                  <a16:creationId xmlns:a16="http://schemas.microsoft.com/office/drawing/2014/main" id="{B986211B-974A-40B4-AA9D-1E16C223C654}"/>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4959804" y="96336"/>
              <a:ext cx="1513773" cy="7532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65240</xdr:colOff>
      <xdr:row>4</xdr:row>
      <xdr:rowOff>110454</xdr:rowOff>
    </xdr:from>
    <xdr:to>
      <xdr:col>1</xdr:col>
      <xdr:colOff>670892</xdr:colOff>
      <xdr:row>12</xdr:row>
      <xdr:rowOff>119062</xdr:rowOff>
    </xdr:to>
    <xdr:sp macro="" textlink="">
      <xdr:nvSpPr>
        <xdr:cNvPr id="43" name="Rectangle: Rounded Corners 42">
          <a:extLst>
            <a:ext uri="{FF2B5EF4-FFF2-40B4-BE49-F238E27FC236}">
              <a16:creationId xmlns:a16="http://schemas.microsoft.com/office/drawing/2014/main" id="{F02BB549-A2BE-4461-8A4C-7451FF024037}"/>
            </a:ext>
          </a:extLst>
        </xdr:cNvPr>
        <xdr:cNvSpPr/>
      </xdr:nvSpPr>
      <xdr:spPr>
        <a:xfrm>
          <a:off x="65240" y="913867"/>
          <a:ext cx="1291038" cy="1615434"/>
        </a:xfrm>
        <a:prstGeom prst="roundRect">
          <a:avLst>
            <a:gd name="adj" fmla="val 3881"/>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301822</xdr:colOff>
      <xdr:row>0</xdr:row>
      <xdr:rowOff>92115</xdr:rowOff>
    </xdr:from>
    <xdr:to>
      <xdr:col>10</xdr:col>
      <xdr:colOff>364537</xdr:colOff>
      <xdr:row>1</xdr:row>
      <xdr:rowOff>60080</xdr:rowOff>
    </xdr:to>
    <xdr:sp macro="" textlink="">
      <xdr:nvSpPr>
        <xdr:cNvPr id="49" name="TextBox 48">
          <a:extLst>
            <a:ext uri="{FF2B5EF4-FFF2-40B4-BE49-F238E27FC236}">
              <a16:creationId xmlns:a16="http://schemas.microsoft.com/office/drawing/2014/main" id="{B9B74B58-66E2-4B6F-A591-B604348FD4B8}"/>
            </a:ext>
          </a:extLst>
        </xdr:cNvPr>
        <xdr:cNvSpPr txBox="1"/>
      </xdr:nvSpPr>
      <xdr:spPr>
        <a:xfrm>
          <a:off x="6475433" y="92115"/>
          <a:ext cx="748672" cy="167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500" b="0">
              <a:latin typeface="Arial" panose="020B0604020202020204" pitchFamily="34" charset="0"/>
              <a:cs typeface="Arial" panose="020B0604020202020204" pitchFamily="34" charset="0"/>
            </a:rPr>
            <a:t>Enrolled</a:t>
          </a:r>
          <a:r>
            <a:rPr lang="en-IN" sz="500" b="0" baseline="0">
              <a:latin typeface="Arial" panose="020B0604020202020204" pitchFamily="34" charset="0"/>
              <a:cs typeface="Arial" panose="020B0604020202020204" pitchFamily="34" charset="0"/>
            </a:rPr>
            <a:t> Cources</a:t>
          </a:r>
          <a:endParaRPr lang="en-IN" sz="500" b="0">
            <a:latin typeface="Arial" panose="020B0604020202020204" pitchFamily="34" charset="0"/>
            <a:cs typeface="Arial" panose="020B0604020202020204" pitchFamily="34" charset="0"/>
          </a:endParaRPr>
        </a:p>
      </xdr:txBody>
    </xdr:sp>
    <xdr:clientData/>
  </xdr:twoCellAnchor>
  <xdr:twoCellAnchor>
    <xdr:from>
      <xdr:col>9</xdr:col>
      <xdr:colOff>298724</xdr:colOff>
      <xdr:row>0</xdr:row>
      <xdr:rowOff>128024</xdr:rowOff>
    </xdr:from>
    <xdr:to>
      <xdr:col>10</xdr:col>
      <xdr:colOff>656514</xdr:colOff>
      <xdr:row>4</xdr:row>
      <xdr:rowOff>55318</xdr:rowOff>
    </xdr:to>
    <xdr:graphicFrame macro="">
      <xdr:nvGraphicFramePr>
        <xdr:cNvPr id="50" name="Chart 49">
          <a:extLst>
            <a:ext uri="{FF2B5EF4-FFF2-40B4-BE49-F238E27FC236}">
              <a16:creationId xmlns:a16="http://schemas.microsoft.com/office/drawing/2014/main" id="{8F4763A4-B748-4C14-8969-E65E8EABCE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311481</xdr:colOff>
      <xdr:row>1</xdr:row>
      <xdr:rowOff>2257</xdr:rowOff>
    </xdr:from>
    <xdr:to>
      <xdr:col>10</xdr:col>
      <xdr:colOff>31600</xdr:colOff>
      <xdr:row>1</xdr:row>
      <xdr:rowOff>171105</xdr:rowOff>
    </xdr:to>
    <xdr:sp macro="" textlink="'Pivot Tables'!AB9">
      <xdr:nvSpPr>
        <xdr:cNvPr id="57" name="TextBox 56">
          <a:extLst>
            <a:ext uri="{FF2B5EF4-FFF2-40B4-BE49-F238E27FC236}">
              <a16:creationId xmlns:a16="http://schemas.microsoft.com/office/drawing/2014/main" id="{9C3C0FEA-3F77-4451-98C7-CCBB1A71B345}"/>
            </a:ext>
          </a:extLst>
        </xdr:cNvPr>
        <xdr:cNvSpPr txBox="1"/>
      </xdr:nvSpPr>
      <xdr:spPr>
        <a:xfrm>
          <a:off x="6486931" y="203140"/>
          <a:ext cx="406280" cy="1688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7219BA65-C74E-41A5-A985-80481E600B89}" type="TxLink">
            <a:rPr lang="en-US" sz="700" b="0" i="0" u="none" strike="noStrike">
              <a:solidFill>
                <a:srgbClr val="8D7EF3"/>
              </a:solidFill>
              <a:latin typeface="+mn-lt"/>
              <a:ea typeface="Calibri"/>
              <a:cs typeface="Arial" panose="020B0604020202020204" pitchFamily="34" charset="0"/>
            </a:rPr>
            <a:pPr algn="l"/>
            <a:t>2,643</a:t>
          </a:fld>
          <a:endParaRPr lang="en-IN" sz="400" b="0">
            <a:solidFill>
              <a:srgbClr val="8D7EF3"/>
            </a:solidFill>
            <a:latin typeface="+mn-lt"/>
            <a:cs typeface="Arial" panose="020B0604020202020204" pitchFamily="34" charset="0"/>
          </a:endParaRPr>
        </a:p>
      </xdr:txBody>
    </xdr:sp>
    <xdr:clientData/>
  </xdr:twoCellAnchor>
  <xdr:twoCellAnchor>
    <xdr:from>
      <xdr:col>9</xdr:col>
      <xdr:colOff>331796</xdr:colOff>
      <xdr:row>2</xdr:row>
      <xdr:rowOff>65456</xdr:rowOff>
    </xdr:from>
    <xdr:to>
      <xdr:col>9</xdr:col>
      <xdr:colOff>568793</xdr:colOff>
      <xdr:row>3</xdr:row>
      <xdr:rowOff>33421</xdr:rowOff>
    </xdr:to>
    <xdr:sp macro="" textlink="'Pivot Tables'!AB5">
      <xdr:nvSpPr>
        <xdr:cNvPr id="58" name="TextBox 57">
          <a:extLst>
            <a:ext uri="{FF2B5EF4-FFF2-40B4-BE49-F238E27FC236}">
              <a16:creationId xmlns:a16="http://schemas.microsoft.com/office/drawing/2014/main" id="{020F7B11-4782-4249-9D0D-5EF56CBD838E}"/>
            </a:ext>
          </a:extLst>
        </xdr:cNvPr>
        <xdr:cNvSpPr txBox="1"/>
      </xdr:nvSpPr>
      <xdr:spPr>
        <a:xfrm>
          <a:off x="6507246" y="467221"/>
          <a:ext cx="236997" cy="1688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EC690736-115E-489C-A797-226E336FEB1B}" type="TxLink">
            <a:rPr lang="en-US" sz="700" b="0" i="0" u="none" strike="noStrike">
              <a:solidFill>
                <a:srgbClr val="000000"/>
              </a:solidFill>
              <a:latin typeface="Calibri"/>
              <a:ea typeface="Calibri"/>
              <a:cs typeface="Calibri"/>
            </a:rPr>
            <a:pPr algn="l"/>
            <a:t>2</a:t>
          </a:fld>
          <a:endParaRPr lang="en-IN" sz="100" b="0">
            <a:latin typeface="Arial" panose="020B0604020202020204" pitchFamily="34" charset="0"/>
            <a:cs typeface="Arial" panose="020B0604020202020204" pitchFamily="34" charset="0"/>
          </a:endParaRPr>
        </a:p>
      </xdr:txBody>
    </xdr:sp>
    <xdr:clientData/>
  </xdr:twoCellAnchor>
  <xdr:twoCellAnchor>
    <xdr:from>
      <xdr:col>9</xdr:col>
      <xdr:colOff>297938</xdr:colOff>
      <xdr:row>1</xdr:row>
      <xdr:rowOff>173798</xdr:rowOff>
    </xdr:from>
    <xdr:to>
      <xdr:col>10</xdr:col>
      <xdr:colOff>47399</xdr:colOff>
      <xdr:row>2</xdr:row>
      <xdr:rowOff>141764</xdr:rowOff>
    </xdr:to>
    <xdr:sp macro="" textlink="">
      <xdr:nvSpPr>
        <xdr:cNvPr id="59" name="TextBox 58">
          <a:extLst>
            <a:ext uri="{FF2B5EF4-FFF2-40B4-BE49-F238E27FC236}">
              <a16:creationId xmlns:a16="http://schemas.microsoft.com/office/drawing/2014/main" id="{7DCAA0F5-C284-4948-95E2-7BA5F9B08365}"/>
            </a:ext>
          </a:extLst>
        </xdr:cNvPr>
        <xdr:cNvSpPr txBox="1"/>
      </xdr:nvSpPr>
      <xdr:spPr>
        <a:xfrm>
          <a:off x="6473388" y="374681"/>
          <a:ext cx="435622" cy="1688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500" b="0">
              <a:latin typeface="Arial" panose="020B0604020202020204" pitchFamily="34" charset="0"/>
              <a:cs typeface="Arial" panose="020B0604020202020204" pitchFamily="34" charset="0"/>
            </a:rPr>
            <a:t>Average</a:t>
          </a:r>
          <a:endParaRPr lang="en-IN" sz="400" b="0">
            <a:latin typeface="Arial" panose="020B0604020202020204" pitchFamily="34" charset="0"/>
            <a:cs typeface="Arial" panose="020B0604020202020204" pitchFamily="34" charset="0"/>
          </a:endParaRPr>
        </a:p>
      </xdr:txBody>
    </xdr:sp>
    <xdr:clientData/>
  </xdr:twoCellAnchor>
  <xdr:twoCellAnchor>
    <xdr:from>
      <xdr:col>9</xdr:col>
      <xdr:colOff>78477</xdr:colOff>
      <xdr:row>4</xdr:row>
      <xdr:rowOff>110866</xdr:rowOff>
    </xdr:from>
    <xdr:to>
      <xdr:col>10</xdr:col>
      <xdr:colOff>573843</xdr:colOff>
      <xdr:row>9</xdr:row>
      <xdr:rowOff>82462</xdr:rowOff>
    </xdr:to>
    <xdr:sp macro="" textlink="">
      <xdr:nvSpPr>
        <xdr:cNvPr id="60" name="Rectangle: Rounded Corners 59">
          <a:extLst>
            <a:ext uri="{FF2B5EF4-FFF2-40B4-BE49-F238E27FC236}">
              <a16:creationId xmlns:a16="http://schemas.microsoft.com/office/drawing/2014/main" id="{70FC8B70-0F85-4D10-B64C-0581DEE5CB59}"/>
            </a:ext>
          </a:extLst>
        </xdr:cNvPr>
        <xdr:cNvSpPr/>
      </xdr:nvSpPr>
      <xdr:spPr>
        <a:xfrm>
          <a:off x="6256855" y="908907"/>
          <a:ext cx="1181853" cy="969146"/>
        </a:xfrm>
        <a:prstGeom prst="roundRect">
          <a:avLst>
            <a:gd name="adj" fmla="val 3881"/>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413586</xdr:colOff>
      <xdr:row>4</xdr:row>
      <xdr:rowOff>114575</xdr:rowOff>
    </xdr:from>
    <xdr:to>
      <xdr:col>10</xdr:col>
      <xdr:colOff>311075</xdr:colOff>
      <xdr:row>5</xdr:row>
      <xdr:rowOff>82539</xdr:rowOff>
    </xdr:to>
    <xdr:sp macro="" textlink="">
      <xdr:nvSpPr>
        <xdr:cNvPr id="61" name="TextBox 60">
          <a:extLst>
            <a:ext uri="{FF2B5EF4-FFF2-40B4-BE49-F238E27FC236}">
              <a16:creationId xmlns:a16="http://schemas.microsoft.com/office/drawing/2014/main" id="{61FB9682-5B47-40EB-8AAA-C7B510FA3302}"/>
            </a:ext>
          </a:extLst>
        </xdr:cNvPr>
        <xdr:cNvSpPr txBox="1"/>
      </xdr:nvSpPr>
      <xdr:spPr>
        <a:xfrm>
          <a:off x="6591964" y="912616"/>
          <a:ext cx="583976" cy="167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600" b="0">
              <a:latin typeface="Arial" panose="020B0604020202020204" pitchFamily="34" charset="0"/>
              <a:cs typeface="Arial" panose="020B0604020202020204" pitchFamily="34" charset="0"/>
            </a:rPr>
            <a:t>Area</a:t>
          </a:r>
          <a:r>
            <a:rPr lang="en-IN" sz="600" b="0" baseline="0">
              <a:latin typeface="Arial" panose="020B0604020202020204" pitchFamily="34" charset="0"/>
              <a:cs typeface="Arial" panose="020B0604020202020204" pitchFamily="34" charset="0"/>
            </a:rPr>
            <a:t> Code</a:t>
          </a:r>
          <a:endParaRPr lang="en-IN" sz="400" b="0">
            <a:latin typeface="Arial" panose="020B0604020202020204" pitchFamily="34" charset="0"/>
            <a:cs typeface="Arial" panose="020B0604020202020204" pitchFamily="34" charset="0"/>
          </a:endParaRPr>
        </a:p>
      </xdr:txBody>
    </xdr:sp>
    <xdr:clientData/>
  </xdr:twoCellAnchor>
  <xdr:twoCellAnchor>
    <xdr:from>
      <xdr:col>9</xdr:col>
      <xdr:colOff>165186</xdr:colOff>
      <xdr:row>5</xdr:row>
      <xdr:rowOff>4289</xdr:rowOff>
    </xdr:from>
    <xdr:to>
      <xdr:col>10</xdr:col>
      <xdr:colOff>486699</xdr:colOff>
      <xdr:row>9</xdr:row>
      <xdr:rowOff>34249</xdr:rowOff>
    </xdr:to>
    <xdr:graphicFrame macro="">
      <xdr:nvGraphicFramePr>
        <xdr:cNvPr id="65" name="Chart 64">
          <a:extLst>
            <a:ext uri="{FF2B5EF4-FFF2-40B4-BE49-F238E27FC236}">
              <a16:creationId xmlns:a16="http://schemas.microsoft.com/office/drawing/2014/main" id="{720036B5-20F6-484B-B66C-F30933DD41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89785</xdr:colOff>
      <xdr:row>9</xdr:row>
      <xdr:rowOff>125523</xdr:rowOff>
    </xdr:from>
    <xdr:to>
      <xdr:col>10</xdr:col>
      <xdr:colOff>573547</xdr:colOff>
      <xdr:row>15</xdr:row>
      <xdr:rowOff>72227</xdr:rowOff>
    </xdr:to>
    <xdr:sp macro="" textlink="">
      <xdr:nvSpPr>
        <xdr:cNvPr id="67" name="Rectangle: Rounded Corners 66">
          <a:extLst>
            <a:ext uri="{FF2B5EF4-FFF2-40B4-BE49-F238E27FC236}">
              <a16:creationId xmlns:a16="http://schemas.microsoft.com/office/drawing/2014/main" id="{B0C51E7D-4D5C-41F0-93C2-416C8702082A}"/>
            </a:ext>
          </a:extLst>
        </xdr:cNvPr>
        <xdr:cNvSpPr/>
      </xdr:nvSpPr>
      <xdr:spPr>
        <a:xfrm>
          <a:off x="6255661" y="1917316"/>
          <a:ext cx="1168859" cy="1141233"/>
        </a:xfrm>
        <a:prstGeom prst="roundRect">
          <a:avLst>
            <a:gd name="adj" fmla="val 3881"/>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557505</xdr:colOff>
      <xdr:row>8</xdr:row>
      <xdr:rowOff>27083</xdr:rowOff>
    </xdr:from>
    <xdr:to>
      <xdr:col>10</xdr:col>
      <xdr:colOff>661183</xdr:colOff>
      <xdr:row>16</xdr:row>
      <xdr:rowOff>4022</xdr:rowOff>
    </xdr:to>
    <xdr:graphicFrame macro="">
      <xdr:nvGraphicFramePr>
        <xdr:cNvPr id="69" name="Chart 68">
          <a:extLst>
            <a:ext uri="{FF2B5EF4-FFF2-40B4-BE49-F238E27FC236}">
              <a16:creationId xmlns:a16="http://schemas.microsoft.com/office/drawing/2014/main" id="{BD08AF37-9475-4ABD-A6FA-039C118A7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338566</xdr:colOff>
      <xdr:row>10</xdr:row>
      <xdr:rowOff>119627</xdr:rowOff>
    </xdr:from>
    <xdr:to>
      <xdr:col>10</xdr:col>
      <xdr:colOff>279881</xdr:colOff>
      <xdr:row>13</xdr:row>
      <xdr:rowOff>135426</xdr:rowOff>
    </xdr:to>
    <xdr:sp macro="" textlink="">
      <xdr:nvSpPr>
        <xdr:cNvPr id="70" name="Flowchart: Connector 69">
          <a:extLst>
            <a:ext uri="{FF2B5EF4-FFF2-40B4-BE49-F238E27FC236}">
              <a16:creationId xmlns:a16="http://schemas.microsoft.com/office/drawing/2014/main" id="{C3561260-88CE-5755-A1DA-7D3B56FB6E75}"/>
            </a:ext>
          </a:extLst>
        </xdr:cNvPr>
        <xdr:cNvSpPr/>
      </xdr:nvSpPr>
      <xdr:spPr>
        <a:xfrm>
          <a:off x="6514016" y="2128454"/>
          <a:ext cx="627476" cy="618447"/>
        </a:xfrm>
        <a:prstGeom prst="flowChartConnector">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379196</xdr:colOff>
      <xdr:row>11</xdr:row>
      <xdr:rowOff>58685</xdr:rowOff>
    </xdr:from>
    <xdr:to>
      <xdr:col>10</xdr:col>
      <xdr:colOff>227969</xdr:colOff>
      <xdr:row>13</xdr:row>
      <xdr:rowOff>18057</xdr:rowOff>
    </xdr:to>
    <xdr:sp macro="" textlink="">
      <xdr:nvSpPr>
        <xdr:cNvPr id="71" name="TextBox 70">
          <a:extLst>
            <a:ext uri="{FF2B5EF4-FFF2-40B4-BE49-F238E27FC236}">
              <a16:creationId xmlns:a16="http://schemas.microsoft.com/office/drawing/2014/main" id="{69208D85-2724-425F-BB75-9A35389B2B4A}"/>
            </a:ext>
          </a:extLst>
        </xdr:cNvPr>
        <xdr:cNvSpPr txBox="1"/>
      </xdr:nvSpPr>
      <xdr:spPr>
        <a:xfrm>
          <a:off x="6554646" y="2268395"/>
          <a:ext cx="534934" cy="3611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700" b="0">
              <a:latin typeface="Arial" panose="020B0604020202020204" pitchFamily="34" charset="0"/>
              <a:cs typeface="Arial" panose="020B0604020202020204" pitchFamily="34" charset="0"/>
            </a:rPr>
            <a:t>Training</a:t>
          </a:r>
          <a:r>
            <a:rPr lang="en-IN" sz="700" b="0" baseline="0">
              <a:latin typeface="Arial" panose="020B0604020202020204" pitchFamily="34" charset="0"/>
              <a:cs typeface="Arial" panose="020B0604020202020204" pitchFamily="34" charset="0"/>
            </a:rPr>
            <a:t> Models</a:t>
          </a:r>
          <a:endParaRPr lang="en-IN" sz="700" b="0">
            <a:latin typeface="Arial" panose="020B0604020202020204" pitchFamily="34" charset="0"/>
            <a:cs typeface="Arial" panose="020B0604020202020204" pitchFamily="34" charset="0"/>
          </a:endParaRPr>
        </a:p>
      </xdr:txBody>
    </xdr:sp>
    <xdr:clientData/>
  </xdr:twoCellAnchor>
  <xdr:twoCellAnchor>
    <xdr:from>
      <xdr:col>6</xdr:col>
      <xdr:colOff>197392</xdr:colOff>
      <xdr:row>4</xdr:row>
      <xdr:rowOff>117525</xdr:rowOff>
    </xdr:from>
    <xdr:to>
      <xdr:col>9</xdr:col>
      <xdr:colOff>32085</xdr:colOff>
      <xdr:row>15</xdr:row>
      <xdr:rowOff>64185</xdr:rowOff>
    </xdr:to>
    <xdr:sp macro="" textlink="">
      <xdr:nvSpPr>
        <xdr:cNvPr id="72" name="Rectangle: Rounded Corners 71">
          <a:extLst>
            <a:ext uri="{FF2B5EF4-FFF2-40B4-BE49-F238E27FC236}">
              <a16:creationId xmlns:a16="http://schemas.microsoft.com/office/drawing/2014/main" id="{0F5C1EA2-37B3-46ED-93AA-F1576BB1726E}"/>
            </a:ext>
          </a:extLst>
        </xdr:cNvPr>
        <xdr:cNvSpPr/>
      </xdr:nvSpPr>
      <xdr:spPr>
        <a:xfrm>
          <a:off x="4311503" y="920838"/>
          <a:ext cx="1891749" cy="2155772"/>
        </a:xfrm>
        <a:prstGeom prst="roundRect">
          <a:avLst>
            <a:gd name="adj" fmla="val 3881"/>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81107</xdr:colOff>
      <xdr:row>5</xdr:row>
      <xdr:rowOff>62717</xdr:rowOff>
    </xdr:from>
    <xdr:to>
      <xdr:col>9</xdr:col>
      <xdr:colOff>13302</xdr:colOff>
      <xdr:row>9</xdr:row>
      <xdr:rowOff>172940</xdr:rowOff>
    </xdr:to>
    <xdr:graphicFrame macro="">
      <xdr:nvGraphicFramePr>
        <xdr:cNvPr id="73" name="Chart 72">
          <a:extLst>
            <a:ext uri="{FF2B5EF4-FFF2-40B4-BE49-F238E27FC236}">
              <a16:creationId xmlns:a16="http://schemas.microsoft.com/office/drawing/2014/main" id="{CD6C91FE-5CA4-445F-9072-EA23A53BA5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201186</xdr:colOff>
      <xdr:row>4</xdr:row>
      <xdr:rowOff>145316</xdr:rowOff>
    </xdr:from>
    <xdr:to>
      <xdr:col>8</xdr:col>
      <xdr:colOff>591575</xdr:colOff>
      <xdr:row>6</xdr:row>
      <xdr:rowOff>55527</xdr:rowOff>
    </xdr:to>
    <xdr:sp macro="" textlink="">
      <xdr:nvSpPr>
        <xdr:cNvPr id="74" name="TextBox 73">
          <a:extLst>
            <a:ext uri="{FF2B5EF4-FFF2-40B4-BE49-F238E27FC236}">
              <a16:creationId xmlns:a16="http://schemas.microsoft.com/office/drawing/2014/main" id="{74D20917-3CBC-4661-AD41-290B36CDBB28}"/>
            </a:ext>
          </a:extLst>
        </xdr:cNvPr>
        <xdr:cNvSpPr txBox="1"/>
      </xdr:nvSpPr>
      <xdr:spPr>
        <a:xfrm>
          <a:off x="4314448" y="948320"/>
          <a:ext cx="1761477" cy="311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700" b="0">
              <a:solidFill>
                <a:srgbClr val="FF6699"/>
              </a:solidFill>
              <a:latin typeface="Arial" panose="020B0604020202020204" pitchFamily="34" charset="0"/>
              <a:cs typeface="Arial" panose="020B0604020202020204" pitchFamily="34" charset="0"/>
            </a:rPr>
            <a:t>Training</a:t>
          </a:r>
          <a:r>
            <a:rPr lang="en-IN" sz="700" b="0" baseline="0">
              <a:solidFill>
                <a:srgbClr val="FF6699"/>
              </a:solidFill>
              <a:latin typeface="Arial" panose="020B0604020202020204" pitchFamily="34" charset="0"/>
              <a:cs typeface="Arial" panose="020B0604020202020204" pitchFamily="34" charset="0"/>
            </a:rPr>
            <a:t> level Fees By Sales Team</a:t>
          </a:r>
          <a:endParaRPr lang="en-IN" sz="500" b="0">
            <a:solidFill>
              <a:srgbClr val="FF6699"/>
            </a:solidFill>
            <a:latin typeface="Arial" panose="020B0604020202020204" pitchFamily="34" charset="0"/>
            <a:cs typeface="Arial" panose="020B0604020202020204" pitchFamily="34" charset="0"/>
          </a:endParaRPr>
        </a:p>
      </xdr:txBody>
    </xdr:sp>
    <xdr:clientData/>
  </xdr:twoCellAnchor>
  <xdr:twoCellAnchor>
    <xdr:from>
      <xdr:col>6</xdr:col>
      <xdr:colOff>202206</xdr:colOff>
      <xdr:row>13</xdr:row>
      <xdr:rowOff>23947</xdr:rowOff>
    </xdr:from>
    <xdr:to>
      <xdr:col>8</xdr:col>
      <xdr:colOff>592595</xdr:colOff>
      <xdr:row>14</xdr:row>
      <xdr:rowOff>133705</xdr:rowOff>
    </xdr:to>
    <xdr:sp macro="" textlink="">
      <xdr:nvSpPr>
        <xdr:cNvPr id="76" name="TextBox 75">
          <a:extLst>
            <a:ext uri="{FF2B5EF4-FFF2-40B4-BE49-F238E27FC236}">
              <a16:creationId xmlns:a16="http://schemas.microsoft.com/office/drawing/2014/main" id="{4732D45F-04A3-4C9C-9BE4-65CABABA1D54}"/>
            </a:ext>
          </a:extLst>
        </xdr:cNvPr>
        <xdr:cNvSpPr txBox="1"/>
      </xdr:nvSpPr>
      <xdr:spPr>
        <a:xfrm>
          <a:off x="4320837" y="2618046"/>
          <a:ext cx="1763266" cy="309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700" b="0">
              <a:solidFill>
                <a:srgbClr val="FF6699"/>
              </a:solidFill>
              <a:latin typeface="Arial" panose="020B0604020202020204" pitchFamily="34" charset="0"/>
              <a:cs typeface="Arial" panose="020B0604020202020204" pitchFamily="34" charset="0"/>
            </a:rPr>
            <a:t>Enrolled</a:t>
          </a:r>
          <a:r>
            <a:rPr lang="en-IN" sz="700" b="0" baseline="0">
              <a:solidFill>
                <a:srgbClr val="FF6699"/>
              </a:solidFill>
              <a:latin typeface="Arial" panose="020B0604020202020204" pitchFamily="34" charset="0"/>
              <a:cs typeface="Arial" panose="020B0604020202020204" pitchFamily="34" charset="0"/>
            </a:rPr>
            <a:t> Course On Training Level</a:t>
          </a:r>
          <a:endParaRPr lang="en-IN" sz="500" b="0">
            <a:solidFill>
              <a:srgbClr val="FF6699"/>
            </a:solidFill>
            <a:latin typeface="Arial" panose="020B0604020202020204" pitchFamily="34" charset="0"/>
            <a:cs typeface="Arial" panose="020B0604020202020204" pitchFamily="34" charset="0"/>
          </a:endParaRPr>
        </a:p>
      </xdr:txBody>
    </xdr:sp>
    <xdr:clientData/>
  </xdr:twoCellAnchor>
  <xdr:twoCellAnchor>
    <xdr:from>
      <xdr:col>5</xdr:col>
      <xdr:colOff>569142</xdr:colOff>
      <xdr:row>8</xdr:row>
      <xdr:rowOff>184995</xdr:rowOff>
    </xdr:from>
    <xdr:to>
      <xdr:col>8</xdr:col>
      <xdr:colOff>659888</xdr:colOff>
      <xdr:row>18</xdr:row>
      <xdr:rowOff>168555</xdr:rowOff>
    </xdr:to>
    <xdr:graphicFrame macro="">
      <xdr:nvGraphicFramePr>
        <xdr:cNvPr id="77" name="Chart 76">
          <a:extLst>
            <a:ext uri="{FF2B5EF4-FFF2-40B4-BE49-F238E27FC236}">
              <a16:creationId xmlns:a16="http://schemas.microsoft.com/office/drawing/2014/main" id="{553A6387-951F-4E28-ADBD-26FE4AEBBA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208085</xdr:colOff>
      <xdr:row>4</xdr:row>
      <xdr:rowOff>116233</xdr:rowOff>
    </xdr:from>
    <xdr:to>
      <xdr:col>6</xdr:col>
      <xdr:colOff>164307</xdr:colOff>
      <xdr:row>8</xdr:row>
      <xdr:rowOff>114300</xdr:rowOff>
    </xdr:to>
    <xdr:sp macro="" textlink="">
      <xdr:nvSpPr>
        <xdr:cNvPr id="78" name="Rectangle: Rounded Corners 77">
          <a:extLst>
            <a:ext uri="{FF2B5EF4-FFF2-40B4-BE49-F238E27FC236}">
              <a16:creationId xmlns:a16="http://schemas.microsoft.com/office/drawing/2014/main" id="{E79563EE-8B57-4A1E-9B9F-022D1E466D94}"/>
            </a:ext>
          </a:extLst>
        </xdr:cNvPr>
        <xdr:cNvSpPr/>
      </xdr:nvSpPr>
      <xdr:spPr>
        <a:xfrm>
          <a:off x="3637085" y="919264"/>
          <a:ext cx="642022" cy="801098"/>
        </a:xfrm>
        <a:prstGeom prst="roundRect">
          <a:avLst>
            <a:gd name="adj" fmla="val 3881"/>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172155</xdr:colOff>
      <xdr:row>4</xdr:row>
      <xdr:rowOff>115234</xdr:rowOff>
    </xdr:from>
    <xdr:to>
      <xdr:col>6</xdr:col>
      <xdr:colOff>24553</xdr:colOff>
      <xdr:row>6</xdr:row>
      <xdr:rowOff>3111</xdr:rowOff>
    </xdr:to>
    <xdr:sp macro="" textlink="">
      <xdr:nvSpPr>
        <xdr:cNvPr id="79" name="TextBox 78">
          <a:extLst>
            <a:ext uri="{FF2B5EF4-FFF2-40B4-BE49-F238E27FC236}">
              <a16:creationId xmlns:a16="http://schemas.microsoft.com/office/drawing/2014/main" id="{233BB4BF-8309-42D0-A816-9F4F98E44F08}"/>
            </a:ext>
          </a:extLst>
        </xdr:cNvPr>
        <xdr:cNvSpPr txBox="1"/>
      </xdr:nvSpPr>
      <xdr:spPr>
        <a:xfrm>
          <a:off x="3601155" y="918265"/>
          <a:ext cx="538198" cy="289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400" b="0">
              <a:latin typeface="Arial" panose="020B0604020202020204" pitchFamily="34" charset="0"/>
              <a:cs typeface="Arial" panose="020B0604020202020204" pitchFamily="34" charset="0"/>
            </a:rPr>
            <a:t>Top</a:t>
          </a:r>
          <a:r>
            <a:rPr lang="en-IN" sz="400" b="0" baseline="0">
              <a:latin typeface="Arial" panose="020B0604020202020204" pitchFamily="34" charset="0"/>
              <a:cs typeface="Arial" panose="020B0604020202020204" pitchFamily="34" charset="0"/>
            </a:rPr>
            <a:t> 5 </a:t>
          </a:r>
        </a:p>
        <a:p>
          <a:pPr algn="l"/>
          <a:r>
            <a:rPr lang="en-IN" sz="400" b="0" baseline="0">
              <a:latin typeface="Arial" panose="020B0604020202020204" pitchFamily="34" charset="0"/>
              <a:cs typeface="Arial" panose="020B0604020202020204" pitchFamily="34" charset="0"/>
            </a:rPr>
            <a:t>Training Level      Revenue</a:t>
          </a:r>
          <a:endParaRPr lang="en-IN" sz="1100" b="0">
            <a:latin typeface="Arial" panose="020B0604020202020204" pitchFamily="34" charset="0"/>
            <a:cs typeface="Arial" panose="020B0604020202020204" pitchFamily="34" charset="0"/>
          </a:endParaRPr>
        </a:p>
      </xdr:txBody>
    </xdr:sp>
    <xdr:clientData/>
  </xdr:twoCellAnchor>
  <xdr:twoCellAnchor>
    <xdr:from>
      <xdr:col>5</xdr:col>
      <xdr:colOff>143929</xdr:colOff>
      <xdr:row>5</xdr:row>
      <xdr:rowOff>169164</xdr:rowOff>
    </xdr:from>
    <xdr:to>
      <xdr:col>5</xdr:col>
      <xdr:colOff>644580</xdr:colOff>
      <xdr:row>6</xdr:row>
      <xdr:rowOff>115450</xdr:rowOff>
    </xdr:to>
    <xdr:sp macro="" textlink="'Pivot Tables'!AU20">
      <xdr:nvSpPr>
        <xdr:cNvPr id="80" name="TextBox 79">
          <a:extLst>
            <a:ext uri="{FF2B5EF4-FFF2-40B4-BE49-F238E27FC236}">
              <a16:creationId xmlns:a16="http://schemas.microsoft.com/office/drawing/2014/main" id="{1017F4CA-7CA9-4BDA-9971-7189323659B7}"/>
            </a:ext>
          </a:extLst>
        </xdr:cNvPr>
        <xdr:cNvSpPr txBox="1"/>
      </xdr:nvSpPr>
      <xdr:spPr>
        <a:xfrm>
          <a:off x="3572929" y="1172953"/>
          <a:ext cx="500651" cy="147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D7022CBD-E9FF-4B10-9D5A-51140497D689}" type="TxLink">
            <a:rPr lang="en-US" sz="300" b="0" i="0" u="none" strike="noStrike">
              <a:solidFill>
                <a:srgbClr val="000000"/>
              </a:solidFill>
              <a:latin typeface="Arial" panose="020B0604020202020204" pitchFamily="34" charset="0"/>
              <a:ea typeface="Calibri"/>
              <a:cs typeface="Arial" panose="020B0604020202020204" pitchFamily="34" charset="0"/>
            </a:rPr>
            <a:pPr algn="l"/>
            <a:t> 3,33,70,00,000 </a:t>
          </a:fld>
          <a:endParaRPr lang="en-US" sz="300" b="0" i="0" u="none" strike="noStrike">
            <a:solidFill>
              <a:srgbClr val="000000"/>
            </a:solidFill>
            <a:latin typeface="Arial" panose="020B0604020202020204" pitchFamily="34" charset="0"/>
            <a:ea typeface="Calibri"/>
            <a:cs typeface="Arial" panose="020B0604020202020204" pitchFamily="34" charset="0"/>
          </a:endParaRPr>
        </a:p>
      </xdr:txBody>
    </xdr:sp>
    <xdr:clientData/>
  </xdr:twoCellAnchor>
  <xdr:twoCellAnchor>
    <xdr:from>
      <xdr:col>5</xdr:col>
      <xdr:colOff>134361</xdr:colOff>
      <xdr:row>7</xdr:row>
      <xdr:rowOff>142810</xdr:rowOff>
    </xdr:from>
    <xdr:to>
      <xdr:col>5</xdr:col>
      <xdr:colOff>634010</xdr:colOff>
      <xdr:row>8</xdr:row>
      <xdr:rowOff>89131</xdr:rowOff>
    </xdr:to>
    <xdr:sp macro="" textlink="'Pivot Tables'!AU24">
      <xdr:nvSpPr>
        <xdr:cNvPr id="81" name="TextBox 80">
          <a:extLst>
            <a:ext uri="{FF2B5EF4-FFF2-40B4-BE49-F238E27FC236}">
              <a16:creationId xmlns:a16="http://schemas.microsoft.com/office/drawing/2014/main" id="{59026354-F707-43D7-8159-5EF5033FCFE1}"/>
            </a:ext>
          </a:extLst>
        </xdr:cNvPr>
        <xdr:cNvSpPr txBox="1"/>
      </xdr:nvSpPr>
      <xdr:spPr>
        <a:xfrm>
          <a:off x="3563361" y="1548114"/>
          <a:ext cx="499649" cy="147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85901B9-E561-44E7-A796-D45BF6762C2E}" type="TxLink">
            <a:rPr lang="en-US" sz="300" b="0" i="0" u="none" strike="noStrike">
              <a:solidFill>
                <a:srgbClr val="000000"/>
              </a:solidFill>
              <a:latin typeface="Arial" panose="020B0604020202020204" pitchFamily="34" charset="0"/>
              <a:ea typeface="Calibri"/>
              <a:cs typeface="Arial" panose="020B0604020202020204" pitchFamily="34" charset="0"/>
            </a:rPr>
            <a:pPr algn="l"/>
            <a:t> 1,30,90,00,000 </a:t>
          </a:fld>
          <a:endParaRPr lang="en-IN" sz="100" b="1">
            <a:latin typeface="Arial" panose="020B0604020202020204" pitchFamily="34" charset="0"/>
            <a:cs typeface="Arial" panose="020B0604020202020204" pitchFamily="34" charset="0"/>
          </a:endParaRPr>
        </a:p>
      </xdr:txBody>
    </xdr:sp>
    <xdr:clientData/>
  </xdr:twoCellAnchor>
  <xdr:twoCellAnchor>
    <xdr:from>
      <xdr:col>5</xdr:col>
      <xdr:colOff>145646</xdr:colOff>
      <xdr:row>6</xdr:row>
      <xdr:rowOff>61531</xdr:rowOff>
    </xdr:from>
    <xdr:to>
      <xdr:col>5</xdr:col>
      <xdr:colOff>646297</xdr:colOff>
      <xdr:row>7</xdr:row>
      <xdr:rowOff>7816</xdr:rowOff>
    </xdr:to>
    <xdr:sp macro="" textlink="'Pivot Tables'!AU21">
      <xdr:nvSpPr>
        <xdr:cNvPr id="82" name="TextBox 81">
          <a:extLst>
            <a:ext uri="{FF2B5EF4-FFF2-40B4-BE49-F238E27FC236}">
              <a16:creationId xmlns:a16="http://schemas.microsoft.com/office/drawing/2014/main" id="{26582D6D-ECD3-4133-A584-FBB137DB92E4}"/>
            </a:ext>
          </a:extLst>
        </xdr:cNvPr>
        <xdr:cNvSpPr txBox="1"/>
      </xdr:nvSpPr>
      <xdr:spPr>
        <a:xfrm>
          <a:off x="3574646" y="1266077"/>
          <a:ext cx="500651" cy="147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E6080D7-99C7-4F98-AA94-171EA93AEA13}" type="TxLink">
            <a:rPr lang="en-US" sz="300" b="0" i="0" u="none" strike="noStrike">
              <a:solidFill>
                <a:srgbClr val="000000"/>
              </a:solidFill>
              <a:latin typeface="Arial" panose="020B0604020202020204" pitchFamily="34" charset="0"/>
              <a:ea typeface="Calibri"/>
              <a:cs typeface="Arial" panose="020B0604020202020204" pitchFamily="34" charset="0"/>
            </a:rPr>
            <a:pPr algn="l"/>
            <a:t> 2,89,20,00,000 </a:t>
          </a:fld>
          <a:endParaRPr lang="en-IN" sz="200" b="1">
            <a:latin typeface="Arial" panose="020B0604020202020204" pitchFamily="34" charset="0"/>
            <a:cs typeface="Arial" panose="020B0604020202020204" pitchFamily="34" charset="0"/>
          </a:endParaRPr>
        </a:p>
      </xdr:txBody>
    </xdr:sp>
    <xdr:clientData/>
  </xdr:twoCellAnchor>
  <xdr:twoCellAnchor>
    <xdr:from>
      <xdr:col>5</xdr:col>
      <xdr:colOff>138275</xdr:colOff>
      <xdr:row>7</xdr:row>
      <xdr:rowOff>53322</xdr:rowOff>
    </xdr:from>
    <xdr:to>
      <xdr:col>5</xdr:col>
      <xdr:colOff>637924</xdr:colOff>
      <xdr:row>7</xdr:row>
      <xdr:rowOff>199633</xdr:rowOff>
    </xdr:to>
    <xdr:sp macro="" textlink="'Pivot Tables'!AU23">
      <xdr:nvSpPr>
        <xdr:cNvPr id="83" name="TextBox 82">
          <a:extLst>
            <a:ext uri="{FF2B5EF4-FFF2-40B4-BE49-F238E27FC236}">
              <a16:creationId xmlns:a16="http://schemas.microsoft.com/office/drawing/2014/main" id="{33AB9C97-FD65-471B-8B41-F686D65DCAB0}"/>
            </a:ext>
          </a:extLst>
        </xdr:cNvPr>
        <xdr:cNvSpPr txBox="1"/>
      </xdr:nvSpPr>
      <xdr:spPr>
        <a:xfrm>
          <a:off x="3567275" y="1458626"/>
          <a:ext cx="499649" cy="146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ED64B83-C125-4916-ADDE-0204BF599003}" type="TxLink">
            <a:rPr lang="en-US" sz="300" b="0" i="0" u="none" strike="noStrike">
              <a:solidFill>
                <a:srgbClr val="000000"/>
              </a:solidFill>
              <a:latin typeface="Arial" panose="020B0604020202020204" pitchFamily="34" charset="0"/>
              <a:ea typeface="Calibri"/>
              <a:cs typeface="Arial" panose="020B0604020202020204" pitchFamily="34" charset="0"/>
            </a:rPr>
            <a:pPr algn="l"/>
            <a:t> 2,32,00,00,000 </a:t>
          </a:fld>
          <a:endParaRPr lang="en-IN" sz="100" b="1">
            <a:latin typeface="Arial" panose="020B0604020202020204" pitchFamily="34" charset="0"/>
            <a:cs typeface="Arial" panose="020B0604020202020204" pitchFamily="34" charset="0"/>
          </a:endParaRPr>
        </a:p>
      </xdr:txBody>
    </xdr:sp>
    <xdr:clientData/>
  </xdr:twoCellAnchor>
  <xdr:twoCellAnchor>
    <xdr:from>
      <xdr:col>5</xdr:col>
      <xdr:colOff>142453</xdr:colOff>
      <xdr:row>6</xdr:row>
      <xdr:rowOff>161829</xdr:rowOff>
    </xdr:from>
    <xdr:to>
      <xdr:col>5</xdr:col>
      <xdr:colOff>643104</xdr:colOff>
      <xdr:row>7</xdr:row>
      <xdr:rowOff>108150</xdr:rowOff>
    </xdr:to>
    <xdr:sp macro="" textlink="'Pivot Tables'!AU22">
      <xdr:nvSpPr>
        <xdr:cNvPr id="84" name="TextBox 83">
          <a:extLst>
            <a:ext uri="{FF2B5EF4-FFF2-40B4-BE49-F238E27FC236}">
              <a16:creationId xmlns:a16="http://schemas.microsoft.com/office/drawing/2014/main" id="{108F0D5A-0619-44DD-BB36-8358CD132016}"/>
            </a:ext>
          </a:extLst>
        </xdr:cNvPr>
        <xdr:cNvSpPr txBox="1"/>
      </xdr:nvSpPr>
      <xdr:spPr>
        <a:xfrm>
          <a:off x="3571453" y="1366375"/>
          <a:ext cx="500651" cy="147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DA4AC3B-A490-4331-9743-EB171891C48A}" type="TxLink">
            <a:rPr lang="en-US" sz="300" b="0" i="0" u="none" strike="noStrike">
              <a:solidFill>
                <a:srgbClr val="000000"/>
              </a:solidFill>
              <a:latin typeface="Arial" panose="020B0604020202020204" pitchFamily="34" charset="0"/>
              <a:ea typeface="Calibri"/>
              <a:cs typeface="Arial" panose="020B0604020202020204" pitchFamily="34" charset="0"/>
            </a:rPr>
            <a:pPr marL="0" indent="0" algn="l"/>
            <a:t> 2,32,40,00,000 </a:t>
          </a:fld>
          <a:endParaRPr lang="en-IN" sz="100" b="0" i="0" u="none" strike="noStrike">
            <a:solidFill>
              <a:srgbClr val="000000"/>
            </a:solidFill>
            <a:latin typeface="Arial" panose="020B0604020202020204" pitchFamily="34" charset="0"/>
            <a:ea typeface="Calibri"/>
            <a:cs typeface="Arial" panose="020B0604020202020204" pitchFamily="34" charset="0"/>
          </a:endParaRPr>
        </a:p>
      </xdr:txBody>
    </xdr:sp>
    <xdr:clientData/>
  </xdr:twoCellAnchor>
  <xdr:twoCellAnchor>
    <xdr:from>
      <xdr:col>5</xdr:col>
      <xdr:colOff>510410</xdr:colOff>
      <xdr:row>7</xdr:row>
      <xdr:rowOff>44707</xdr:rowOff>
    </xdr:from>
    <xdr:to>
      <xdr:col>6</xdr:col>
      <xdr:colOff>310171</xdr:colOff>
      <xdr:row>7</xdr:row>
      <xdr:rowOff>191020</xdr:rowOff>
    </xdr:to>
    <xdr:sp macro="" textlink="'Pivot Tables'!AT23">
      <xdr:nvSpPr>
        <xdr:cNvPr id="85" name="TextBox 84">
          <a:extLst>
            <a:ext uri="{FF2B5EF4-FFF2-40B4-BE49-F238E27FC236}">
              <a16:creationId xmlns:a16="http://schemas.microsoft.com/office/drawing/2014/main" id="{75E0797D-5A08-420B-A085-9AF90C6A63F3}"/>
            </a:ext>
          </a:extLst>
        </xdr:cNvPr>
        <xdr:cNvSpPr txBox="1"/>
      </xdr:nvSpPr>
      <xdr:spPr>
        <a:xfrm>
          <a:off x="3944423" y="1448391"/>
          <a:ext cx="486564" cy="146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AE15345-4582-4013-B940-69F9F23B8FB0}" type="TxLink">
            <a:rPr lang="en-US" sz="400" b="0" i="0" u="none" strike="noStrike">
              <a:solidFill>
                <a:srgbClr val="000000"/>
              </a:solidFill>
              <a:latin typeface="Arial" panose="020B0604020202020204" pitchFamily="34" charset="0"/>
              <a:ea typeface="Calibri"/>
              <a:cs typeface="Arial" panose="020B0604020202020204" pitchFamily="34" charset="0"/>
            </a:rPr>
            <a:pPr algn="l"/>
            <a:t>Fndn. L1</a:t>
          </a:fld>
          <a:endParaRPr lang="en-IN" sz="200" b="1">
            <a:latin typeface="Arial" panose="020B0604020202020204" pitchFamily="34" charset="0"/>
            <a:cs typeface="Arial" panose="020B0604020202020204" pitchFamily="34" charset="0"/>
          </a:endParaRPr>
        </a:p>
      </xdr:txBody>
    </xdr:sp>
    <xdr:clientData/>
  </xdr:twoCellAnchor>
  <xdr:twoCellAnchor>
    <xdr:from>
      <xdr:col>5</xdr:col>
      <xdr:colOff>508516</xdr:colOff>
      <xdr:row>7</xdr:row>
      <xdr:rowOff>142377</xdr:rowOff>
    </xdr:from>
    <xdr:to>
      <xdr:col>6</xdr:col>
      <xdr:colOff>194390</xdr:colOff>
      <xdr:row>8</xdr:row>
      <xdr:rowOff>88700</xdr:rowOff>
    </xdr:to>
    <xdr:sp macro="" textlink="'Pivot Tables'!AT24">
      <xdr:nvSpPr>
        <xdr:cNvPr id="86" name="TextBox 85">
          <a:extLst>
            <a:ext uri="{FF2B5EF4-FFF2-40B4-BE49-F238E27FC236}">
              <a16:creationId xmlns:a16="http://schemas.microsoft.com/office/drawing/2014/main" id="{91373E98-4CB7-425A-98C5-B5CF1999DD0B}"/>
            </a:ext>
          </a:extLst>
        </xdr:cNvPr>
        <xdr:cNvSpPr txBox="1"/>
      </xdr:nvSpPr>
      <xdr:spPr>
        <a:xfrm>
          <a:off x="3937516" y="1547681"/>
          <a:ext cx="371674" cy="147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2DEA58A-6CEB-4699-BF44-A32FB0690368}" type="TxLink">
            <a:rPr lang="en-US" sz="400" b="0" i="0" u="none" strike="noStrike">
              <a:solidFill>
                <a:srgbClr val="000000"/>
              </a:solidFill>
              <a:latin typeface="Arial" panose="020B0604020202020204" pitchFamily="34" charset="0"/>
              <a:ea typeface="Calibri"/>
              <a:cs typeface="Arial" panose="020B0604020202020204" pitchFamily="34" charset="0"/>
            </a:rPr>
            <a:pPr algn="l"/>
            <a:t>Pre. L2</a:t>
          </a:fld>
          <a:endParaRPr lang="en-IN" sz="100" b="1">
            <a:latin typeface="Arial" panose="020B0604020202020204" pitchFamily="34" charset="0"/>
            <a:cs typeface="Arial" panose="020B0604020202020204" pitchFamily="34" charset="0"/>
          </a:endParaRPr>
        </a:p>
      </xdr:txBody>
    </xdr:sp>
    <xdr:clientData/>
  </xdr:twoCellAnchor>
  <xdr:twoCellAnchor>
    <xdr:from>
      <xdr:col>5</xdr:col>
      <xdr:colOff>519673</xdr:colOff>
      <xdr:row>6</xdr:row>
      <xdr:rowOff>52637</xdr:rowOff>
    </xdr:from>
    <xdr:to>
      <xdr:col>6</xdr:col>
      <xdr:colOff>205547</xdr:colOff>
      <xdr:row>6</xdr:row>
      <xdr:rowOff>198949</xdr:rowOff>
    </xdr:to>
    <xdr:sp macro="" textlink="'Pivot Tables'!AT21">
      <xdr:nvSpPr>
        <xdr:cNvPr id="87" name="TextBox 86">
          <a:extLst>
            <a:ext uri="{FF2B5EF4-FFF2-40B4-BE49-F238E27FC236}">
              <a16:creationId xmlns:a16="http://schemas.microsoft.com/office/drawing/2014/main" id="{E4F0866A-47FC-4FEC-ADEB-98BCE3CECF6B}"/>
            </a:ext>
          </a:extLst>
        </xdr:cNvPr>
        <xdr:cNvSpPr txBox="1"/>
      </xdr:nvSpPr>
      <xdr:spPr>
        <a:xfrm>
          <a:off x="3953686" y="1255795"/>
          <a:ext cx="372677" cy="146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4D3A88D-1935-4B4D-A2C4-032D34586166}" type="TxLink">
            <a:rPr lang="en-US" sz="400" b="0" i="0" u="none" strike="noStrike">
              <a:solidFill>
                <a:srgbClr val="000000"/>
              </a:solidFill>
              <a:latin typeface="Arial" panose="020B0604020202020204" pitchFamily="34" charset="0"/>
              <a:ea typeface="Calibri"/>
              <a:cs typeface="Arial" panose="020B0604020202020204" pitchFamily="34" charset="0"/>
            </a:rPr>
            <a:pPr algn="l"/>
            <a:t>Fndn. L5</a:t>
          </a:fld>
          <a:endParaRPr lang="en-IN" sz="200" b="1">
            <a:latin typeface="Arial" panose="020B0604020202020204" pitchFamily="34" charset="0"/>
            <a:cs typeface="Arial" panose="020B0604020202020204" pitchFamily="34" charset="0"/>
          </a:endParaRPr>
        </a:p>
      </xdr:txBody>
    </xdr:sp>
    <xdr:clientData/>
  </xdr:twoCellAnchor>
  <xdr:twoCellAnchor>
    <xdr:from>
      <xdr:col>5</xdr:col>
      <xdr:colOff>514011</xdr:colOff>
      <xdr:row>6</xdr:row>
      <xdr:rowOff>152400</xdr:rowOff>
    </xdr:from>
    <xdr:to>
      <xdr:col>6</xdr:col>
      <xdr:colOff>199885</xdr:colOff>
      <xdr:row>7</xdr:row>
      <xdr:rowOff>98687</xdr:rowOff>
    </xdr:to>
    <xdr:sp macro="" textlink="'Pivot Tables'!AT22">
      <xdr:nvSpPr>
        <xdr:cNvPr id="88" name="TextBox 87">
          <a:extLst>
            <a:ext uri="{FF2B5EF4-FFF2-40B4-BE49-F238E27FC236}">
              <a16:creationId xmlns:a16="http://schemas.microsoft.com/office/drawing/2014/main" id="{4138E03C-0D70-44D8-A395-62D119B86019}"/>
            </a:ext>
          </a:extLst>
        </xdr:cNvPr>
        <xdr:cNvSpPr txBox="1"/>
      </xdr:nvSpPr>
      <xdr:spPr>
        <a:xfrm>
          <a:off x="3948024" y="1355558"/>
          <a:ext cx="372677" cy="146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34104AD-484A-439B-907B-1A16250627A6}" type="TxLink">
            <a:rPr lang="en-US" sz="400" b="0" i="0" u="none" strike="noStrike">
              <a:solidFill>
                <a:srgbClr val="000000"/>
              </a:solidFill>
              <a:latin typeface="Arial" panose="020B0604020202020204" pitchFamily="34" charset="0"/>
              <a:ea typeface="Calibri"/>
              <a:cs typeface="Arial" panose="020B0604020202020204" pitchFamily="34" charset="0"/>
            </a:rPr>
            <a:pPr algn="l"/>
            <a:t>Pre. L3</a:t>
          </a:fld>
          <a:endParaRPr lang="en-IN" sz="200" b="1">
            <a:latin typeface="Arial" panose="020B0604020202020204" pitchFamily="34" charset="0"/>
            <a:cs typeface="Arial" panose="020B0604020202020204" pitchFamily="34" charset="0"/>
          </a:endParaRPr>
        </a:p>
      </xdr:txBody>
    </xdr:sp>
    <xdr:clientData/>
  </xdr:twoCellAnchor>
  <xdr:twoCellAnchor>
    <xdr:from>
      <xdr:col>5</xdr:col>
      <xdr:colOff>522989</xdr:colOff>
      <xdr:row>5</xdr:row>
      <xdr:rowOff>160236</xdr:rowOff>
    </xdr:from>
    <xdr:to>
      <xdr:col>6</xdr:col>
      <xdr:colOff>209550</xdr:colOff>
      <xdr:row>6</xdr:row>
      <xdr:rowOff>106523</xdr:rowOff>
    </xdr:to>
    <xdr:sp macro="" textlink="'Pivot Tables'!AT20">
      <xdr:nvSpPr>
        <xdr:cNvPr id="89" name="TextBox 88">
          <a:extLst>
            <a:ext uri="{FF2B5EF4-FFF2-40B4-BE49-F238E27FC236}">
              <a16:creationId xmlns:a16="http://schemas.microsoft.com/office/drawing/2014/main" id="{640DE796-B6D1-42C8-9AB4-43716E1AD618}"/>
            </a:ext>
          </a:extLst>
        </xdr:cNvPr>
        <xdr:cNvSpPr txBox="1"/>
      </xdr:nvSpPr>
      <xdr:spPr>
        <a:xfrm>
          <a:off x="3951989" y="1164025"/>
          <a:ext cx="372361" cy="147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D54AE1D-6850-4792-9D63-4802D2EB8F05}" type="TxLink">
            <a:rPr lang="en-US" sz="400" b="0" i="0" u="none" strike="noStrike">
              <a:solidFill>
                <a:srgbClr val="000000"/>
              </a:solidFill>
              <a:latin typeface="Arial" panose="020B0604020202020204" pitchFamily="34" charset="0"/>
              <a:ea typeface="Calibri"/>
              <a:cs typeface="Arial" panose="020B0604020202020204" pitchFamily="34" charset="0"/>
            </a:rPr>
            <a:pPr algn="l"/>
            <a:t>KJI. L4</a:t>
          </a:fld>
          <a:endParaRPr lang="en-IN" sz="100" b="1">
            <a:latin typeface="Arial" panose="020B0604020202020204" pitchFamily="34" charset="0"/>
            <a:cs typeface="Arial" panose="020B0604020202020204" pitchFamily="34" charset="0"/>
          </a:endParaRPr>
        </a:p>
      </xdr:txBody>
    </xdr:sp>
    <xdr:clientData/>
  </xdr:twoCellAnchor>
  <xdr:twoCellAnchor>
    <xdr:from>
      <xdr:col>2</xdr:col>
      <xdr:colOff>8211</xdr:colOff>
      <xdr:row>4</xdr:row>
      <xdr:rowOff>117010</xdr:rowOff>
    </xdr:from>
    <xdr:to>
      <xdr:col>5</xdr:col>
      <xdr:colOff>180648</xdr:colOff>
      <xdr:row>8</xdr:row>
      <xdr:rowOff>160322</xdr:rowOff>
    </xdr:to>
    <xdr:sp macro="" textlink="">
      <xdr:nvSpPr>
        <xdr:cNvPr id="96" name="Rectangle: Rounded Corners 95">
          <a:extLst>
            <a:ext uri="{FF2B5EF4-FFF2-40B4-BE49-F238E27FC236}">
              <a16:creationId xmlns:a16="http://schemas.microsoft.com/office/drawing/2014/main" id="{57AF37CE-A165-4E28-8497-91BE0386F1A6}"/>
            </a:ext>
          </a:extLst>
        </xdr:cNvPr>
        <xdr:cNvSpPr/>
      </xdr:nvSpPr>
      <xdr:spPr>
        <a:xfrm>
          <a:off x="1380377" y="918619"/>
          <a:ext cx="2230686" cy="844921"/>
        </a:xfrm>
        <a:prstGeom prst="roundRect">
          <a:avLst>
            <a:gd name="adj" fmla="val 3881"/>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258057</xdr:colOff>
      <xdr:row>4</xdr:row>
      <xdr:rowOff>74892</xdr:rowOff>
    </xdr:from>
    <xdr:to>
      <xdr:col>5</xdr:col>
      <xdr:colOff>206348</xdr:colOff>
      <xdr:row>5</xdr:row>
      <xdr:rowOff>162794</xdr:rowOff>
    </xdr:to>
    <xdr:sp macro="" textlink="">
      <xdr:nvSpPr>
        <xdr:cNvPr id="98" name="TextBox 97">
          <a:extLst>
            <a:ext uri="{FF2B5EF4-FFF2-40B4-BE49-F238E27FC236}">
              <a16:creationId xmlns:a16="http://schemas.microsoft.com/office/drawing/2014/main" id="{FF2D134A-67E8-46D4-AA02-6E9CA602D094}"/>
            </a:ext>
          </a:extLst>
        </xdr:cNvPr>
        <xdr:cNvSpPr txBox="1"/>
      </xdr:nvSpPr>
      <xdr:spPr>
        <a:xfrm>
          <a:off x="3000858" y="872798"/>
          <a:ext cx="633991" cy="287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500" b="0" baseline="0">
              <a:latin typeface="Arial" panose="020B0604020202020204" pitchFamily="34" charset="0"/>
              <a:cs typeface="Arial" panose="020B0604020202020204" pitchFamily="34" charset="0"/>
            </a:rPr>
            <a:t>Average</a:t>
          </a:r>
        </a:p>
        <a:p>
          <a:pPr algn="l"/>
          <a:r>
            <a:rPr lang="en-IN" sz="400" b="0" baseline="0">
              <a:latin typeface="Arial" panose="020B0604020202020204" pitchFamily="34" charset="0"/>
              <a:cs typeface="Arial" panose="020B0604020202020204" pitchFamily="34" charset="0"/>
            </a:rPr>
            <a:t>Paid Call Duration</a:t>
          </a:r>
        </a:p>
        <a:p>
          <a:pPr algn="l"/>
          <a:r>
            <a:rPr lang="en-IN" sz="400" b="0" baseline="0">
              <a:solidFill>
                <a:schemeClr val="bg2">
                  <a:lumMod val="25000"/>
                </a:schemeClr>
              </a:solidFill>
              <a:latin typeface="Arial" panose="020B0604020202020204" pitchFamily="34" charset="0"/>
              <a:cs typeface="Arial" panose="020B0604020202020204" pitchFamily="34" charset="0"/>
            </a:rPr>
            <a:t>By Months</a:t>
          </a:r>
        </a:p>
        <a:p>
          <a:pPr algn="l"/>
          <a:endParaRPr lang="en-IN" sz="400" b="0" baseline="0">
            <a:latin typeface="Arial" panose="020B0604020202020204" pitchFamily="34" charset="0"/>
            <a:cs typeface="Arial" panose="020B0604020202020204" pitchFamily="34" charset="0"/>
          </a:endParaRPr>
        </a:p>
      </xdr:txBody>
    </xdr:sp>
    <xdr:clientData/>
  </xdr:twoCellAnchor>
  <xdr:twoCellAnchor>
    <xdr:from>
      <xdr:col>1</xdr:col>
      <xdr:colOff>637363</xdr:colOff>
      <xdr:row>4</xdr:row>
      <xdr:rowOff>99241</xdr:rowOff>
    </xdr:from>
    <xdr:to>
      <xdr:col>4</xdr:col>
      <xdr:colOff>383007</xdr:colOff>
      <xdr:row>9</xdr:row>
      <xdr:rowOff>35365</xdr:rowOff>
    </xdr:to>
    <xdr:graphicFrame macro="">
      <xdr:nvGraphicFramePr>
        <xdr:cNvPr id="100" name="Chart 99">
          <a:extLst>
            <a:ext uri="{FF2B5EF4-FFF2-40B4-BE49-F238E27FC236}">
              <a16:creationId xmlns:a16="http://schemas.microsoft.com/office/drawing/2014/main" id="{A423892E-739C-4B00-8A5D-43B8A1E5D1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274913</xdr:colOff>
      <xdr:row>5</xdr:row>
      <xdr:rowOff>140634</xdr:rowOff>
    </xdr:from>
    <xdr:to>
      <xdr:col>5</xdr:col>
      <xdr:colOff>179471</xdr:colOff>
      <xdr:row>6</xdr:row>
      <xdr:rowOff>99738</xdr:rowOff>
    </xdr:to>
    <xdr:sp macro="" textlink="">
      <xdr:nvSpPr>
        <xdr:cNvPr id="39" name="Rectangle: Top Corners Rounded 38">
          <a:extLst>
            <a:ext uri="{FF2B5EF4-FFF2-40B4-BE49-F238E27FC236}">
              <a16:creationId xmlns:a16="http://schemas.microsoft.com/office/drawing/2014/main" id="{1BF46956-9EA9-C16F-AC1D-F824FFF14215}"/>
            </a:ext>
          </a:extLst>
        </xdr:cNvPr>
        <xdr:cNvSpPr/>
      </xdr:nvSpPr>
      <xdr:spPr>
        <a:xfrm rot="16200000">
          <a:off x="3236108" y="926406"/>
          <a:ext cx="159409" cy="590918"/>
        </a:xfrm>
        <a:prstGeom prst="round2SameRect">
          <a:avLst>
            <a:gd name="adj1" fmla="val 16667"/>
            <a:gd name="adj2" fmla="val 0"/>
          </a:avLst>
        </a:prstGeom>
        <a:solidFill>
          <a:srgbClr val="9933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259175</xdr:colOff>
      <xdr:row>5</xdr:row>
      <xdr:rowOff>140882</xdr:rowOff>
    </xdr:from>
    <xdr:to>
      <xdr:col>5</xdr:col>
      <xdr:colOff>74126</xdr:colOff>
      <xdr:row>6</xdr:row>
      <xdr:rowOff>87202</xdr:rowOff>
    </xdr:to>
    <xdr:sp macro="" textlink="'Pivot Tables'!AY54">
      <xdr:nvSpPr>
        <xdr:cNvPr id="41" name="TextBox 40">
          <a:extLst>
            <a:ext uri="{FF2B5EF4-FFF2-40B4-BE49-F238E27FC236}">
              <a16:creationId xmlns:a16="http://schemas.microsoft.com/office/drawing/2014/main" id="{12663DC4-F6C6-40DD-B33D-79089EAB05EE}"/>
            </a:ext>
          </a:extLst>
        </xdr:cNvPr>
        <xdr:cNvSpPr txBox="1"/>
      </xdr:nvSpPr>
      <xdr:spPr>
        <a:xfrm>
          <a:off x="3007818" y="1144409"/>
          <a:ext cx="502112" cy="147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FFCF32D-AEE2-43FD-9652-E12312B25B7B}" type="TxLink">
            <a:rPr lang="en-US" sz="800" b="0" i="0" u="none" strike="noStrike">
              <a:solidFill>
                <a:schemeClr val="bg1"/>
              </a:solidFill>
              <a:latin typeface="Calibri"/>
              <a:ea typeface="Calibri"/>
              <a:cs typeface="Calibri"/>
            </a:rPr>
            <a:pPr marL="0" indent="0" algn="l"/>
            <a:t>04:16</a:t>
          </a:fld>
          <a:endParaRPr lang="en-IN" sz="200" b="0" i="0" u="none" strike="noStrike">
            <a:solidFill>
              <a:schemeClr val="bg1"/>
            </a:solidFill>
            <a:latin typeface="Arial" panose="020B0604020202020204" pitchFamily="34" charset="0"/>
            <a:ea typeface="Calibri"/>
            <a:cs typeface="Arial" panose="020B0604020202020204" pitchFamily="34" charset="0"/>
          </a:endParaRPr>
        </a:p>
      </xdr:txBody>
    </xdr:sp>
    <xdr:clientData/>
  </xdr:twoCellAnchor>
  <xdr:twoCellAnchor>
    <xdr:from>
      <xdr:col>4</xdr:col>
      <xdr:colOff>233587</xdr:colOff>
      <xdr:row>7</xdr:row>
      <xdr:rowOff>101218</xdr:rowOff>
    </xdr:from>
    <xdr:to>
      <xdr:col>4</xdr:col>
      <xdr:colOff>606023</xdr:colOff>
      <xdr:row>8</xdr:row>
      <xdr:rowOff>47538</xdr:rowOff>
    </xdr:to>
    <xdr:sp macro="" textlink="'Pivot Tables'!AY53">
      <xdr:nvSpPr>
        <xdr:cNvPr id="46" name="TextBox 45">
          <a:extLst>
            <a:ext uri="{FF2B5EF4-FFF2-40B4-BE49-F238E27FC236}">
              <a16:creationId xmlns:a16="http://schemas.microsoft.com/office/drawing/2014/main" id="{0F5C2A84-E5FF-45C6-8B6B-2475AFD41E84}"/>
            </a:ext>
          </a:extLst>
        </xdr:cNvPr>
        <xdr:cNvSpPr txBox="1"/>
      </xdr:nvSpPr>
      <xdr:spPr>
        <a:xfrm>
          <a:off x="2974295" y="1500121"/>
          <a:ext cx="372436" cy="1461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A7C000A-D8F7-4C25-B9A5-47F7BF434899}" type="TxLink">
            <a:rPr lang="en-US" sz="600" b="0" i="0" u="none" strike="noStrike">
              <a:solidFill>
                <a:srgbClr val="000000"/>
              </a:solidFill>
              <a:latin typeface="Calibri"/>
              <a:ea typeface="Calibri"/>
              <a:cs typeface="Calibri"/>
            </a:rPr>
            <a:pPr marL="0" indent="0" algn="l"/>
            <a:t>05:02</a:t>
          </a:fld>
          <a:endParaRPr lang="en-IN" sz="100" b="0" i="0" u="none" strike="noStrike">
            <a:solidFill>
              <a:srgbClr val="000000"/>
            </a:solidFill>
            <a:latin typeface="Arial" panose="020B0604020202020204" pitchFamily="34" charset="0"/>
            <a:ea typeface="Calibri"/>
            <a:cs typeface="Arial" panose="020B0604020202020204" pitchFamily="34" charset="0"/>
          </a:endParaRPr>
        </a:p>
      </xdr:txBody>
    </xdr:sp>
    <xdr:clientData/>
  </xdr:twoCellAnchor>
  <xdr:twoCellAnchor>
    <xdr:from>
      <xdr:col>4</xdr:col>
      <xdr:colOff>538539</xdr:colOff>
      <xdr:row>7</xdr:row>
      <xdr:rowOff>97327</xdr:rowOff>
    </xdr:from>
    <xdr:to>
      <xdr:col>5</xdr:col>
      <xdr:colOff>229690</xdr:colOff>
      <xdr:row>8</xdr:row>
      <xdr:rowOff>43647</xdr:rowOff>
    </xdr:to>
    <xdr:sp macro="" textlink="'Pivot Tables'!AY55">
      <xdr:nvSpPr>
        <xdr:cNvPr id="48" name="TextBox 47">
          <a:extLst>
            <a:ext uri="{FF2B5EF4-FFF2-40B4-BE49-F238E27FC236}">
              <a16:creationId xmlns:a16="http://schemas.microsoft.com/office/drawing/2014/main" id="{3412A9C0-1DA9-4B24-ACF4-6F9983C08955}"/>
            </a:ext>
          </a:extLst>
        </xdr:cNvPr>
        <xdr:cNvSpPr txBox="1"/>
      </xdr:nvSpPr>
      <xdr:spPr>
        <a:xfrm>
          <a:off x="3279247" y="1496230"/>
          <a:ext cx="376329" cy="1461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0273557-BFF7-40D6-BC52-91D90C3DF5E1}" type="TxLink">
            <a:rPr lang="en-US" sz="600" b="0" i="0" u="none" strike="noStrike">
              <a:solidFill>
                <a:srgbClr val="000000"/>
              </a:solidFill>
              <a:latin typeface="Calibri"/>
              <a:ea typeface="Calibri"/>
              <a:cs typeface="Calibri"/>
            </a:rPr>
            <a:pPr marL="0" indent="0" algn="l"/>
            <a:t>02:00</a:t>
          </a:fld>
          <a:endParaRPr lang="en-IN" sz="100" b="0" i="0" u="none" strike="noStrike">
            <a:solidFill>
              <a:srgbClr val="000000"/>
            </a:solidFill>
            <a:latin typeface="Arial" panose="020B0604020202020204" pitchFamily="34" charset="0"/>
            <a:ea typeface="Calibri"/>
            <a:cs typeface="Arial" panose="020B0604020202020204" pitchFamily="34" charset="0"/>
          </a:endParaRPr>
        </a:p>
      </xdr:txBody>
    </xdr:sp>
    <xdr:clientData/>
  </xdr:twoCellAnchor>
  <xdr:twoCellAnchor>
    <xdr:from>
      <xdr:col>4</xdr:col>
      <xdr:colOff>211528</xdr:colOff>
      <xdr:row>6</xdr:row>
      <xdr:rowOff>140153</xdr:rowOff>
    </xdr:from>
    <xdr:to>
      <xdr:col>4</xdr:col>
      <xdr:colOff>646253</xdr:colOff>
      <xdr:row>7</xdr:row>
      <xdr:rowOff>145343</xdr:rowOff>
    </xdr:to>
    <xdr:sp macro="" textlink="">
      <xdr:nvSpPr>
        <xdr:cNvPr id="66" name="TextBox 65">
          <a:extLst>
            <a:ext uri="{FF2B5EF4-FFF2-40B4-BE49-F238E27FC236}">
              <a16:creationId xmlns:a16="http://schemas.microsoft.com/office/drawing/2014/main" id="{7233CC0E-286D-46AF-AD7B-4DEDBAF37C47}"/>
            </a:ext>
          </a:extLst>
        </xdr:cNvPr>
        <xdr:cNvSpPr txBox="1"/>
      </xdr:nvSpPr>
      <xdr:spPr>
        <a:xfrm>
          <a:off x="2952236" y="1339213"/>
          <a:ext cx="434725" cy="2050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400" b="0" baseline="0">
              <a:latin typeface="Arial" panose="020B0604020202020204" pitchFamily="34" charset="0"/>
              <a:cs typeface="Arial" panose="020B0604020202020204" pitchFamily="34" charset="0"/>
            </a:rPr>
            <a:t>Maximum</a:t>
          </a:r>
        </a:p>
        <a:p>
          <a:pPr algn="l"/>
          <a:r>
            <a:rPr lang="en-IN" sz="300" b="0" baseline="0">
              <a:latin typeface="Arial" panose="020B0604020202020204" pitchFamily="34" charset="0"/>
              <a:cs typeface="Arial" panose="020B0604020202020204" pitchFamily="34" charset="0"/>
            </a:rPr>
            <a:t>Call Duration</a:t>
          </a:r>
        </a:p>
      </xdr:txBody>
    </xdr:sp>
    <xdr:clientData/>
  </xdr:twoCellAnchor>
  <xdr:twoCellAnchor>
    <xdr:from>
      <xdr:col>4</xdr:col>
      <xdr:colOff>509990</xdr:colOff>
      <xdr:row>6</xdr:row>
      <xdr:rowOff>141448</xdr:rowOff>
    </xdr:from>
    <xdr:to>
      <xdr:col>5</xdr:col>
      <xdr:colOff>259537</xdr:colOff>
      <xdr:row>7</xdr:row>
      <xdr:rowOff>146638</xdr:rowOff>
    </xdr:to>
    <xdr:sp macro="" textlink="">
      <xdr:nvSpPr>
        <xdr:cNvPr id="75" name="TextBox 74">
          <a:extLst>
            <a:ext uri="{FF2B5EF4-FFF2-40B4-BE49-F238E27FC236}">
              <a16:creationId xmlns:a16="http://schemas.microsoft.com/office/drawing/2014/main" id="{2A780008-816E-489C-AAE4-EBF032A36C21}"/>
            </a:ext>
          </a:extLst>
        </xdr:cNvPr>
        <xdr:cNvSpPr txBox="1"/>
      </xdr:nvSpPr>
      <xdr:spPr>
        <a:xfrm>
          <a:off x="3250698" y="1340508"/>
          <a:ext cx="434725" cy="2050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400" b="0" baseline="0">
              <a:latin typeface="Arial" panose="020B0604020202020204" pitchFamily="34" charset="0"/>
              <a:cs typeface="Arial" panose="020B0604020202020204" pitchFamily="34" charset="0"/>
            </a:rPr>
            <a:t>Minimum</a:t>
          </a:r>
        </a:p>
        <a:p>
          <a:pPr algn="l"/>
          <a:r>
            <a:rPr lang="en-IN" sz="300" b="0" baseline="0">
              <a:latin typeface="Arial" panose="020B0604020202020204" pitchFamily="34" charset="0"/>
              <a:cs typeface="Arial" panose="020B0604020202020204" pitchFamily="34" charset="0"/>
            </a:rPr>
            <a:t>Call Duration</a:t>
          </a:r>
        </a:p>
      </xdr:txBody>
    </xdr:sp>
    <xdr:clientData/>
  </xdr:twoCellAnchor>
  <xdr:twoCellAnchor>
    <xdr:from>
      <xdr:col>4</xdr:col>
      <xdr:colOff>241369</xdr:colOff>
      <xdr:row>7</xdr:row>
      <xdr:rowOff>167401</xdr:rowOff>
    </xdr:from>
    <xdr:to>
      <xdr:col>4</xdr:col>
      <xdr:colOff>599530</xdr:colOff>
      <xdr:row>8</xdr:row>
      <xdr:rowOff>113724</xdr:rowOff>
    </xdr:to>
    <xdr:sp macro="" textlink="'Pivot Tables'!AT24">
      <xdr:nvSpPr>
        <xdr:cNvPr id="90" name="TextBox 89">
          <a:extLst>
            <a:ext uri="{FF2B5EF4-FFF2-40B4-BE49-F238E27FC236}">
              <a16:creationId xmlns:a16="http://schemas.microsoft.com/office/drawing/2014/main" id="{28EA3FE2-6438-449A-983B-B81D421F02C5}"/>
            </a:ext>
          </a:extLst>
        </xdr:cNvPr>
        <xdr:cNvSpPr txBox="1"/>
      </xdr:nvSpPr>
      <xdr:spPr>
        <a:xfrm>
          <a:off x="2982077" y="1566304"/>
          <a:ext cx="358161" cy="146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300" b="0">
              <a:latin typeface="Arial" panose="020B0604020202020204" pitchFamily="34" charset="0"/>
              <a:cs typeface="Arial" panose="020B0604020202020204" pitchFamily="34" charset="0"/>
            </a:rPr>
            <a:t>mm:ss</a:t>
          </a:r>
          <a:endParaRPr lang="en-IN" sz="100" b="0">
            <a:latin typeface="Arial" panose="020B0604020202020204" pitchFamily="34" charset="0"/>
            <a:cs typeface="Arial" panose="020B0604020202020204" pitchFamily="34" charset="0"/>
          </a:endParaRPr>
        </a:p>
      </xdr:txBody>
    </xdr:sp>
    <xdr:clientData/>
  </xdr:twoCellAnchor>
  <xdr:twoCellAnchor>
    <xdr:from>
      <xdr:col>4</xdr:col>
      <xdr:colOff>568385</xdr:colOff>
      <xdr:row>7</xdr:row>
      <xdr:rowOff>159615</xdr:rowOff>
    </xdr:from>
    <xdr:to>
      <xdr:col>5</xdr:col>
      <xdr:colOff>241368</xdr:colOff>
      <xdr:row>8</xdr:row>
      <xdr:rowOff>105938</xdr:rowOff>
    </xdr:to>
    <xdr:sp macro="" textlink="'Pivot Tables'!AT24">
      <xdr:nvSpPr>
        <xdr:cNvPr id="91" name="TextBox 90">
          <a:extLst>
            <a:ext uri="{FF2B5EF4-FFF2-40B4-BE49-F238E27FC236}">
              <a16:creationId xmlns:a16="http://schemas.microsoft.com/office/drawing/2014/main" id="{3E3D79F8-4611-4120-A9F8-A7CA738A1D13}"/>
            </a:ext>
          </a:extLst>
        </xdr:cNvPr>
        <xdr:cNvSpPr txBox="1"/>
      </xdr:nvSpPr>
      <xdr:spPr>
        <a:xfrm>
          <a:off x="3309093" y="1558518"/>
          <a:ext cx="358161" cy="146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300" b="0">
              <a:latin typeface="Arial" panose="020B0604020202020204" pitchFamily="34" charset="0"/>
              <a:cs typeface="Arial" panose="020B0604020202020204" pitchFamily="34" charset="0"/>
            </a:rPr>
            <a:t>mm:ss</a:t>
          </a:r>
          <a:endParaRPr lang="en-IN" sz="100" b="0">
            <a:latin typeface="Arial" panose="020B0604020202020204" pitchFamily="34" charset="0"/>
            <a:cs typeface="Arial" panose="020B0604020202020204" pitchFamily="34" charset="0"/>
          </a:endParaRPr>
        </a:p>
      </xdr:txBody>
    </xdr:sp>
    <xdr:clientData/>
  </xdr:twoCellAnchor>
  <xdr:twoCellAnchor>
    <xdr:from>
      <xdr:col>4</xdr:col>
      <xdr:colOff>549625</xdr:colOff>
      <xdr:row>5</xdr:row>
      <xdr:rowOff>150909</xdr:rowOff>
    </xdr:from>
    <xdr:to>
      <xdr:col>5</xdr:col>
      <xdr:colOff>199360</xdr:colOff>
      <xdr:row>6</xdr:row>
      <xdr:rowOff>97232</xdr:rowOff>
    </xdr:to>
    <xdr:sp macro="" textlink="'Pivot Tables'!AT24">
      <xdr:nvSpPr>
        <xdr:cNvPr id="92" name="TextBox 91">
          <a:extLst>
            <a:ext uri="{FF2B5EF4-FFF2-40B4-BE49-F238E27FC236}">
              <a16:creationId xmlns:a16="http://schemas.microsoft.com/office/drawing/2014/main" id="{EFCEE607-CC6D-496E-86EE-2FFE7A2D1036}"/>
            </a:ext>
          </a:extLst>
        </xdr:cNvPr>
        <xdr:cNvSpPr txBox="1"/>
      </xdr:nvSpPr>
      <xdr:spPr>
        <a:xfrm>
          <a:off x="3290831" y="1147711"/>
          <a:ext cx="335037" cy="1456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400" b="0">
              <a:solidFill>
                <a:schemeClr val="bg1"/>
              </a:solidFill>
              <a:latin typeface="Arial" panose="020B0604020202020204" pitchFamily="34" charset="0"/>
              <a:cs typeface="Arial" panose="020B0604020202020204" pitchFamily="34" charset="0"/>
            </a:rPr>
            <a:t>mm:ss</a:t>
          </a:r>
          <a:endParaRPr lang="en-IN" sz="100" b="0">
            <a:solidFill>
              <a:schemeClr val="bg1"/>
            </a:solidFill>
            <a:latin typeface="Arial" panose="020B0604020202020204" pitchFamily="34" charset="0"/>
            <a:cs typeface="Arial" panose="020B0604020202020204" pitchFamily="34" charset="0"/>
          </a:endParaRPr>
        </a:p>
      </xdr:txBody>
    </xdr:sp>
    <xdr:clientData/>
  </xdr:twoCellAnchor>
  <xdr:twoCellAnchor>
    <xdr:from>
      <xdr:col>3</xdr:col>
      <xdr:colOff>389219</xdr:colOff>
      <xdr:row>9</xdr:row>
      <xdr:rowOff>4716</xdr:rowOff>
    </xdr:from>
    <xdr:to>
      <xdr:col>6</xdr:col>
      <xdr:colOff>159884</xdr:colOff>
      <xdr:row>15</xdr:row>
      <xdr:rowOff>57830</xdr:rowOff>
    </xdr:to>
    <xdr:sp macro="" textlink="">
      <xdr:nvSpPr>
        <xdr:cNvPr id="93" name="Rectangle: Rounded Corners 92">
          <a:extLst>
            <a:ext uri="{FF2B5EF4-FFF2-40B4-BE49-F238E27FC236}">
              <a16:creationId xmlns:a16="http://schemas.microsoft.com/office/drawing/2014/main" id="{617EA13B-E830-4DDB-90E8-B96C309789EF}"/>
            </a:ext>
          </a:extLst>
        </xdr:cNvPr>
        <xdr:cNvSpPr/>
      </xdr:nvSpPr>
      <xdr:spPr>
        <a:xfrm>
          <a:off x="2448940" y="1810598"/>
          <a:ext cx="1830386" cy="1257036"/>
        </a:xfrm>
        <a:prstGeom prst="roundRect">
          <a:avLst>
            <a:gd name="adj" fmla="val 3881"/>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299770</xdr:colOff>
      <xdr:row>9</xdr:row>
      <xdr:rowOff>42438</xdr:rowOff>
    </xdr:from>
    <xdr:to>
      <xdr:col>6</xdr:col>
      <xdr:colOff>280298</xdr:colOff>
      <xdr:row>15</xdr:row>
      <xdr:rowOff>146408</xdr:rowOff>
    </xdr:to>
    <xdr:graphicFrame macro="">
      <xdr:nvGraphicFramePr>
        <xdr:cNvPr id="94" name="Chart 93">
          <a:extLst>
            <a:ext uri="{FF2B5EF4-FFF2-40B4-BE49-F238E27FC236}">
              <a16:creationId xmlns:a16="http://schemas.microsoft.com/office/drawing/2014/main" id="{3589F361-5D15-4611-AF7F-A688135589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357749</xdr:colOff>
      <xdr:row>8</xdr:row>
      <xdr:rowOff>199578</xdr:rowOff>
    </xdr:from>
    <xdr:to>
      <xdr:col>4</xdr:col>
      <xdr:colOff>335726</xdr:colOff>
      <xdr:row>10</xdr:row>
      <xdr:rowOff>56734</xdr:rowOff>
    </xdr:to>
    <xdr:sp macro="" textlink="">
      <xdr:nvSpPr>
        <xdr:cNvPr id="95" name="TextBox 94">
          <a:extLst>
            <a:ext uri="{FF2B5EF4-FFF2-40B4-BE49-F238E27FC236}">
              <a16:creationId xmlns:a16="http://schemas.microsoft.com/office/drawing/2014/main" id="{AEAED9D1-65EB-482C-AECD-4AD88C545EDE}"/>
            </a:ext>
          </a:extLst>
        </xdr:cNvPr>
        <xdr:cNvSpPr txBox="1"/>
      </xdr:nvSpPr>
      <xdr:spPr>
        <a:xfrm>
          <a:off x="2417470" y="1804806"/>
          <a:ext cx="664550" cy="258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600" b="1" baseline="0">
              <a:latin typeface="Arial" panose="020B0604020202020204" pitchFamily="34" charset="0"/>
              <a:cs typeface="Arial" panose="020B0604020202020204" pitchFamily="34" charset="0"/>
            </a:rPr>
            <a:t>Consultant</a:t>
          </a:r>
        </a:p>
        <a:p>
          <a:pPr algn="l"/>
          <a:r>
            <a:rPr lang="en-IN" sz="500" b="0" baseline="0">
              <a:latin typeface="Arial" panose="020B0604020202020204" pitchFamily="34" charset="0"/>
              <a:cs typeface="Arial" panose="020B0604020202020204" pitchFamily="34" charset="0"/>
            </a:rPr>
            <a:t>Total Sales</a:t>
          </a:r>
          <a:endParaRPr lang="en-IN" sz="400" b="0" baseline="0">
            <a:latin typeface="Arial" panose="020B0604020202020204" pitchFamily="34" charset="0"/>
            <a:cs typeface="Arial" panose="020B0604020202020204" pitchFamily="34" charset="0"/>
          </a:endParaRPr>
        </a:p>
      </xdr:txBody>
    </xdr:sp>
    <xdr:clientData/>
  </xdr:twoCellAnchor>
  <xdr:twoCellAnchor>
    <xdr:from>
      <xdr:col>2</xdr:col>
      <xdr:colOff>10824</xdr:colOff>
      <xdr:row>8</xdr:row>
      <xdr:rowOff>197198</xdr:rowOff>
    </xdr:from>
    <xdr:to>
      <xdr:col>3</xdr:col>
      <xdr:colOff>357794</xdr:colOff>
      <xdr:row>15</xdr:row>
      <xdr:rowOff>58619</xdr:rowOff>
    </xdr:to>
    <xdr:sp macro="" textlink="">
      <xdr:nvSpPr>
        <xdr:cNvPr id="99" name="Rectangle: Rounded Corners 98">
          <a:extLst>
            <a:ext uri="{FF2B5EF4-FFF2-40B4-BE49-F238E27FC236}">
              <a16:creationId xmlns:a16="http://schemas.microsoft.com/office/drawing/2014/main" id="{5D433326-050E-42B7-BDFA-054F3E81D851}"/>
            </a:ext>
          </a:extLst>
        </xdr:cNvPr>
        <xdr:cNvSpPr/>
      </xdr:nvSpPr>
      <xdr:spPr>
        <a:xfrm>
          <a:off x="1381911" y="1803207"/>
          <a:ext cx="1032514" cy="1266679"/>
        </a:xfrm>
        <a:prstGeom prst="roundRect">
          <a:avLst>
            <a:gd name="adj" fmla="val 3881"/>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512033</xdr:colOff>
      <xdr:row>10</xdr:row>
      <xdr:rowOff>80700</xdr:rowOff>
    </xdr:from>
    <xdr:to>
      <xdr:col>4</xdr:col>
      <xdr:colOff>57061</xdr:colOff>
      <xdr:row>15</xdr:row>
      <xdr:rowOff>172207</xdr:rowOff>
    </xdr:to>
    <xdr:graphicFrame macro="">
      <xdr:nvGraphicFramePr>
        <xdr:cNvPr id="97" name="Chart 96">
          <a:extLst>
            <a:ext uri="{FF2B5EF4-FFF2-40B4-BE49-F238E27FC236}">
              <a16:creationId xmlns:a16="http://schemas.microsoft.com/office/drawing/2014/main" id="{CAA87CC9-0D22-47CF-8575-F706413C83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620278</xdr:colOff>
      <xdr:row>8</xdr:row>
      <xdr:rowOff>199390</xdr:rowOff>
    </xdr:from>
    <xdr:to>
      <xdr:col>2</xdr:col>
      <xdr:colOff>598691</xdr:colOff>
      <xdr:row>10</xdr:row>
      <xdr:rowOff>55173</xdr:rowOff>
    </xdr:to>
    <xdr:sp macro="" textlink="">
      <xdr:nvSpPr>
        <xdr:cNvPr id="101" name="TextBox 100">
          <a:extLst>
            <a:ext uri="{FF2B5EF4-FFF2-40B4-BE49-F238E27FC236}">
              <a16:creationId xmlns:a16="http://schemas.microsoft.com/office/drawing/2014/main" id="{4AA079D4-6C41-4B31-A897-0986014C0FC6}"/>
            </a:ext>
          </a:extLst>
        </xdr:cNvPr>
        <xdr:cNvSpPr txBox="1"/>
      </xdr:nvSpPr>
      <xdr:spPr>
        <a:xfrm>
          <a:off x="1305133" y="1805258"/>
          <a:ext cx="663269" cy="2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600" b="1" baseline="0">
              <a:latin typeface="Arial" panose="020B0604020202020204" pitchFamily="34" charset="0"/>
              <a:cs typeface="Arial" panose="020B0604020202020204" pitchFamily="34" charset="0"/>
            </a:rPr>
            <a:t>Total Sales</a:t>
          </a:r>
        </a:p>
        <a:p>
          <a:pPr algn="l"/>
          <a:r>
            <a:rPr lang="en-IN" sz="500" b="0" baseline="0">
              <a:latin typeface="Arial" panose="020B0604020202020204" pitchFamily="34" charset="0"/>
              <a:cs typeface="Arial" panose="020B0604020202020204" pitchFamily="34" charset="0"/>
            </a:rPr>
            <a:t>By Sales Team</a:t>
          </a:r>
          <a:endParaRPr lang="en-IN" sz="400" b="0" baseline="0">
            <a:latin typeface="Arial" panose="020B0604020202020204" pitchFamily="34" charset="0"/>
            <a:cs typeface="Arial" panose="020B0604020202020204" pitchFamily="34" charset="0"/>
          </a:endParaRPr>
        </a:p>
      </xdr:txBody>
    </xdr:sp>
    <xdr:clientData/>
  </xdr:twoCellAnchor>
  <xdr:twoCellAnchor>
    <xdr:from>
      <xdr:col>2</xdr:col>
      <xdr:colOff>650545</xdr:colOff>
      <xdr:row>9</xdr:row>
      <xdr:rowOff>81164</xdr:rowOff>
    </xdr:from>
    <xdr:to>
      <xdr:col>3</xdr:col>
      <xdr:colOff>354655</xdr:colOff>
      <xdr:row>10</xdr:row>
      <xdr:rowOff>32993</xdr:rowOff>
    </xdr:to>
    <xdr:sp macro="" textlink="'Pivot Tables'!BD39">
      <xdr:nvSpPr>
        <xdr:cNvPr id="102" name="TextBox 101">
          <a:extLst>
            <a:ext uri="{FF2B5EF4-FFF2-40B4-BE49-F238E27FC236}">
              <a16:creationId xmlns:a16="http://schemas.microsoft.com/office/drawing/2014/main" id="{809814E0-4641-4FAE-9B59-0272FD9FD92C}"/>
            </a:ext>
          </a:extLst>
        </xdr:cNvPr>
        <xdr:cNvSpPr txBox="1"/>
      </xdr:nvSpPr>
      <xdr:spPr>
        <a:xfrm>
          <a:off x="2021915" y="1875709"/>
          <a:ext cx="389796" cy="15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83527AE7-8A11-4D8D-82BC-525191DFC053}" type="TxLink">
            <a:rPr lang="en-US" sz="600" b="0" i="0" u="none" strike="noStrike" baseline="0">
              <a:solidFill>
                <a:srgbClr val="000000"/>
              </a:solidFill>
              <a:latin typeface="Arial" panose="020B0604020202020204" pitchFamily="34" charset="0"/>
              <a:ea typeface="Calibri"/>
              <a:cs typeface="Arial" panose="020B0604020202020204" pitchFamily="34" charset="0"/>
            </a:rPr>
            <a:pPr algn="l"/>
            <a:t>5.4B</a:t>
          </a:fld>
          <a:endParaRPr lang="en-IN" sz="200" b="0" baseline="0">
            <a:latin typeface="Arial" panose="020B0604020202020204" pitchFamily="34" charset="0"/>
            <a:cs typeface="Arial" panose="020B0604020202020204" pitchFamily="34" charset="0"/>
          </a:endParaRPr>
        </a:p>
      </xdr:txBody>
    </xdr:sp>
    <xdr:clientData/>
  </xdr:twoCellAnchor>
  <xdr:twoCellAnchor>
    <xdr:from>
      <xdr:col>2</xdr:col>
      <xdr:colOff>553811</xdr:colOff>
      <xdr:row>9</xdr:row>
      <xdr:rowOff>11569</xdr:rowOff>
    </xdr:from>
    <xdr:to>
      <xdr:col>3</xdr:col>
      <xdr:colOff>488259</xdr:colOff>
      <xdr:row>9</xdr:row>
      <xdr:rowOff>181245</xdr:rowOff>
    </xdr:to>
    <xdr:sp macro="" textlink="'Pivot Tables'!BC39">
      <xdr:nvSpPr>
        <xdr:cNvPr id="103" name="TextBox 102">
          <a:extLst>
            <a:ext uri="{FF2B5EF4-FFF2-40B4-BE49-F238E27FC236}">
              <a16:creationId xmlns:a16="http://schemas.microsoft.com/office/drawing/2014/main" id="{FD15F973-BA22-4962-8C1A-75B2241342CB}"/>
            </a:ext>
          </a:extLst>
        </xdr:cNvPr>
        <xdr:cNvSpPr txBox="1"/>
      </xdr:nvSpPr>
      <xdr:spPr>
        <a:xfrm>
          <a:off x="1923522" y="1818170"/>
          <a:ext cx="619303" cy="169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3D251E1-D4EA-443B-BD2A-C5AF49E39027}" type="TxLink">
            <a:rPr lang="en-US" sz="600" b="0" i="0" u="none" strike="noStrike" baseline="0">
              <a:solidFill>
                <a:srgbClr val="000000"/>
              </a:solidFill>
              <a:latin typeface="Calibri"/>
              <a:ea typeface="Calibri"/>
              <a:cs typeface="Calibri"/>
            </a:rPr>
            <a:pPr algn="l"/>
            <a:t>Mohammed</a:t>
          </a:fld>
          <a:endParaRPr lang="en-IN" sz="100" b="0" baseline="0">
            <a:latin typeface="Arial" panose="020B0604020202020204" pitchFamily="34" charset="0"/>
            <a:cs typeface="Arial" panose="020B0604020202020204" pitchFamily="34" charset="0"/>
          </a:endParaRPr>
        </a:p>
      </xdr:txBody>
    </xdr:sp>
    <xdr:clientData/>
  </xdr:twoCellAnchor>
  <xdr:twoCellAnchor>
    <xdr:from>
      <xdr:col>2</xdr:col>
      <xdr:colOff>537880</xdr:colOff>
      <xdr:row>9</xdr:row>
      <xdr:rowOff>165844</xdr:rowOff>
    </xdr:from>
    <xdr:to>
      <xdr:col>3</xdr:col>
      <xdr:colOff>422192</xdr:colOff>
      <xdr:row>10</xdr:row>
      <xdr:rowOff>102216</xdr:rowOff>
    </xdr:to>
    <xdr:sp macro="" textlink="">
      <xdr:nvSpPr>
        <xdr:cNvPr id="104" name="TextBox 103">
          <a:extLst>
            <a:ext uri="{FF2B5EF4-FFF2-40B4-BE49-F238E27FC236}">
              <a16:creationId xmlns:a16="http://schemas.microsoft.com/office/drawing/2014/main" id="{BE4BAE88-7F78-4417-BC2A-7ADF6A450F58}"/>
            </a:ext>
          </a:extLst>
        </xdr:cNvPr>
        <xdr:cNvSpPr txBox="1"/>
      </xdr:nvSpPr>
      <xdr:spPr>
        <a:xfrm>
          <a:off x="1909250" y="1960389"/>
          <a:ext cx="569998" cy="135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400" b="0" baseline="0">
              <a:latin typeface="Arial" panose="020B0604020202020204" pitchFamily="34" charset="0"/>
              <a:cs typeface="Arial" panose="020B0604020202020204" pitchFamily="34" charset="0"/>
            </a:rPr>
            <a:t>Top Sales Team</a:t>
          </a:r>
          <a:endParaRPr lang="en-IN" sz="500" b="0" baseline="0">
            <a:latin typeface="Arial" panose="020B0604020202020204" pitchFamily="34" charset="0"/>
            <a:cs typeface="Arial" panose="020B0604020202020204" pitchFamily="34" charset="0"/>
          </a:endParaRPr>
        </a:p>
      </xdr:txBody>
    </xdr:sp>
    <xdr:clientData/>
  </xdr:twoCellAnchor>
  <xdr:twoCellAnchor editAs="oneCell">
    <xdr:from>
      <xdr:col>2</xdr:col>
      <xdr:colOff>519544</xdr:colOff>
      <xdr:row>9</xdr:row>
      <xdr:rowOff>45265</xdr:rowOff>
    </xdr:from>
    <xdr:to>
      <xdr:col>2</xdr:col>
      <xdr:colOff>663544</xdr:colOff>
      <xdr:row>9</xdr:row>
      <xdr:rowOff>189265</xdr:rowOff>
    </xdr:to>
    <xdr:pic>
      <xdr:nvPicPr>
        <xdr:cNvPr id="106" name="Graphic 105" descr="Ribbon with solid fill">
          <a:extLst>
            <a:ext uri="{FF2B5EF4-FFF2-40B4-BE49-F238E27FC236}">
              <a16:creationId xmlns:a16="http://schemas.microsoft.com/office/drawing/2014/main" id="{A0B2E249-066F-D7E3-B389-AA89BC063EDC}"/>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889255" y="1851866"/>
          <a:ext cx="144000" cy="144000"/>
        </a:xfrm>
        <a:prstGeom prst="rect">
          <a:avLst/>
        </a:prstGeom>
      </xdr:spPr>
    </xdr:pic>
    <xdr:clientData/>
  </xdr:twoCellAnchor>
  <xdr:twoCellAnchor>
    <xdr:from>
      <xdr:col>5</xdr:col>
      <xdr:colOff>290071</xdr:colOff>
      <xdr:row>9</xdr:row>
      <xdr:rowOff>13837</xdr:rowOff>
    </xdr:from>
    <xdr:to>
      <xdr:col>6</xdr:col>
      <xdr:colOff>224519</xdr:colOff>
      <xdr:row>9</xdr:row>
      <xdr:rowOff>183513</xdr:rowOff>
    </xdr:to>
    <xdr:sp macro="" textlink="">
      <xdr:nvSpPr>
        <xdr:cNvPr id="107" name="TextBox 106">
          <a:extLst>
            <a:ext uri="{FF2B5EF4-FFF2-40B4-BE49-F238E27FC236}">
              <a16:creationId xmlns:a16="http://schemas.microsoft.com/office/drawing/2014/main" id="{B95B77AD-5627-4D16-B449-61EECEDC8B5A}"/>
            </a:ext>
          </a:extLst>
        </xdr:cNvPr>
        <xdr:cNvSpPr txBox="1"/>
      </xdr:nvSpPr>
      <xdr:spPr>
        <a:xfrm>
          <a:off x="3714348" y="1820438"/>
          <a:ext cx="619303" cy="169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700" b="0" i="0" u="none" strike="noStrike" baseline="0">
              <a:solidFill>
                <a:srgbClr val="000000"/>
              </a:solidFill>
              <a:latin typeface="Arial" panose="020B0604020202020204" pitchFamily="34" charset="0"/>
              <a:ea typeface="Calibri"/>
              <a:cs typeface="Arial" panose="020B0604020202020204" pitchFamily="34" charset="0"/>
            </a:rPr>
            <a:t>Mohmed</a:t>
          </a:r>
          <a:endParaRPr lang="en-US" sz="1200" b="0" i="0" u="none" strike="noStrike" baseline="0">
            <a:solidFill>
              <a:srgbClr val="000000"/>
            </a:solidFill>
            <a:latin typeface="Arial" panose="020B0604020202020204" pitchFamily="34" charset="0"/>
            <a:ea typeface="Calibri"/>
            <a:cs typeface="Arial" panose="020B0604020202020204" pitchFamily="34" charset="0"/>
          </a:endParaRPr>
        </a:p>
      </xdr:txBody>
    </xdr:sp>
    <xdr:clientData/>
  </xdr:twoCellAnchor>
  <xdr:twoCellAnchor editAs="oneCell">
    <xdr:from>
      <xdr:col>5</xdr:col>
      <xdr:colOff>236936</xdr:colOff>
      <xdr:row>9</xdr:row>
      <xdr:rowOff>39421</xdr:rowOff>
    </xdr:from>
    <xdr:to>
      <xdr:col>5</xdr:col>
      <xdr:colOff>380936</xdr:colOff>
      <xdr:row>9</xdr:row>
      <xdr:rowOff>183421</xdr:rowOff>
    </xdr:to>
    <xdr:pic>
      <xdr:nvPicPr>
        <xdr:cNvPr id="108" name="Graphic 107" descr="Ribbon with solid fill">
          <a:extLst>
            <a:ext uri="{FF2B5EF4-FFF2-40B4-BE49-F238E27FC236}">
              <a16:creationId xmlns:a16="http://schemas.microsoft.com/office/drawing/2014/main" id="{D3D1C71D-4B50-4670-B9B6-AB2CE5B0A86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4"/>
            </a:ext>
          </a:extLst>
        </a:blip>
        <a:stretch>
          <a:fillRect/>
        </a:stretch>
      </xdr:blipFill>
      <xdr:spPr>
        <a:xfrm>
          <a:off x="3661213" y="1846022"/>
          <a:ext cx="144000" cy="144000"/>
        </a:xfrm>
        <a:prstGeom prst="rect">
          <a:avLst/>
        </a:prstGeom>
      </xdr:spPr>
    </xdr:pic>
    <xdr:clientData/>
  </xdr:twoCellAnchor>
  <xdr:twoCellAnchor>
    <xdr:from>
      <xdr:col>5</xdr:col>
      <xdr:colOff>258049</xdr:colOff>
      <xdr:row>9</xdr:row>
      <xdr:rowOff>78719</xdr:rowOff>
    </xdr:from>
    <xdr:to>
      <xdr:col>5</xdr:col>
      <xdr:colOff>641560</xdr:colOff>
      <xdr:row>10</xdr:row>
      <xdr:rowOff>47661</xdr:rowOff>
    </xdr:to>
    <xdr:sp macro="" textlink="">
      <xdr:nvSpPr>
        <xdr:cNvPr id="110" name="TextBox 109">
          <a:extLst>
            <a:ext uri="{FF2B5EF4-FFF2-40B4-BE49-F238E27FC236}">
              <a16:creationId xmlns:a16="http://schemas.microsoft.com/office/drawing/2014/main" id="{1EE4B5BD-EF9C-403A-9EF2-BFB0E39D339A}"/>
            </a:ext>
          </a:extLst>
        </xdr:cNvPr>
        <xdr:cNvSpPr txBox="1"/>
      </xdr:nvSpPr>
      <xdr:spPr>
        <a:xfrm>
          <a:off x="3682326" y="1885320"/>
          <a:ext cx="383511" cy="169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b="0" baseline="0"/>
            <a:t> </a:t>
          </a:r>
          <a:r>
            <a:rPr lang="en-US" sz="700" b="0" baseline="0"/>
            <a:t>1.7B</a:t>
          </a:r>
          <a:endParaRPr lang="en-US" b="0" baseline="0"/>
        </a:p>
      </xdr:txBody>
    </xdr:sp>
    <xdr:clientData/>
  </xdr:twoCellAnchor>
  <xdr:twoCellAnchor>
    <xdr:from>
      <xdr:col>5</xdr:col>
      <xdr:colOff>240093</xdr:colOff>
      <xdr:row>9</xdr:row>
      <xdr:rowOff>192863</xdr:rowOff>
    </xdr:from>
    <xdr:to>
      <xdr:col>6</xdr:col>
      <xdr:colOff>261741</xdr:colOff>
      <xdr:row>10</xdr:row>
      <xdr:rowOff>155471</xdr:rowOff>
    </xdr:to>
    <xdr:sp macro="" textlink="">
      <xdr:nvSpPr>
        <xdr:cNvPr id="111" name="TextBox 110">
          <a:extLst>
            <a:ext uri="{FF2B5EF4-FFF2-40B4-BE49-F238E27FC236}">
              <a16:creationId xmlns:a16="http://schemas.microsoft.com/office/drawing/2014/main" id="{65D3E4AA-D3B8-41A6-8823-470D1081B362}"/>
            </a:ext>
          </a:extLst>
        </xdr:cNvPr>
        <xdr:cNvSpPr txBox="1"/>
      </xdr:nvSpPr>
      <xdr:spPr>
        <a:xfrm>
          <a:off x="3664370" y="1999464"/>
          <a:ext cx="706503" cy="163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400" b="0" baseline="0">
              <a:latin typeface="Arial" panose="020B0604020202020204" pitchFamily="34" charset="0"/>
              <a:cs typeface="Arial" panose="020B0604020202020204" pitchFamily="34" charset="0"/>
            </a:rPr>
            <a:t>Top Consultant</a:t>
          </a:r>
          <a:endParaRPr lang="en-IN" sz="600" b="0" baseline="0">
            <a:latin typeface="Arial" panose="020B0604020202020204" pitchFamily="34" charset="0"/>
            <a:cs typeface="Arial" panose="020B0604020202020204" pitchFamily="34" charset="0"/>
          </a:endParaRPr>
        </a:p>
      </xdr:txBody>
    </xdr:sp>
    <xdr:clientData/>
  </xdr:twoCellAnchor>
  <xdr:twoCellAnchor>
    <xdr:from>
      <xdr:col>0</xdr:col>
      <xdr:colOff>68723</xdr:colOff>
      <xdr:row>15</xdr:row>
      <xdr:rowOff>98121</xdr:rowOff>
    </xdr:from>
    <xdr:to>
      <xdr:col>2</xdr:col>
      <xdr:colOff>600723</xdr:colOff>
      <xdr:row>22</xdr:row>
      <xdr:rowOff>78473</xdr:rowOff>
    </xdr:to>
    <xdr:sp macro="" textlink="">
      <xdr:nvSpPr>
        <xdr:cNvPr id="112" name="Rectangle: Rounded Corners 111">
          <a:extLst>
            <a:ext uri="{FF2B5EF4-FFF2-40B4-BE49-F238E27FC236}">
              <a16:creationId xmlns:a16="http://schemas.microsoft.com/office/drawing/2014/main" id="{BDA4E41D-82D0-4058-AA3E-26E37EC1F82A}"/>
            </a:ext>
          </a:extLst>
        </xdr:cNvPr>
        <xdr:cNvSpPr/>
      </xdr:nvSpPr>
      <xdr:spPr>
        <a:xfrm>
          <a:off x="68723" y="3101743"/>
          <a:ext cx="1901219" cy="1382043"/>
        </a:xfrm>
        <a:prstGeom prst="roundRect">
          <a:avLst>
            <a:gd name="adj" fmla="val 3881"/>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65239</xdr:colOff>
      <xdr:row>4</xdr:row>
      <xdr:rowOff>104797</xdr:rowOff>
    </xdr:from>
    <xdr:to>
      <xdr:col>1</xdr:col>
      <xdr:colOff>385966</xdr:colOff>
      <xdr:row>5</xdr:row>
      <xdr:rowOff>84467</xdr:rowOff>
    </xdr:to>
    <xdr:sp macro="" textlink="">
      <xdr:nvSpPr>
        <xdr:cNvPr id="113" name="TextBox 112">
          <a:extLst>
            <a:ext uri="{FF2B5EF4-FFF2-40B4-BE49-F238E27FC236}">
              <a16:creationId xmlns:a16="http://schemas.microsoft.com/office/drawing/2014/main" id="{D34FD1C5-4743-46E3-9F3A-E701FE54C596}"/>
            </a:ext>
          </a:extLst>
        </xdr:cNvPr>
        <xdr:cNvSpPr txBox="1"/>
      </xdr:nvSpPr>
      <xdr:spPr>
        <a:xfrm>
          <a:off x="65239" y="902740"/>
          <a:ext cx="1007246" cy="1791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600" b="0" baseline="0">
              <a:latin typeface="Arial" panose="020B0604020202020204" pitchFamily="34" charset="0"/>
              <a:cs typeface="Arial" panose="020B0604020202020204" pitchFamily="34" charset="0"/>
            </a:rPr>
            <a:t>Advertising Channel</a:t>
          </a:r>
        </a:p>
      </xdr:txBody>
    </xdr:sp>
    <xdr:clientData/>
  </xdr:twoCellAnchor>
  <xdr:twoCellAnchor>
    <xdr:from>
      <xdr:col>0</xdr:col>
      <xdr:colOff>107232</xdr:colOff>
      <xdr:row>5</xdr:row>
      <xdr:rowOff>63982</xdr:rowOff>
    </xdr:from>
    <xdr:to>
      <xdr:col>2</xdr:col>
      <xdr:colOff>191821</xdr:colOff>
      <xdr:row>11</xdr:row>
      <xdr:rowOff>113887</xdr:rowOff>
    </xdr:to>
    <xdr:graphicFrame macro="">
      <xdr:nvGraphicFramePr>
        <xdr:cNvPr id="114" name="Chart 113">
          <a:extLst>
            <a:ext uri="{FF2B5EF4-FFF2-40B4-BE49-F238E27FC236}">
              <a16:creationId xmlns:a16="http://schemas.microsoft.com/office/drawing/2014/main" id="{ABA0441D-150E-4DF0-84E2-FD7DB55E78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381444</xdr:colOff>
      <xdr:row>7</xdr:row>
      <xdr:rowOff>79042</xdr:rowOff>
    </xdr:from>
    <xdr:to>
      <xdr:col>1</xdr:col>
      <xdr:colOff>335139</xdr:colOff>
      <xdr:row>8</xdr:row>
      <xdr:rowOff>8487</xdr:rowOff>
    </xdr:to>
    <xdr:sp macro="" textlink="">
      <xdr:nvSpPr>
        <xdr:cNvPr id="115" name="TextBox 114">
          <a:extLst>
            <a:ext uri="{FF2B5EF4-FFF2-40B4-BE49-F238E27FC236}">
              <a16:creationId xmlns:a16="http://schemas.microsoft.com/office/drawing/2014/main" id="{E85C73E5-CD34-4980-8A89-35289D58E946}"/>
            </a:ext>
          </a:extLst>
        </xdr:cNvPr>
        <xdr:cNvSpPr txBox="1"/>
      </xdr:nvSpPr>
      <xdr:spPr>
        <a:xfrm>
          <a:off x="381444" y="1485015"/>
          <a:ext cx="639081" cy="1302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400" b="0" baseline="0">
              <a:latin typeface="Arial" panose="020B0604020202020204" pitchFamily="34" charset="0"/>
              <a:cs typeface="Arial" panose="020B0604020202020204" pitchFamily="34" charset="0"/>
            </a:rPr>
            <a:t>Paid Advertisement</a:t>
          </a:r>
        </a:p>
        <a:p>
          <a:pPr algn="l"/>
          <a:endParaRPr lang="en-IN" sz="400" b="0" baseline="0">
            <a:latin typeface="Arial" panose="020B0604020202020204" pitchFamily="34" charset="0"/>
            <a:cs typeface="Arial" panose="020B0604020202020204" pitchFamily="34" charset="0"/>
          </a:endParaRPr>
        </a:p>
      </xdr:txBody>
    </xdr:sp>
    <xdr:clientData/>
  </xdr:twoCellAnchor>
  <xdr:twoCellAnchor>
    <xdr:from>
      <xdr:col>0</xdr:col>
      <xdr:colOff>469636</xdr:colOff>
      <xdr:row>7</xdr:row>
      <xdr:rowOff>154812</xdr:rowOff>
    </xdr:from>
    <xdr:to>
      <xdr:col>1</xdr:col>
      <xdr:colOff>207256</xdr:colOff>
      <xdr:row>8</xdr:row>
      <xdr:rowOff>134483</xdr:rowOff>
    </xdr:to>
    <xdr:sp macro="" textlink="'Pivot Tables'!BR27">
      <xdr:nvSpPr>
        <xdr:cNvPr id="116" name="TextBox 115">
          <a:extLst>
            <a:ext uri="{FF2B5EF4-FFF2-40B4-BE49-F238E27FC236}">
              <a16:creationId xmlns:a16="http://schemas.microsoft.com/office/drawing/2014/main" id="{F5BD38EB-F93F-48A2-B746-92BA8C6FC3E3}"/>
            </a:ext>
          </a:extLst>
        </xdr:cNvPr>
        <xdr:cNvSpPr txBox="1"/>
      </xdr:nvSpPr>
      <xdr:spPr>
        <a:xfrm>
          <a:off x="469636" y="1560785"/>
          <a:ext cx="423006" cy="180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67EFD532-43C2-4F6A-9AF5-80AF1941894F}" type="TxLink">
            <a:rPr lang="en-US" sz="700" b="0" i="0" u="none" strike="noStrike" baseline="0">
              <a:solidFill>
                <a:srgbClr val="000000"/>
              </a:solidFill>
              <a:latin typeface="Arial" panose="020B0604020202020204" pitchFamily="34" charset="0"/>
              <a:ea typeface="Calibri"/>
              <a:cs typeface="Arial" panose="020B0604020202020204" pitchFamily="34" charset="0"/>
            </a:rPr>
            <a:pPr algn="l"/>
            <a:t>16.0B</a:t>
          </a:fld>
          <a:endParaRPr lang="en-IN" sz="200" b="0" baseline="0">
            <a:latin typeface="Arial" panose="020B0604020202020204" pitchFamily="34" charset="0"/>
            <a:cs typeface="Arial" panose="020B0604020202020204" pitchFamily="34" charset="0"/>
          </a:endParaRPr>
        </a:p>
      </xdr:txBody>
    </xdr:sp>
    <xdr:clientData/>
  </xdr:twoCellAnchor>
  <xdr:twoCellAnchor>
    <xdr:from>
      <xdr:col>0</xdr:col>
      <xdr:colOff>0</xdr:colOff>
      <xdr:row>9</xdr:row>
      <xdr:rowOff>196707</xdr:rowOff>
    </xdr:from>
    <xdr:to>
      <xdr:col>0</xdr:col>
      <xdr:colOff>683315</xdr:colOff>
      <xdr:row>10</xdr:row>
      <xdr:rowOff>140799</xdr:rowOff>
    </xdr:to>
    <xdr:sp macro="" textlink="'Pivot Tables'!BN17">
      <xdr:nvSpPr>
        <xdr:cNvPr id="120" name="TextBox 119">
          <a:extLst>
            <a:ext uri="{FF2B5EF4-FFF2-40B4-BE49-F238E27FC236}">
              <a16:creationId xmlns:a16="http://schemas.microsoft.com/office/drawing/2014/main" id="{37E2BAC2-6A16-4EDF-B968-DA76977CD30B}"/>
            </a:ext>
          </a:extLst>
        </xdr:cNvPr>
        <xdr:cNvSpPr txBox="1"/>
      </xdr:nvSpPr>
      <xdr:spPr>
        <a:xfrm>
          <a:off x="0" y="2004387"/>
          <a:ext cx="683315" cy="14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8809F696-23B9-466B-BD1E-3EDEB1E6DA7A}" type="TxLink">
            <a:rPr lang="en-US" sz="500" b="0" i="0" u="none" strike="noStrike" baseline="0">
              <a:solidFill>
                <a:srgbClr val="000000"/>
              </a:solidFill>
              <a:latin typeface="Calibri"/>
              <a:ea typeface="Calibri"/>
              <a:cs typeface="Calibri"/>
            </a:rPr>
            <a:pPr algn="l"/>
            <a:t>Youtube Channel</a:t>
          </a:fld>
          <a:endParaRPr lang="en-IN" sz="100" b="0" baseline="0">
            <a:latin typeface="Arial" panose="020B0604020202020204" pitchFamily="34" charset="0"/>
            <a:cs typeface="Arial" panose="020B0604020202020204" pitchFamily="34" charset="0"/>
          </a:endParaRPr>
        </a:p>
      </xdr:txBody>
    </xdr:sp>
    <xdr:clientData/>
  </xdr:twoCellAnchor>
  <xdr:twoCellAnchor>
    <xdr:from>
      <xdr:col>0</xdr:col>
      <xdr:colOff>4137</xdr:colOff>
      <xdr:row>10</xdr:row>
      <xdr:rowOff>55902</xdr:rowOff>
    </xdr:from>
    <xdr:to>
      <xdr:col>0</xdr:col>
      <xdr:colOff>407914</xdr:colOff>
      <xdr:row>10</xdr:row>
      <xdr:rowOff>200847</xdr:rowOff>
    </xdr:to>
    <xdr:sp macro="" textlink="'Pivot Tables'!BN18">
      <xdr:nvSpPr>
        <xdr:cNvPr id="121" name="TextBox 120">
          <a:extLst>
            <a:ext uri="{FF2B5EF4-FFF2-40B4-BE49-F238E27FC236}">
              <a16:creationId xmlns:a16="http://schemas.microsoft.com/office/drawing/2014/main" id="{2C0590CA-67D3-4C5B-A25B-AE35784FC8BD}"/>
            </a:ext>
          </a:extLst>
        </xdr:cNvPr>
        <xdr:cNvSpPr txBox="1"/>
      </xdr:nvSpPr>
      <xdr:spPr>
        <a:xfrm>
          <a:off x="4137" y="2064435"/>
          <a:ext cx="403777" cy="14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7A37E04E-6671-487F-AD5C-56F90CD8F57A}" type="TxLink">
            <a:rPr lang="en-US" sz="500" b="0" i="0" u="none" strike="noStrike" baseline="0">
              <a:solidFill>
                <a:srgbClr val="00B050"/>
              </a:solidFill>
              <a:latin typeface="Calibri"/>
              <a:ea typeface="Calibri"/>
              <a:cs typeface="Calibri"/>
            </a:rPr>
            <a:pPr algn="l"/>
            <a:t>806.0M</a:t>
          </a:fld>
          <a:endParaRPr lang="en-IN" sz="300" b="0" baseline="0">
            <a:solidFill>
              <a:srgbClr val="00B050"/>
            </a:solidFill>
            <a:latin typeface="Arial" panose="020B0604020202020204" pitchFamily="34" charset="0"/>
            <a:cs typeface="Arial" panose="020B0604020202020204" pitchFamily="34" charset="0"/>
          </a:endParaRPr>
        </a:p>
      </xdr:txBody>
    </xdr:sp>
    <xdr:clientData/>
  </xdr:twoCellAnchor>
  <xdr:twoCellAnchor>
    <xdr:from>
      <xdr:col>0</xdr:col>
      <xdr:colOff>97478</xdr:colOff>
      <xdr:row>21</xdr:row>
      <xdr:rowOff>61902</xdr:rowOff>
    </xdr:from>
    <xdr:to>
      <xdr:col>2</xdr:col>
      <xdr:colOff>232928</xdr:colOff>
      <xdr:row>22</xdr:row>
      <xdr:rowOff>5698</xdr:rowOff>
    </xdr:to>
    <xdr:sp macro="" textlink="'Pivot Tables'!BN17">
      <xdr:nvSpPr>
        <xdr:cNvPr id="123" name="TextBox 122">
          <a:extLst>
            <a:ext uri="{FF2B5EF4-FFF2-40B4-BE49-F238E27FC236}">
              <a16:creationId xmlns:a16="http://schemas.microsoft.com/office/drawing/2014/main" id="{E0829F31-C2D4-44CA-AB32-1ECFA52E9235}"/>
            </a:ext>
          </a:extLst>
        </xdr:cNvPr>
        <xdr:cNvSpPr txBox="1"/>
      </xdr:nvSpPr>
      <xdr:spPr>
        <a:xfrm>
          <a:off x="97478" y="4272955"/>
          <a:ext cx="1505713" cy="144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600" b="0" baseline="0">
              <a:latin typeface="Arial" panose="020B0604020202020204" pitchFamily="34" charset="0"/>
              <a:cs typeface="Arial" panose="020B0604020202020204" pitchFamily="34" charset="0"/>
            </a:rPr>
            <a:t>Training Model Fees By Cnsultant</a:t>
          </a:r>
          <a:endParaRPr lang="en-IN" sz="100" b="0" baseline="0">
            <a:latin typeface="Arial" panose="020B0604020202020204" pitchFamily="34" charset="0"/>
            <a:cs typeface="Arial" panose="020B0604020202020204" pitchFamily="34" charset="0"/>
          </a:endParaRPr>
        </a:p>
      </xdr:txBody>
    </xdr:sp>
    <xdr:clientData/>
  </xdr:twoCellAnchor>
  <xdr:twoCellAnchor>
    <xdr:from>
      <xdr:col>0</xdr:col>
      <xdr:colOff>0</xdr:colOff>
      <xdr:row>10</xdr:row>
      <xdr:rowOff>139045</xdr:rowOff>
    </xdr:from>
    <xdr:to>
      <xdr:col>0</xdr:col>
      <xdr:colOff>484533</xdr:colOff>
      <xdr:row>11</xdr:row>
      <xdr:rowOff>83137</xdr:rowOff>
    </xdr:to>
    <xdr:sp macro="" textlink="'Pivot Tables'!BO17">
      <xdr:nvSpPr>
        <xdr:cNvPr id="124" name="TextBox 123">
          <a:extLst>
            <a:ext uri="{FF2B5EF4-FFF2-40B4-BE49-F238E27FC236}">
              <a16:creationId xmlns:a16="http://schemas.microsoft.com/office/drawing/2014/main" id="{331E2AC4-FAF1-45D2-940C-8E9FB25A1260}"/>
            </a:ext>
          </a:extLst>
        </xdr:cNvPr>
        <xdr:cNvSpPr txBox="1"/>
      </xdr:nvSpPr>
      <xdr:spPr>
        <a:xfrm>
          <a:off x="0" y="2147328"/>
          <a:ext cx="484533" cy="144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6AFF9AF1-DB22-4C1F-84D4-A7CB43CAA45D}" type="TxLink">
            <a:rPr lang="en-US" sz="500" b="0" i="0" u="none" strike="noStrike" baseline="0">
              <a:solidFill>
                <a:srgbClr val="000000"/>
              </a:solidFill>
              <a:latin typeface="Calibri"/>
              <a:ea typeface="Calibri"/>
              <a:cs typeface="Calibri"/>
            </a:rPr>
            <a:pPr algn="l"/>
            <a:t>Google Ad</a:t>
          </a:fld>
          <a:endParaRPr lang="en-US" sz="500" b="0" i="0" u="none" strike="noStrike" baseline="0">
            <a:solidFill>
              <a:srgbClr val="000000"/>
            </a:solidFill>
            <a:latin typeface="Calibri"/>
            <a:ea typeface="Calibri"/>
            <a:cs typeface="Calibri"/>
          </a:endParaRPr>
        </a:p>
      </xdr:txBody>
    </xdr:sp>
    <xdr:clientData/>
  </xdr:twoCellAnchor>
  <xdr:twoCellAnchor>
    <xdr:from>
      <xdr:col>0</xdr:col>
      <xdr:colOff>0</xdr:colOff>
      <xdr:row>11</xdr:row>
      <xdr:rowOff>95250</xdr:rowOff>
    </xdr:from>
    <xdr:to>
      <xdr:col>0</xdr:col>
      <xdr:colOff>459685</xdr:colOff>
      <xdr:row>12</xdr:row>
      <xdr:rowOff>39342</xdr:rowOff>
    </xdr:to>
    <xdr:sp macro="" textlink="'Pivot Tables'!BP17">
      <xdr:nvSpPr>
        <xdr:cNvPr id="125" name="TextBox 124">
          <a:extLst>
            <a:ext uri="{FF2B5EF4-FFF2-40B4-BE49-F238E27FC236}">
              <a16:creationId xmlns:a16="http://schemas.microsoft.com/office/drawing/2014/main" id="{39DAC699-8BFF-41F3-A7E4-F2FB4D6D8B37}"/>
            </a:ext>
          </a:extLst>
        </xdr:cNvPr>
        <xdr:cNvSpPr txBox="1"/>
      </xdr:nvSpPr>
      <xdr:spPr>
        <a:xfrm>
          <a:off x="0" y="2304636"/>
          <a:ext cx="459685" cy="14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B055E26D-FDAF-4FC8-8358-C40F8D677523}" type="TxLink">
            <a:rPr lang="en-US" sz="500" b="0" i="0" u="none" strike="noStrike" baseline="0">
              <a:solidFill>
                <a:srgbClr val="000000"/>
              </a:solidFill>
              <a:latin typeface="Calibri"/>
              <a:ea typeface="Calibri"/>
              <a:cs typeface="Calibri"/>
            </a:rPr>
            <a:pPr algn="l"/>
            <a:t>WhatsApp</a:t>
          </a:fld>
          <a:endParaRPr lang="en-IN" sz="200" b="0" baseline="0">
            <a:latin typeface="Arial" panose="020B0604020202020204" pitchFamily="34" charset="0"/>
            <a:cs typeface="Arial" panose="020B0604020202020204" pitchFamily="34" charset="0"/>
          </a:endParaRPr>
        </a:p>
      </xdr:txBody>
    </xdr:sp>
    <xdr:clientData/>
  </xdr:twoCellAnchor>
  <xdr:twoCellAnchor>
    <xdr:from>
      <xdr:col>0</xdr:col>
      <xdr:colOff>8284</xdr:colOff>
      <xdr:row>11</xdr:row>
      <xdr:rowOff>4772</xdr:rowOff>
    </xdr:from>
    <xdr:to>
      <xdr:col>0</xdr:col>
      <xdr:colOff>318882</xdr:colOff>
      <xdr:row>11</xdr:row>
      <xdr:rowOff>149717</xdr:rowOff>
    </xdr:to>
    <xdr:sp macro="" textlink="'Pivot Tables'!BO18">
      <xdr:nvSpPr>
        <xdr:cNvPr id="126" name="TextBox 125">
          <a:extLst>
            <a:ext uri="{FF2B5EF4-FFF2-40B4-BE49-F238E27FC236}">
              <a16:creationId xmlns:a16="http://schemas.microsoft.com/office/drawing/2014/main" id="{C108528D-100A-4673-940F-284D420BC10E}"/>
            </a:ext>
          </a:extLst>
        </xdr:cNvPr>
        <xdr:cNvSpPr txBox="1"/>
      </xdr:nvSpPr>
      <xdr:spPr>
        <a:xfrm>
          <a:off x="8284" y="2213884"/>
          <a:ext cx="310598" cy="14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957AB2D-DB4D-452B-9D69-6FD811F9D3D0}" type="TxLink">
            <a:rPr lang="en-US" sz="500" b="0" i="0" u="none" strike="noStrike" baseline="0">
              <a:solidFill>
                <a:srgbClr val="CC00CC"/>
              </a:solidFill>
              <a:latin typeface="Calibri"/>
              <a:ea typeface="Calibri"/>
              <a:cs typeface="Calibri"/>
            </a:rPr>
            <a:pPr algn="l"/>
            <a:t>1.8B</a:t>
          </a:fld>
          <a:endParaRPr lang="en-IN" sz="300" b="0" baseline="0">
            <a:solidFill>
              <a:srgbClr val="CC00CC"/>
            </a:solidFill>
            <a:latin typeface="Arial" panose="020B0604020202020204" pitchFamily="34" charset="0"/>
            <a:cs typeface="Arial" panose="020B0604020202020204" pitchFamily="34" charset="0"/>
          </a:endParaRPr>
        </a:p>
      </xdr:txBody>
    </xdr:sp>
    <xdr:clientData/>
  </xdr:twoCellAnchor>
  <xdr:twoCellAnchor>
    <xdr:from>
      <xdr:col>0</xdr:col>
      <xdr:colOff>8285</xdr:colOff>
      <xdr:row>11</xdr:row>
      <xdr:rowOff>161511</xdr:rowOff>
    </xdr:from>
    <xdr:to>
      <xdr:col>0</xdr:col>
      <xdr:colOff>306459</xdr:colOff>
      <xdr:row>12</xdr:row>
      <xdr:rowOff>105603</xdr:rowOff>
    </xdr:to>
    <xdr:sp macro="" textlink="'Pivot Tables'!BP18">
      <xdr:nvSpPr>
        <xdr:cNvPr id="127" name="TextBox 126">
          <a:extLst>
            <a:ext uri="{FF2B5EF4-FFF2-40B4-BE49-F238E27FC236}">
              <a16:creationId xmlns:a16="http://schemas.microsoft.com/office/drawing/2014/main" id="{4E80A9EB-E853-4EBA-8118-AC8867BB2792}"/>
            </a:ext>
          </a:extLst>
        </xdr:cNvPr>
        <xdr:cNvSpPr txBox="1"/>
      </xdr:nvSpPr>
      <xdr:spPr>
        <a:xfrm>
          <a:off x="8285" y="2370897"/>
          <a:ext cx="298174" cy="14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F7FADDBC-B33F-4BBA-BD79-D56D32E95EFE}" type="TxLink">
            <a:rPr lang="en-US" sz="500" b="0" i="0" u="none" strike="noStrike" baseline="0">
              <a:solidFill>
                <a:srgbClr val="FFC000"/>
              </a:solidFill>
              <a:latin typeface="Calibri"/>
              <a:ea typeface="Calibri"/>
              <a:cs typeface="Calibri"/>
            </a:rPr>
            <a:pPr algn="l"/>
            <a:t>2.5B</a:t>
          </a:fld>
          <a:endParaRPr lang="en-IN" sz="300" b="0" baseline="0">
            <a:solidFill>
              <a:srgbClr val="FFC000"/>
            </a:solidFill>
            <a:latin typeface="Arial" panose="020B0604020202020204" pitchFamily="34" charset="0"/>
            <a:cs typeface="Arial" panose="020B0604020202020204" pitchFamily="34" charset="0"/>
          </a:endParaRPr>
        </a:p>
      </xdr:txBody>
    </xdr:sp>
    <xdr:clientData/>
  </xdr:twoCellAnchor>
  <xdr:twoCellAnchor>
    <xdr:from>
      <xdr:col>1</xdr:col>
      <xdr:colOff>84897</xdr:colOff>
      <xdr:row>9</xdr:row>
      <xdr:rowOff>184287</xdr:rowOff>
    </xdr:from>
    <xdr:to>
      <xdr:col>2</xdr:col>
      <xdr:colOff>70402</xdr:colOff>
      <xdr:row>10</xdr:row>
      <xdr:rowOff>128379</xdr:rowOff>
    </xdr:to>
    <xdr:sp macro="" textlink="'Pivot Tables'!BQ17">
      <xdr:nvSpPr>
        <xdr:cNvPr id="128" name="TextBox 127">
          <a:extLst>
            <a:ext uri="{FF2B5EF4-FFF2-40B4-BE49-F238E27FC236}">
              <a16:creationId xmlns:a16="http://schemas.microsoft.com/office/drawing/2014/main" id="{3E3F7BE7-A1C4-4501-9FF1-ECEFE1478463}"/>
            </a:ext>
          </a:extLst>
        </xdr:cNvPr>
        <xdr:cNvSpPr txBox="1"/>
      </xdr:nvSpPr>
      <xdr:spPr>
        <a:xfrm>
          <a:off x="770283" y="1991967"/>
          <a:ext cx="670891" cy="14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CE3FB7A3-092C-46FA-8AFA-2E29BD5EA99E}" type="TxLink">
            <a:rPr lang="en-US" sz="500" b="0" i="0" u="none" strike="noStrike" baseline="0">
              <a:solidFill>
                <a:srgbClr val="000000"/>
              </a:solidFill>
              <a:latin typeface="Calibri"/>
              <a:ea typeface="Calibri"/>
              <a:cs typeface="Calibri"/>
            </a:rPr>
            <a:pPr algn="l"/>
            <a:t>Company Website</a:t>
          </a:fld>
          <a:endParaRPr lang="en-IN" sz="100" b="0" baseline="0">
            <a:latin typeface="Arial" panose="020B0604020202020204" pitchFamily="34" charset="0"/>
            <a:cs typeface="Arial" panose="020B0604020202020204" pitchFamily="34" charset="0"/>
          </a:endParaRPr>
        </a:p>
      </xdr:txBody>
    </xdr:sp>
    <xdr:clientData/>
  </xdr:twoCellAnchor>
  <xdr:twoCellAnchor>
    <xdr:from>
      <xdr:col>1</xdr:col>
      <xdr:colOff>426555</xdr:colOff>
      <xdr:row>10</xdr:row>
      <xdr:rowOff>49692</xdr:rowOff>
    </xdr:from>
    <xdr:to>
      <xdr:col>2</xdr:col>
      <xdr:colOff>68332</xdr:colOff>
      <xdr:row>10</xdr:row>
      <xdr:rowOff>194637</xdr:rowOff>
    </xdr:to>
    <xdr:sp macro="" textlink="'Pivot Tables'!BQ18">
      <xdr:nvSpPr>
        <xdr:cNvPr id="129" name="TextBox 128">
          <a:extLst>
            <a:ext uri="{FF2B5EF4-FFF2-40B4-BE49-F238E27FC236}">
              <a16:creationId xmlns:a16="http://schemas.microsoft.com/office/drawing/2014/main" id="{7F654279-2A39-45E3-8AA5-1F9C246102E3}"/>
            </a:ext>
          </a:extLst>
        </xdr:cNvPr>
        <xdr:cNvSpPr txBox="1"/>
      </xdr:nvSpPr>
      <xdr:spPr>
        <a:xfrm>
          <a:off x="1111941" y="2058225"/>
          <a:ext cx="327163" cy="14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07885B03-5A95-4632-A6DB-C75B17065F28}" type="TxLink">
            <a:rPr lang="en-US" sz="500" b="0" i="0" u="none" strike="noStrike" baseline="0">
              <a:solidFill>
                <a:srgbClr val="0AEAE0"/>
              </a:solidFill>
              <a:latin typeface="Calibri"/>
              <a:ea typeface="Calibri"/>
              <a:cs typeface="Calibri"/>
            </a:rPr>
            <a:pPr algn="l"/>
            <a:t>2.7B</a:t>
          </a:fld>
          <a:endParaRPr lang="en-IN" sz="200" b="0" baseline="0">
            <a:solidFill>
              <a:srgbClr val="0AEAE0"/>
            </a:solidFill>
            <a:latin typeface="Arial" panose="020B0604020202020204" pitchFamily="34" charset="0"/>
            <a:cs typeface="Arial" panose="020B0604020202020204" pitchFamily="34" charset="0"/>
          </a:endParaRPr>
        </a:p>
      </xdr:txBody>
    </xdr:sp>
    <xdr:clientData/>
  </xdr:twoCellAnchor>
  <xdr:twoCellAnchor>
    <xdr:from>
      <xdr:col>1</xdr:col>
      <xdr:colOff>153229</xdr:colOff>
      <xdr:row>10</xdr:row>
      <xdr:rowOff>127096</xdr:rowOff>
    </xdr:from>
    <xdr:to>
      <xdr:col>2</xdr:col>
      <xdr:colOff>49696</xdr:colOff>
      <xdr:row>11</xdr:row>
      <xdr:rowOff>71188</xdr:rowOff>
    </xdr:to>
    <xdr:sp macro="" textlink="'Pivot Tables'!BR17">
      <xdr:nvSpPr>
        <xdr:cNvPr id="130" name="TextBox 129">
          <a:extLst>
            <a:ext uri="{FF2B5EF4-FFF2-40B4-BE49-F238E27FC236}">
              <a16:creationId xmlns:a16="http://schemas.microsoft.com/office/drawing/2014/main" id="{997A6F23-2969-4E1B-9039-32737EF8586E}"/>
            </a:ext>
          </a:extLst>
        </xdr:cNvPr>
        <xdr:cNvSpPr txBox="1"/>
      </xdr:nvSpPr>
      <xdr:spPr>
        <a:xfrm>
          <a:off x="839871" y="2135379"/>
          <a:ext cx="583108" cy="144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C5A9986B-D5E1-40AC-A5AA-112942E68D9E}" type="TxLink">
            <a:rPr lang="en-US" sz="500" b="0" i="0" u="none" strike="noStrike" baseline="0">
              <a:solidFill>
                <a:srgbClr val="000000"/>
              </a:solidFill>
              <a:latin typeface="Calibri"/>
              <a:ea typeface="Calibri"/>
              <a:cs typeface="Calibri"/>
            </a:rPr>
            <a:pPr algn="l"/>
            <a:t>Facebook Page</a:t>
          </a:fld>
          <a:endParaRPr lang="en-IN" sz="100" b="0" baseline="0">
            <a:latin typeface="Arial" panose="020B0604020202020204" pitchFamily="34" charset="0"/>
            <a:cs typeface="Arial" panose="020B0604020202020204" pitchFamily="34" charset="0"/>
          </a:endParaRPr>
        </a:p>
      </xdr:txBody>
    </xdr:sp>
    <xdr:clientData/>
  </xdr:twoCellAnchor>
  <xdr:twoCellAnchor>
    <xdr:from>
      <xdr:col>1</xdr:col>
      <xdr:colOff>416957</xdr:colOff>
      <xdr:row>10</xdr:row>
      <xdr:rowOff>195089</xdr:rowOff>
    </xdr:from>
    <xdr:to>
      <xdr:col>2</xdr:col>
      <xdr:colOff>34427</xdr:colOff>
      <xdr:row>11</xdr:row>
      <xdr:rowOff>139205</xdr:rowOff>
    </xdr:to>
    <xdr:sp macro="" textlink="'Pivot Tables'!BR18">
      <xdr:nvSpPr>
        <xdr:cNvPr id="132" name="TextBox 131">
          <a:extLst>
            <a:ext uri="{FF2B5EF4-FFF2-40B4-BE49-F238E27FC236}">
              <a16:creationId xmlns:a16="http://schemas.microsoft.com/office/drawing/2014/main" id="{5CFB93B3-B908-4DEC-BB0C-A6A1E82C6F52}"/>
            </a:ext>
          </a:extLst>
        </xdr:cNvPr>
        <xdr:cNvSpPr txBox="1"/>
      </xdr:nvSpPr>
      <xdr:spPr>
        <a:xfrm>
          <a:off x="1103599" y="2203372"/>
          <a:ext cx="304111" cy="14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68165C33-F6CD-460B-B4F1-E8B6C3AB0CB4}" type="TxLink">
            <a:rPr lang="en-US" sz="500" b="0" i="0" u="none" strike="noStrike" baseline="0">
              <a:solidFill>
                <a:srgbClr val="9933FF"/>
              </a:solidFill>
              <a:latin typeface="Calibri"/>
              <a:ea typeface="Calibri"/>
              <a:cs typeface="Calibri"/>
            </a:rPr>
            <a:pPr algn="l"/>
            <a:t>3.5B</a:t>
          </a:fld>
          <a:endParaRPr lang="en-IN" sz="100" b="0" baseline="0">
            <a:solidFill>
              <a:srgbClr val="9933FF"/>
            </a:solidFill>
            <a:latin typeface="Arial" panose="020B0604020202020204" pitchFamily="34" charset="0"/>
            <a:cs typeface="Arial" panose="020B0604020202020204" pitchFamily="34" charset="0"/>
          </a:endParaRPr>
        </a:p>
      </xdr:txBody>
    </xdr:sp>
    <xdr:clientData/>
  </xdr:twoCellAnchor>
  <xdr:twoCellAnchor>
    <xdr:from>
      <xdr:col>1</xdr:col>
      <xdr:colOff>197489</xdr:colOff>
      <xdr:row>11</xdr:row>
      <xdr:rowOff>80486</xdr:rowOff>
    </xdr:from>
    <xdr:to>
      <xdr:col>2</xdr:col>
      <xdr:colOff>57185</xdr:colOff>
      <xdr:row>12</xdr:row>
      <xdr:rowOff>24284</xdr:rowOff>
    </xdr:to>
    <xdr:sp macro="" textlink="'Pivot Tables'!BS17">
      <xdr:nvSpPr>
        <xdr:cNvPr id="133" name="TextBox 132">
          <a:extLst>
            <a:ext uri="{FF2B5EF4-FFF2-40B4-BE49-F238E27FC236}">
              <a16:creationId xmlns:a16="http://schemas.microsoft.com/office/drawing/2014/main" id="{05EDA701-9577-40F9-9F15-FE603C64C2BD}"/>
            </a:ext>
          </a:extLst>
        </xdr:cNvPr>
        <xdr:cNvSpPr txBox="1"/>
      </xdr:nvSpPr>
      <xdr:spPr>
        <a:xfrm>
          <a:off x="883684" y="2281381"/>
          <a:ext cx="545890" cy="143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DC638835-4B40-4E11-8FFC-6F08B50A86F5}" type="TxLink">
            <a:rPr lang="en-US" sz="500" b="0" i="0" u="none" strike="noStrike" baseline="0">
              <a:solidFill>
                <a:srgbClr val="000000"/>
              </a:solidFill>
              <a:latin typeface="Calibri"/>
              <a:ea typeface="Calibri"/>
              <a:cs typeface="Calibri"/>
            </a:rPr>
            <a:pPr algn="l"/>
            <a:t>Television Ad</a:t>
          </a:fld>
          <a:endParaRPr lang="en-IN" sz="100" b="0" baseline="0">
            <a:latin typeface="Arial" panose="020B0604020202020204" pitchFamily="34" charset="0"/>
            <a:cs typeface="Arial" panose="020B0604020202020204" pitchFamily="34" charset="0"/>
          </a:endParaRPr>
        </a:p>
      </xdr:txBody>
    </xdr:sp>
    <xdr:clientData/>
  </xdr:twoCellAnchor>
  <xdr:twoCellAnchor>
    <xdr:from>
      <xdr:col>1</xdr:col>
      <xdr:colOff>405099</xdr:colOff>
      <xdr:row>11</xdr:row>
      <xdr:rowOff>165470</xdr:rowOff>
    </xdr:from>
    <xdr:to>
      <xdr:col>2</xdr:col>
      <xdr:colOff>19645</xdr:colOff>
      <xdr:row>12</xdr:row>
      <xdr:rowOff>93518</xdr:rowOff>
    </xdr:to>
    <xdr:sp macro="" textlink="'Pivot Tables'!BS18">
      <xdr:nvSpPr>
        <xdr:cNvPr id="134" name="TextBox 133">
          <a:extLst>
            <a:ext uri="{FF2B5EF4-FFF2-40B4-BE49-F238E27FC236}">
              <a16:creationId xmlns:a16="http://schemas.microsoft.com/office/drawing/2014/main" id="{5A164F6A-C2B7-4B6B-ABAC-E96E5BBAD555}"/>
            </a:ext>
          </a:extLst>
        </xdr:cNvPr>
        <xdr:cNvSpPr txBox="1"/>
      </xdr:nvSpPr>
      <xdr:spPr>
        <a:xfrm>
          <a:off x="1090477" y="2369225"/>
          <a:ext cx="299924" cy="128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574FFD2-07FC-4021-843B-26637C0079EE}" type="TxLink">
            <a:rPr lang="en-US" sz="500" b="0" i="0" u="none" strike="noStrike" baseline="0">
              <a:solidFill>
                <a:srgbClr val="7030A0"/>
              </a:solidFill>
              <a:latin typeface="Calibri"/>
              <a:ea typeface="Calibri"/>
              <a:cs typeface="Calibri"/>
            </a:rPr>
            <a:pPr algn="ctr"/>
            <a:t>4.6B</a:t>
          </a:fld>
          <a:endParaRPr lang="en-IN" sz="100" b="0" baseline="0">
            <a:solidFill>
              <a:srgbClr val="7030A0"/>
            </a:solidFill>
            <a:latin typeface="Arial" panose="020B0604020202020204" pitchFamily="34" charset="0"/>
            <a:cs typeface="Arial" panose="020B0604020202020204" pitchFamily="34" charset="0"/>
          </a:endParaRPr>
        </a:p>
      </xdr:txBody>
    </xdr:sp>
    <xdr:clientData/>
  </xdr:twoCellAnchor>
  <xdr:twoCellAnchor>
    <xdr:from>
      <xdr:col>0</xdr:col>
      <xdr:colOff>61151</xdr:colOff>
      <xdr:row>12</xdr:row>
      <xdr:rowOff>142690</xdr:rowOff>
    </xdr:from>
    <xdr:to>
      <xdr:col>1</xdr:col>
      <xdr:colOff>670826</xdr:colOff>
      <xdr:row>15</xdr:row>
      <xdr:rowOff>51887</xdr:rowOff>
    </xdr:to>
    <xdr:sp macro="" textlink="">
      <xdr:nvSpPr>
        <xdr:cNvPr id="135" name="Rectangle: Rounded Corners 134">
          <a:extLst>
            <a:ext uri="{FF2B5EF4-FFF2-40B4-BE49-F238E27FC236}">
              <a16:creationId xmlns:a16="http://schemas.microsoft.com/office/drawing/2014/main" id="{21AFD9FA-3850-4CCB-8584-6E6AEA7F65DB}"/>
            </a:ext>
          </a:extLst>
        </xdr:cNvPr>
        <xdr:cNvSpPr/>
      </xdr:nvSpPr>
      <xdr:spPr>
        <a:xfrm>
          <a:off x="61151" y="2544324"/>
          <a:ext cx="1295327" cy="509606"/>
        </a:xfrm>
        <a:prstGeom prst="roundRect">
          <a:avLst>
            <a:gd name="adj" fmla="val 3881"/>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13722</xdr:colOff>
      <xdr:row>12</xdr:row>
      <xdr:rowOff>131183</xdr:rowOff>
    </xdr:from>
    <xdr:to>
      <xdr:col>0</xdr:col>
      <xdr:colOff>663519</xdr:colOff>
      <xdr:row>13</xdr:row>
      <xdr:rowOff>183941</xdr:rowOff>
    </xdr:to>
    <xdr:sp macro="" textlink="'Pivot Tables'!BN17">
      <xdr:nvSpPr>
        <xdr:cNvPr id="136" name="TextBox 135">
          <a:extLst>
            <a:ext uri="{FF2B5EF4-FFF2-40B4-BE49-F238E27FC236}">
              <a16:creationId xmlns:a16="http://schemas.microsoft.com/office/drawing/2014/main" id="{01535019-4F72-43E2-9D1D-9C86AC5EA20A}"/>
            </a:ext>
          </a:extLst>
        </xdr:cNvPr>
        <xdr:cNvSpPr txBox="1"/>
      </xdr:nvSpPr>
      <xdr:spPr>
        <a:xfrm>
          <a:off x="13722" y="2526692"/>
          <a:ext cx="649797" cy="252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500" b="0" baseline="0">
              <a:latin typeface="Arial" panose="020B0604020202020204" pitchFamily="34" charset="0"/>
              <a:cs typeface="Arial" panose="020B0604020202020204" pitchFamily="34" charset="0"/>
            </a:rPr>
            <a:t>Average Calls By Months</a:t>
          </a:r>
          <a:endParaRPr lang="en-IN" sz="100" b="0" baseline="0">
            <a:latin typeface="Arial" panose="020B0604020202020204" pitchFamily="34" charset="0"/>
            <a:cs typeface="Arial" panose="020B0604020202020204" pitchFamily="34" charset="0"/>
          </a:endParaRPr>
        </a:p>
      </xdr:txBody>
    </xdr:sp>
    <xdr:clientData/>
  </xdr:twoCellAnchor>
  <xdr:twoCellAnchor>
    <xdr:from>
      <xdr:col>0</xdr:col>
      <xdr:colOff>172031</xdr:colOff>
      <xdr:row>11</xdr:row>
      <xdr:rowOff>54583</xdr:rowOff>
    </xdr:from>
    <xdr:to>
      <xdr:col>2</xdr:col>
      <xdr:colOff>173960</xdr:colOff>
      <xdr:row>15</xdr:row>
      <xdr:rowOff>60826</xdr:rowOff>
    </xdr:to>
    <xdr:graphicFrame macro="">
      <xdr:nvGraphicFramePr>
        <xdr:cNvPr id="62" name="Chart 61">
          <a:extLst>
            <a:ext uri="{FF2B5EF4-FFF2-40B4-BE49-F238E27FC236}">
              <a16:creationId xmlns:a16="http://schemas.microsoft.com/office/drawing/2014/main" id="{2758F5FF-4F6C-436A-9B2F-B2F45ACA43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469738</xdr:colOff>
      <xdr:row>13</xdr:row>
      <xdr:rowOff>95478</xdr:rowOff>
    </xdr:from>
    <xdr:to>
      <xdr:col>1</xdr:col>
      <xdr:colOff>152515</xdr:colOff>
      <xdr:row>14</xdr:row>
      <xdr:rowOff>67612</xdr:rowOff>
    </xdr:to>
    <xdr:sp macro="" textlink="'Pivot Tables'!$BV$24">
      <xdr:nvSpPr>
        <xdr:cNvPr id="63" name="TextBox 62">
          <a:extLst>
            <a:ext uri="{FF2B5EF4-FFF2-40B4-BE49-F238E27FC236}">
              <a16:creationId xmlns:a16="http://schemas.microsoft.com/office/drawing/2014/main" id="{1AD6DC14-EEEE-4843-BF19-4EEF4B00338F}"/>
            </a:ext>
          </a:extLst>
        </xdr:cNvPr>
        <xdr:cNvSpPr txBox="1"/>
      </xdr:nvSpPr>
      <xdr:spPr>
        <a:xfrm>
          <a:off x="469738" y="2684974"/>
          <a:ext cx="369084" cy="171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23CCC9F9-4685-42EA-808D-D3531C646F87}" type="TxLink">
            <a:rPr lang="en-US" sz="800" b="0" i="0" u="none" strike="noStrike" baseline="0">
              <a:solidFill>
                <a:srgbClr val="9933FF"/>
              </a:solidFill>
              <a:latin typeface="Calibri"/>
              <a:ea typeface="Calibri"/>
              <a:cs typeface="Calibri"/>
            </a:rPr>
            <a:pPr algn="l"/>
            <a:t>103</a:t>
          </a:fld>
          <a:endParaRPr lang="en-IN" sz="300" b="0" baseline="0">
            <a:solidFill>
              <a:srgbClr val="9933FF"/>
            </a:solidFill>
            <a:latin typeface="Arial" panose="020B0604020202020204" pitchFamily="34" charset="0"/>
            <a:cs typeface="Arial" panose="020B0604020202020204" pitchFamily="34" charset="0"/>
          </a:endParaRPr>
        </a:p>
      </xdr:txBody>
    </xdr:sp>
    <xdr:clientData/>
  </xdr:twoCellAnchor>
  <xdr:twoCellAnchor>
    <xdr:from>
      <xdr:col>0</xdr:col>
      <xdr:colOff>637415</xdr:colOff>
      <xdr:row>13</xdr:row>
      <xdr:rowOff>124948</xdr:rowOff>
    </xdr:from>
    <xdr:to>
      <xdr:col>1</xdr:col>
      <xdr:colOff>335005</xdr:colOff>
      <xdr:row>14</xdr:row>
      <xdr:rowOff>68744</xdr:rowOff>
    </xdr:to>
    <xdr:sp macro="" textlink="'Pivot Tables'!BN17">
      <xdr:nvSpPr>
        <xdr:cNvPr id="64" name="TextBox 63">
          <a:extLst>
            <a:ext uri="{FF2B5EF4-FFF2-40B4-BE49-F238E27FC236}">
              <a16:creationId xmlns:a16="http://schemas.microsoft.com/office/drawing/2014/main" id="{2997CEC1-CD7F-49B5-A208-85C47013A3BC}"/>
            </a:ext>
          </a:extLst>
        </xdr:cNvPr>
        <xdr:cNvSpPr txBox="1"/>
      </xdr:nvSpPr>
      <xdr:spPr>
        <a:xfrm>
          <a:off x="637415" y="2714444"/>
          <a:ext cx="383897" cy="142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600" b="0" baseline="0">
              <a:latin typeface="Arial" panose="020B0604020202020204" pitchFamily="34" charset="0"/>
              <a:cs typeface="Arial" panose="020B0604020202020204" pitchFamily="34" charset="0"/>
            </a:rPr>
            <a:t>Calls</a:t>
          </a:r>
          <a:endParaRPr lang="en-IN" sz="100" b="0" baseline="0">
            <a:latin typeface="Arial" panose="020B0604020202020204" pitchFamily="34" charset="0"/>
            <a:cs typeface="Arial" panose="020B0604020202020204" pitchFamily="34" charset="0"/>
          </a:endParaRPr>
        </a:p>
      </xdr:txBody>
    </xdr:sp>
    <xdr:clientData/>
  </xdr:twoCellAnchor>
  <xdr:twoCellAnchor>
    <xdr:from>
      <xdr:col>6</xdr:col>
      <xdr:colOff>442712</xdr:colOff>
      <xdr:row>15</xdr:row>
      <xdr:rowOff>116660</xdr:rowOff>
    </xdr:from>
    <xdr:to>
      <xdr:col>10</xdr:col>
      <xdr:colOff>572354</xdr:colOff>
      <xdr:row>22</xdr:row>
      <xdr:rowOff>73784</xdr:rowOff>
    </xdr:to>
    <xdr:sp macro="" textlink="">
      <xdr:nvSpPr>
        <xdr:cNvPr id="68" name="Rectangle: Rounded Corners 67">
          <a:extLst>
            <a:ext uri="{FF2B5EF4-FFF2-40B4-BE49-F238E27FC236}">
              <a16:creationId xmlns:a16="http://schemas.microsoft.com/office/drawing/2014/main" id="{8D23E322-2327-40D2-A464-53BF1053FD24}"/>
            </a:ext>
          </a:extLst>
        </xdr:cNvPr>
        <xdr:cNvSpPr/>
      </xdr:nvSpPr>
      <xdr:spPr>
        <a:xfrm>
          <a:off x="4547853" y="3135146"/>
          <a:ext cx="2866402" cy="1365751"/>
        </a:xfrm>
        <a:prstGeom prst="roundRect">
          <a:avLst>
            <a:gd name="adj" fmla="val 3881"/>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359931</xdr:colOff>
      <xdr:row>14</xdr:row>
      <xdr:rowOff>109734</xdr:rowOff>
    </xdr:from>
    <xdr:to>
      <xdr:col>10</xdr:col>
      <xdr:colOff>662504</xdr:colOff>
      <xdr:row>22</xdr:row>
      <xdr:rowOff>155823</xdr:rowOff>
    </xdr:to>
    <xdr:graphicFrame macro="">
      <xdr:nvGraphicFramePr>
        <xdr:cNvPr id="105" name="Chart 104">
          <a:extLst>
            <a:ext uri="{FF2B5EF4-FFF2-40B4-BE49-F238E27FC236}">
              <a16:creationId xmlns:a16="http://schemas.microsoft.com/office/drawing/2014/main" id="{7C40D4EE-3B6F-4A4D-AC40-85D3959C49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xdr:col>
      <xdr:colOff>684975</xdr:colOff>
      <xdr:row>15</xdr:row>
      <xdr:rowOff>132291</xdr:rowOff>
    </xdr:from>
    <xdr:to>
      <xdr:col>8</xdr:col>
      <xdr:colOff>67616</xdr:colOff>
      <xdr:row>17</xdr:row>
      <xdr:rowOff>52917</xdr:rowOff>
    </xdr:to>
    <xdr:sp macro="" textlink="'Pivot Tables'!BR35">
      <xdr:nvSpPr>
        <xdr:cNvPr id="109" name="TextBox 108">
          <a:extLst>
            <a:ext uri="{FF2B5EF4-FFF2-40B4-BE49-F238E27FC236}">
              <a16:creationId xmlns:a16="http://schemas.microsoft.com/office/drawing/2014/main" id="{0A150D59-A654-4B1F-A08A-1B0C75BED6C3}"/>
            </a:ext>
          </a:extLst>
        </xdr:cNvPr>
        <xdr:cNvSpPr txBox="1"/>
      </xdr:nvSpPr>
      <xdr:spPr>
        <a:xfrm>
          <a:off x="4794836" y="3130902"/>
          <a:ext cx="752595" cy="320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700" b="0" baseline="0">
              <a:latin typeface="Arial" panose="020B0604020202020204" pitchFamily="34" charset="0"/>
              <a:cs typeface="Arial" panose="020B0604020202020204" pitchFamily="34" charset="0"/>
            </a:rPr>
            <a:t>Advertisement </a:t>
          </a:r>
          <a:endParaRPr lang="en-IN" sz="600" b="0" baseline="0">
            <a:latin typeface="Arial" panose="020B0604020202020204" pitchFamily="34" charset="0"/>
            <a:cs typeface="Arial" panose="020B0604020202020204" pitchFamily="34" charset="0"/>
          </a:endParaRPr>
        </a:p>
        <a:p>
          <a:pPr algn="l"/>
          <a:r>
            <a:rPr lang="en-IN" sz="600" b="0" baseline="0">
              <a:latin typeface="Arial" panose="020B0604020202020204" pitchFamily="34" charset="0"/>
              <a:cs typeface="Arial" panose="020B0604020202020204" pitchFamily="34" charset="0"/>
            </a:rPr>
            <a:t>Total Sales</a:t>
          </a:r>
          <a:endParaRPr lang="en-IN" sz="100" b="0" baseline="0">
            <a:latin typeface="Arial" panose="020B0604020202020204" pitchFamily="34" charset="0"/>
            <a:cs typeface="Arial" panose="020B0604020202020204" pitchFamily="34" charset="0"/>
          </a:endParaRPr>
        </a:p>
      </xdr:txBody>
    </xdr:sp>
    <xdr:clientData/>
  </xdr:twoCellAnchor>
  <xdr:twoCellAnchor>
    <xdr:from>
      <xdr:col>9</xdr:col>
      <xdr:colOff>567384</xdr:colOff>
      <xdr:row>15</xdr:row>
      <xdr:rowOff>183737</xdr:rowOff>
    </xdr:from>
    <xdr:to>
      <xdr:col>10</xdr:col>
      <xdr:colOff>568854</xdr:colOff>
      <xdr:row>17</xdr:row>
      <xdr:rowOff>4409</xdr:rowOff>
    </xdr:to>
    <xdr:sp macro="" textlink="">
      <xdr:nvSpPr>
        <xdr:cNvPr id="117" name="Rectangle: Top Corners Rounded 116">
          <a:extLst>
            <a:ext uri="{FF2B5EF4-FFF2-40B4-BE49-F238E27FC236}">
              <a16:creationId xmlns:a16="http://schemas.microsoft.com/office/drawing/2014/main" id="{61374618-1013-1BB6-575C-3871C0C1F167}"/>
            </a:ext>
          </a:extLst>
        </xdr:cNvPr>
        <xdr:cNvSpPr/>
      </xdr:nvSpPr>
      <xdr:spPr>
        <a:xfrm rot="16200000">
          <a:off x="6965156" y="2949368"/>
          <a:ext cx="220487" cy="686447"/>
        </a:xfrm>
        <a:prstGeom prst="round2SameRect">
          <a:avLst/>
        </a:prstGeom>
        <a:solidFill>
          <a:srgbClr val="9933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10099</xdr:colOff>
      <xdr:row>15</xdr:row>
      <xdr:rowOff>184973</xdr:rowOff>
    </xdr:from>
    <xdr:to>
      <xdr:col>10</xdr:col>
      <xdr:colOff>605411</xdr:colOff>
      <xdr:row>17</xdr:row>
      <xdr:rowOff>65910</xdr:rowOff>
    </xdr:to>
    <xdr:sp macro="" textlink="'Pivot Tables'!BR35">
      <xdr:nvSpPr>
        <xdr:cNvPr id="118" name="TextBox 117">
          <a:extLst>
            <a:ext uri="{FF2B5EF4-FFF2-40B4-BE49-F238E27FC236}">
              <a16:creationId xmlns:a16="http://schemas.microsoft.com/office/drawing/2014/main" id="{9682B17E-E2EC-4C4F-ADC1-DA9EFBEE6AE5}"/>
            </a:ext>
          </a:extLst>
        </xdr:cNvPr>
        <xdr:cNvSpPr txBox="1"/>
      </xdr:nvSpPr>
      <xdr:spPr>
        <a:xfrm>
          <a:off x="6870073" y="3183127"/>
          <a:ext cx="595312" cy="280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500" b="0" baseline="0">
              <a:solidFill>
                <a:schemeClr val="bg1"/>
              </a:solidFill>
              <a:latin typeface="Arial" panose="020B0604020202020204" pitchFamily="34" charset="0"/>
              <a:cs typeface="Arial" panose="020B0604020202020204" pitchFamily="34" charset="0"/>
            </a:rPr>
            <a:t>Total</a:t>
          </a:r>
        </a:p>
        <a:p>
          <a:pPr algn="l"/>
          <a:r>
            <a:rPr lang="en-IN" sz="500" b="0" baseline="0">
              <a:solidFill>
                <a:schemeClr val="bg1"/>
              </a:solidFill>
              <a:latin typeface="Arial" panose="020B0604020202020204" pitchFamily="34" charset="0"/>
              <a:cs typeface="Arial" panose="020B0604020202020204" pitchFamily="34" charset="0"/>
            </a:rPr>
            <a:t>Advertisement</a:t>
          </a:r>
          <a:endParaRPr lang="en-IN" sz="200" b="0" baseline="0">
            <a:solidFill>
              <a:schemeClr val="bg1"/>
            </a:solidFill>
            <a:latin typeface="Arial" panose="020B0604020202020204" pitchFamily="34" charset="0"/>
            <a:cs typeface="Arial" panose="020B0604020202020204" pitchFamily="34" charset="0"/>
          </a:endParaRPr>
        </a:p>
      </xdr:txBody>
    </xdr:sp>
    <xdr:clientData/>
  </xdr:twoCellAnchor>
  <xdr:twoCellAnchor>
    <xdr:from>
      <xdr:col>9</xdr:col>
      <xdr:colOff>574954</xdr:colOff>
      <xdr:row>15</xdr:row>
      <xdr:rowOff>143120</xdr:rowOff>
    </xdr:from>
    <xdr:to>
      <xdr:col>10</xdr:col>
      <xdr:colOff>143122</xdr:colOff>
      <xdr:row>17</xdr:row>
      <xdr:rowOff>46883</xdr:rowOff>
    </xdr:to>
    <xdr:sp macro="" textlink="'Pivot Tables'!CD49">
      <xdr:nvSpPr>
        <xdr:cNvPr id="119" name="TextBox 118">
          <a:extLst>
            <a:ext uri="{FF2B5EF4-FFF2-40B4-BE49-F238E27FC236}">
              <a16:creationId xmlns:a16="http://schemas.microsoft.com/office/drawing/2014/main" id="{EF24D06F-318B-4F1B-ACB0-D7EFDAA6186E}"/>
            </a:ext>
          </a:extLst>
        </xdr:cNvPr>
        <xdr:cNvSpPr txBox="1"/>
      </xdr:nvSpPr>
      <xdr:spPr>
        <a:xfrm>
          <a:off x="6748931" y="3141274"/>
          <a:ext cx="254165" cy="303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E0B8EC9-D6A5-42F2-8C8C-215D96D6237F}" type="TxLink">
            <a:rPr lang="en-US" sz="1400" b="0" i="0" u="none" strike="noStrike" baseline="0">
              <a:solidFill>
                <a:schemeClr val="bg1"/>
              </a:solidFill>
              <a:latin typeface="Calibri"/>
              <a:ea typeface="Calibri"/>
              <a:cs typeface="Calibri"/>
            </a:rPr>
            <a:pPr algn="l"/>
            <a:t>5</a:t>
          </a:fld>
          <a:endParaRPr lang="en-IN" sz="700" b="0" baseline="0">
            <a:solidFill>
              <a:schemeClr val="bg1"/>
            </a:solidFill>
            <a:latin typeface="Arial" panose="020B0604020202020204" pitchFamily="34" charset="0"/>
            <a:cs typeface="Arial" panose="020B0604020202020204" pitchFamily="34" charset="0"/>
          </a:endParaRPr>
        </a:p>
      </xdr:txBody>
    </xdr:sp>
    <xdr:clientData/>
  </xdr:twoCellAnchor>
  <xdr:twoCellAnchor>
    <xdr:from>
      <xdr:col>4</xdr:col>
      <xdr:colOff>66608</xdr:colOff>
      <xdr:row>15</xdr:row>
      <xdr:rowOff>118240</xdr:rowOff>
    </xdr:from>
    <xdr:to>
      <xdr:col>6</xdr:col>
      <xdr:colOff>403992</xdr:colOff>
      <xdr:row>22</xdr:row>
      <xdr:rowOff>71847</xdr:rowOff>
    </xdr:to>
    <xdr:sp macro="" textlink="">
      <xdr:nvSpPr>
        <xdr:cNvPr id="131" name="Rectangle: Rounded Corners 130">
          <a:extLst>
            <a:ext uri="{FF2B5EF4-FFF2-40B4-BE49-F238E27FC236}">
              <a16:creationId xmlns:a16="http://schemas.microsoft.com/office/drawing/2014/main" id="{0AA5A609-A69F-4483-BF1C-66033B6ACDA1}"/>
            </a:ext>
          </a:extLst>
        </xdr:cNvPr>
        <xdr:cNvSpPr/>
      </xdr:nvSpPr>
      <xdr:spPr>
        <a:xfrm>
          <a:off x="2810874" y="3115618"/>
          <a:ext cx="1709517" cy="1352383"/>
        </a:xfrm>
        <a:prstGeom prst="roundRect">
          <a:avLst>
            <a:gd name="adj" fmla="val 3881"/>
          </a:avLst>
        </a:prstGeom>
        <a:solidFill>
          <a:schemeClr val="bg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27878</xdr:colOff>
      <xdr:row>15</xdr:row>
      <xdr:rowOff>146361</xdr:rowOff>
    </xdr:from>
    <xdr:to>
      <xdr:col>6</xdr:col>
      <xdr:colOff>204439</xdr:colOff>
      <xdr:row>16</xdr:row>
      <xdr:rowOff>171916</xdr:rowOff>
    </xdr:to>
    <xdr:sp macro="" textlink="">
      <xdr:nvSpPr>
        <xdr:cNvPr id="137" name="TextBox 136">
          <a:extLst>
            <a:ext uri="{FF2B5EF4-FFF2-40B4-BE49-F238E27FC236}">
              <a16:creationId xmlns:a16="http://schemas.microsoft.com/office/drawing/2014/main" id="{050087D5-2CB9-4A18-83D1-CE8325AA13D8}"/>
            </a:ext>
          </a:extLst>
        </xdr:cNvPr>
        <xdr:cNvSpPr txBox="1"/>
      </xdr:nvSpPr>
      <xdr:spPr>
        <a:xfrm>
          <a:off x="2769219" y="3143251"/>
          <a:ext cx="1547232" cy="225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600" b="0" i="0" u="none" strike="noStrike" baseline="0">
              <a:solidFill>
                <a:srgbClr val="000000"/>
              </a:solidFill>
              <a:latin typeface="Arial" panose="020B0604020202020204" pitchFamily="34" charset="0"/>
              <a:ea typeface="Calibri"/>
              <a:cs typeface="Arial" panose="020B0604020202020204" pitchFamily="34" charset="0"/>
            </a:rPr>
            <a:t> Training Models Fees By Sales Team</a:t>
          </a:r>
        </a:p>
      </xdr:txBody>
    </xdr:sp>
    <xdr:clientData/>
  </xdr:twoCellAnchor>
  <xdr:twoCellAnchor>
    <xdr:from>
      <xdr:col>4</xdr:col>
      <xdr:colOff>22664</xdr:colOff>
      <xdr:row>14</xdr:row>
      <xdr:rowOff>194891</xdr:rowOff>
    </xdr:from>
    <xdr:to>
      <xdr:col>6</xdr:col>
      <xdr:colOff>522531</xdr:colOff>
      <xdr:row>22</xdr:row>
      <xdr:rowOff>149166</xdr:rowOff>
    </xdr:to>
    <xdr:graphicFrame macro="">
      <xdr:nvGraphicFramePr>
        <xdr:cNvPr id="138" name="Chart 137">
          <a:extLst>
            <a:ext uri="{FF2B5EF4-FFF2-40B4-BE49-F238E27FC236}">
              <a16:creationId xmlns:a16="http://schemas.microsoft.com/office/drawing/2014/main" id="{0D49E6E2-2743-47D6-B7BA-BA229C4AD0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629879</xdr:colOff>
      <xdr:row>15</xdr:row>
      <xdr:rowOff>115223</xdr:rowOff>
    </xdr:from>
    <xdr:to>
      <xdr:col>4</xdr:col>
      <xdr:colOff>38734</xdr:colOff>
      <xdr:row>22</xdr:row>
      <xdr:rowOff>78473</xdr:rowOff>
    </xdr:to>
    <xdr:sp macro="" textlink="">
      <xdr:nvSpPr>
        <xdr:cNvPr id="140" name="Rectangle: Rounded Corners 139">
          <a:extLst>
            <a:ext uri="{FF2B5EF4-FFF2-40B4-BE49-F238E27FC236}">
              <a16:creationId xmlns:a16="http://schemas.microsoft.com/office/drawing/2014/main" id="{FAAEA17A-002C-4304-881D-84B24ECEFF35}"/>
            </a:ext>
          </a:extLst>
        </xdr:cNvPr>
        <xdr:cNvSpPr/>
      </xdr:nvSpPr>
      <xdr:spPr>
        <a:xfrm>
          <a:off x="1999098" y="3118845"/>
          <a:ext cx="778074" cy="1364941"/>
        </a:xfrm>
        <a:prstGeom prst="roundRect">
          <a:avLst>
            <a:gd name="adj" fmla="val 3881"/>
          </a:avLst>
        </a:prstGeom>
        <a:solidFill>
          <a:srgbClr val="A5C2E3"/>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2</xdr:col>
      <xdr:colOff>642981</xdr:colOff>
      <xdr:row>15</xdr:row>
      <xdr:rowOff>176675</xdr:rowOff>
    </xdr:from>
    <xdr:to>
      <xdr:col>4</xdr:col>
      <xdr:colOff>17413</xdr:colOff>
      <xdr:row>22</xdr:row>
      <xdr:rowOff>35791</xdr:rowOff>
    </xdr:to>
    <mc:AlternateContent xmlns:mc="http://schemas.openxmlformats.org/markup-compatibility/2006" xmlns:a14="http://schemas.microsoft.com/office/drawing/2010/main">
      <mc:Choice Requires="a14">
        <xdr:graphicFrame macro="">
          <xdr:nvGraphicFramePr>
            <xdr:cNvPr id="141" name="Sale Team 1">
              <a:extLst>
                <a:ext uri="{FF2B5EF4-FFF2-40B4-BE49-F238E27FC236}">
                  <a16:creationId xmlns:a16="http://schemas.microsoft.com/office/drawing/2014/main" id="{D639F6ED-B110-402C-828F-FE0DCE6D229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 Team 1"/>
            </a:graphicData>
          </a:graphic>
        </xdr:graphicFrame>
      </mc:Choice>
      <mc:Fallback xmlns="">
        <xdr:sp macro="" textlink="">
          <xdr:nvSpPr>
            <xdr:cNvPr id="0" name=""/>
            <xdr:cNvSpPr>
              <a:spLocks noTextEdit="1"/>
            </xdr:cNvSpPr>
          </xdr:nvSpPr>
          <xdr:spPr>
            <a:xfrm>
              <a:off x="2017475" y="3160774"/>
              <a:ext cx="748925" cy="12516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2</xdr:col>
      <xdr:colOff>579075</xdr:colOff>
      <xdr:row>15</xdr:row>
      <xdr:rowOff>170475</xdr:rowOff>
    </xdr:from>
    <xdr:to>
      <xdr:col>3</xdr:col>
      <xdr:colOff>498349</xdr:colOff>
      <xdr:row>17</xdr:row>
      <xdr:rowOff>70354</xdr:rowOff>
    </xdr:to>
    <xdr:sp macro="" textlink="'Pivot Tables'!BN17">
      <xdr:nvSpPr>
        <xdr:cNvPr id="142" name="TextBox 141">
          <a:extLst>
            <a:ext uri="{FF2B5EF4-FFF2-40B4-BE49-F238E27FC236}">
              <a16:creationId xmlns:a16="http://schemas.microsoft.com/office/drawing/2014/main" id="{B6D5D488-4DE7-4114-B684-B696967C63EF}"/>
            </a:ext>
          </a:extLst>
        </xdr:cNvPr>
        <xdr:cNvSpPr txBox="1"/>
      </xdr:nvSpPr>
      <xdr:spPr>
        <a:xfrm>
          <a:off x="1948294" y="3174097"/>
          <a:ext cx="603883" cy="300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600" b="1" baseline="0">
              <a:solidFill>
                <a:schemeClr val="tx1"/>
              </a:solidFill>
              <a:latin typeface="Arial" panose="020B0604020202020204" pitchFamily="34" charset="0"/>
              <a:cs typeface="Arial" panose="020B0604020202020204" pitchFamily="34" charset="0"/>
            </a:rPr>
            <a:t>Sales Team</a:t>
          </a:r>
          <a:r>
            <a:rPr lang="en-IN" sz="700" b="1" baseline="0">
              <a:solidFill>
                <a:schemeClr val="tx1"/>
              </a:solidFill>
              <a:latin typeface="Arial" panose="020B0604020202020204" pitchFamily="34" charset="0"/>
              <a:cs typeface="Arial" panose="020B0604020202020204" pitchFamily="34" charset="0"/>
            </a:rPr>
            <a:t> </a:t>
          </a:r>
          <a:r>
            <a:rPr lang="en-IN" sz="600" b="1" baseline="0">
              <a:solidFill>
                <a:schemeClr val="tx1"/>
              </a:solidFill>
              <a:latin typeface="Arial" panose="020B0604020202020204" pitchFamily="34" charset="0"/>
              <a:cs typeface="Arial" panose="020B0604020202020204" pitchFamily="34" charset="0"/>
            </a:rPr>
            <a:t>Slicer</a:t>
          </a:r>
          <a:endParaRPr lang="en-IN" sz="100" b="1" baseline="0">
            <a:solidFill>
              <a:schemeClr val="tx1"/>
            </a:solidFill>
            <a:latin typeface="Arial" panose="020B0604020202020204" pitchFamily="34" charset="0"/>
            <a:cs typeface="Arial" panose="020B0604020202020204" pitchFamily="34" charset="0"/>
          </a:endParaRPr>
        </a:p>
      </xdr:txBody>
    </xdr:sp>
    <xdr:clientData/>
  </xdr:twoCellAnchor>
  <xdr:twoCellAnchor>
    <xdr:from>
      <xdr:col>0</xdr:col>
      <xdr:colOff>52916</xdr:colOff>
      <xdr:row>15</xdr:row>
      <xdr:rowOff>130485</xdr:rowOff>
    </xdr:from>
    <xdr:to>
      <xdr:col>2</xdr:col>
      <xdr:colOff>662653</xdr:colOff>
      <xdr:row>22</xdr:row>
      <xdr:rowOff>116975</xdr:rowOff>
    </xdr:to>
    <xdr:graphicFrame macro="">
      <xdr:nvGraphicFramePr>
        <xdr:cNvPr id="143" name="Chart 142">
          <a:extLst>
            <a:ext uri="{FF2B5EF4-FFF2-40B4-BE49-F238E27FC236}">
              <a16:creationId xmlns:a16="http://schemas.microsoft.com/office/drawing/2014/main" id="{7BC7C743-150F-4352-8819-A0ECA3B1F4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451186</xdr:colOff>
      <xdr:row>17</xdr:row>
      <xdr:rowOff>170447</xdr:rowOff>
    </xdr:from>
    <xdr:to>
      <xdr:col>18</xdr:col>
      <xdr:colOff>451185</xdr:colOff>
      <xdr:row>27</xdr:row>
      <xdr:rowOff>100262</xdr:rowOff>
    </xdr:to>
    <xdr:graphicFrame macro="">
      <xdr:nvGraphicFramePr>
        <xdr:cNvPr id="2" name="Chart 1">
          <a:extLst>
            <a:ext uri="{FF2B5EF4-FFF2-40B4-BE49-F238E27FC236}">
              <a16:creationId xmlns:a16="http://schemas.microsoft.com/office/drawing/2014/main" id="{36273537-5A64-72F3-AD83-DB2E82726B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213723</xdr:colOff>
      <xdr:row>14</xdr:row>
      <xdr:rowOff>33565</xdr:rowOff>
    </xdr:from>
    <xdr:to>
      <xdr:col>22</xdr:col>
      <xdr:colOff>106978</xdr:colOff>
      <xdr:row>22</xdr:row>
      <xdr:rowOff>6707</xdr:rowOff>
    </xdr:to>
    <xdr:graphicFrame macro="">
      <xdr:nvGraphicFramePr>
        <xdr:cNvPr id="3" name="Chart 2">
          <a:extLst>
            <a:ext uri="{FF2B5EF4-FFF2-40B4-BE49-F238E27FC236}">
              <a16:creationId xmlns:a16="http://schemas.microsoft.com/office/drawing/2014/main" id="{F616DB1E-43D3-C306-46E0-9B53D78F12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113725</xdr:colOff>
      <xdr:row>14</xdr:row>
      <xdr:rowOff>118734</xdr:rowOff>
    </xdr:from>
    <xdr:to>
      <xdr:col>21</xdr:col>
      <xdr:colOff>20527</xdr:colOff>
      <xdr:row>21</xdr:row>
      <xdr:rowOff>61585</xdr:rowOff>
    </xdr:to>
    <xdr:graphicFrame macro="">
      <xdr:nvGraphicFramePr>
        <xdr:cNvPr id="4" name="Chart 3">
          <a:extLst>
            <a:ext uri="{FF2B5EF4-FFF2-40B4-BE49-F238E27FC236}">
              <a16:creationId xmlns:a16="http://schemas.microsoft.com/office/drawing/2014/main" id="{1304EBD7-CCD6-99A9-C9D3-1218F54A2C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614161</xdr:colOff>
      <xdr:row>24</xdr:row>
      <xdr:rowOff>134155</xdr:rowOff>
    </xdr:from>
    <xdr:to>
      <xdr:col>21</xdr:col>
      <xdr:colOff>56375</xdr:colOff>
      <xdr:row>31</xdr:row>
      <xdr:rowOff>57528</xdr:rowOff>
    </xdr:to>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DBA93922-05EF-1100-44B5-6DA6646EC40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7314661" y="4960155"/>
              <a:ext cx="1206414" cy="13309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466007</xdr:colOff>
      <xdr:row>18</xdr:row>
      <xdr:rowOff>100678</xdr:rowOff>
    </xdr:from>
    <xdr:to>
      <xdr:col>27</xdr:col>
      <xdr:colOff>56330</xdr:colOff>
      <xdr:row>26</xdr:row>
      <xdr:rowOff>76815</xdr:rowOff>
    </xdr:to>
    <xdr:graphicFrame macro="">
      <xdr:nvGraphicFramePr>
        <xdr:cNvPr id="6" name="Chart 5">
          <a:extLst>
            <a:ext uri="{FF2B5EF4-FFF2-40B4-BE49-F238E27FC236}">
              <a16:creationId xmlns:a16="http://schemas.microsoft.com/office/drawing/2014/main" id="{D0C0F19A-10C7-2EEB-16F8-F757482D6B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418523</xdr:colOff>
      <xdr:row>14</xdr:row>
      <xdr:rowOff>84626</xdr:rowOff>
    </xdr:from>
    <xdr:to>
      <xdr:col>31</xdr:col>
      <xdr:colOff>610576</xdr:colOff>
      <xdr:row>28</xdr:row>
      <xdr:rowOff>6960</xdr:rowOff>
    </xdr:to>
    <xdr:graphicFrame macro="">
      <xdr:nvGraphicFramePr>
        <xdr:cNvPr id="7" name="Chart 6">
          <a:extLst>
            <a:ext uri="{FF2B5EF4-FFF2-40B4-BE49-F238E27FC236}">
              <a16:creationId xmlns:a16="http://schemas.microsoft.com/office/drawing/2014/main" id="{8F7060B3-A3D8-0E1F-612A-4F14D5476F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424608</xdr:colOff>
      <xdr:row>13</xdr:row>
      <xdr:rowOff>165048</xdr:rowOff>
    </xdr:from>
    <xdr:to>
      <xdr:col>34</xdr:col>
      <xdr:colOff>1065388</xdr:colOff>
      <xdr:row>23</xdr:row>
      <xdr:rowOff>80330</xdr:rowOff>
    </xdr:to>
    <xdr:graphicFrame macro="">
      <xdr:nvGraphicFramePr>
        <xdr:cNvPr id="8" name="Chart 7">
          <a:extLst>
            <a:ext uri="{FF2B5EF4-FFF2-40B4-BE49-F238E27FC236}">
              <a16:creationId xmlns:a16="http://schemas.microsoft.com/office/drawing/2014/main" id="{ED50084A-98FD-FE52-EB76-B52FB355B4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36</xdr:col>
      <xdr:colOff>375575</xdr:colOff>
      <xdr:row>18</xdr:row>
      <xdr:rowOff>64761</xdr:rowOff>
    </xdr:from>
    <xdr:to>
      <xdr:col>39</xdr:col>
      <xdr:colOff>511673</xdr:colOff>
      <xdr:row>28</xdr:row>
      <xdr:rowOff>108026</xdr:rowOff>
    </xdr:to>
    <xdr:graphicFrame macro="">
      <xdr:nvGraphicFramePr>
        <xdr:cNvPr id="10" name="Chart 9">
          <a:extLst>
            <a:ext uri="{FF2B5EF4-FFF2-40B4-BE49-F238E27FC236}">
              <a16:creationId xmlns:a16="http://schemas.microsoft.com/office/drawing/2014/main" id="{19D06CB2-3EA1-B6F1-3747-72E41EDE1D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40</xdr:col>
      <xdr:colOff>61231</xdr:colOff>
      <xdr:row>17</xdr:row>
      <xdr:rowOff>105342</xdr:rowOff>
    </xdr:from>
    <xdr:to>
      <xdr:col>43</xdr:col>
      <xdr:colOff>384914</xdr:colOff>
      <xdr:row>29</xdr:row>
      <xdr:rowOff>182672</xdr:rowOff>
    </xdr:to>
    <xdr:graphicFrame macro="">
      <xdr:nvGraphicFramePr>
        <xdr:cNvPr id="11" name="Chart 10">
          <a:extLst>
            <a:ext uri="{FF2B5EF4-FFF2-40B4-BE49-F238E27FC236}">
              <a16:creationId xmlns:a16="http://schemas.microsoft.com/office/drawing/2014/main" id="{5A648A1D-11DB-EA51-01A0-F0B1826166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46</xdr:col>
      <xdr:colOff>0</xdr:colOff>
      <xdr:row>39</xdr:row>
      <xdr:rowOff>0</xdr:rowOff>
    </xdr:from>
    <xdr:to>
      <xdr:col>46</xdr:col>
      <xdr:colOff>574110</xdr:colOff>
      <xdr:row>41</xdr:row>
      <xdr:rowOff>189194</xdr:rowOff>
    </xdr:to>
    <xdr:sp macro="" textlink="'Pivot Tables'!L5">
      <xdr:nvSpPr>
        <xdr:cNvPr id="12" name="TextBox 11">
          <a:extLst>
            <a:ext uri="{FF2B5EF4-FFF2-40B4-BE49-F238E27FC236}">
              <a16:creationId xmlns:a16="http://schemas.microsoft.com/office/drawing/2014/main" id="{41C1D730-961D-434E-864B-48CA263076D8}"/>
            </a:ext>
          </a:extLst>
        </xdr:cNvPr>
        <xdr:cNvSpPr txBox="1"/>
      </xdr:nvSpPr>
      <xdr:spPr>
        <a:xfrm>
          <a:off x="42275342" y="7887484"/>
          <a:ext cx="574110" cy="593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203E258-C767-4CF6-A5A6-7E371519E1AF}" type="TxLink">
            <a:rPr lang="en-US" sz="300" b="0" i="0" u="none" strike="noStrike">
              <a:solidFill>
                <a:srgbClr val="000000"/>
              </a:solidFill>
              <a:latin typeface="Arial" panose="020B0604020202020204" pitchFamily="34" charset="0"/>
              <a:ea typeface="Calibri"/>
              <a:cs typeface="Arial" panose="020B0604020202020204" pitchFamily="34" charset="0"/>
            </a:rPr>
            <a:pPr algn="l"/>
            <a:t>1,72,70,00,000</a:t>
          </a:fld>
          <a:endParaRPr lang="en-IN" sz="100" b="1">
            <a:latin typeface="Arial" panose="020B0604020202020204" pitchFamily="34" charset="0"/>
            <a:cs typeface="Arial" panose="020B0604020202020204" pitchFamily="34" charset="0"/>
          </a:endParaRPr>
        </a:p>
      </xdr:txBody>
    </xdr:sp>
    <xdr:clientData/>
  </xdr:twoCellAnchor>
  <xdr:twoCellAnchor>
    <xdr:from>
      <xdr:col>45</xdr:col>
      <xdr:colOff>0</xdr:colOff>
      <xdr:row>35</xdr:row>
      <xdr:rowOff>0</xdr:rowOff>
    </xdr:from>
    <xdr:to>
      <xdr:col>45</xdr:col>
      <xdr:colOff>499011</xdr:colOff>
      <xdr:row>35</xdr:row>
      <xdr:rowOff>146346</xdr:rowOff>
    </xdr:to>
    <xdr:sp macro="" textlink="'Pivot Tables'!L5">
      <xdr:nvSpPr>
        <xdr:cNvPr id="13" name="TextBox 12">
          <a:extLst>
            <a:ext uri="{FF2B5EF4-FFF2-40B4-BE49-F238E27FC236}">
              <a16:creationId xmlns:a16="http://schemas.microsoft.com/office/drawing/2014/main" id="{EB086045-4E07-480F-84C7-686A3796D41A}"/>
            </a:ext>
          </a:extLst>
        </xdr:cNvPr>
        <xdr:cNvSpPr txBox="1"/>
      </xdr:nvSpPr>
      <xdr:spPr>
        <a:xfrm>
          <a:off x="41303271" y="7078511"/>
          <a:ext cx="499011" cy="146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203E258-C767-4CF6-A5A6-7E371519E1AF}" type="TxLink">
            <a:rPr lang="en-US" sz="300" b="0" i="0" u="none" strike="noStrike">
              <a:solidFill>
                <a:srgbClr val="000000"/>
              </a:solidFill>
              <a:latin typeface="Arial" panose="020B0604020202020204" pitchFamily="34" charset="0"/>
              <a:ea typeface="Calibri"/>
              <a:cs typeface="Arial" panose="020B0604020202020204" pitchFamily="34" charset="0"/>
            </a:rPr>
            <a:pPr algn="l"/>
            <a:t>1,72,70,00,000</a:t>
          </a:fld>
          <a:endParaRPr lang="en-IN" sz="100" b="1">
            <a:latin typeface="Arial" panose="020B0604020202020204" pitchFamily="34" charset="0"/>
            <a:cs typeface="Arial" panose="020B0604020202020204" pitchFamily="34" charset="0"/>
          </a:endParaRPr>
        </a:p>
      </xdr:txBody>
    </xdr:sp>
    <xdr:clientData/>
  </xdr:twoCellAnchor>
  <xdr:twoCellAnchor>
    <xdr:from>
      <xdr:col>48</xdr:col>
      <xdr:colOff>510553</xdr:colOff>
      <xdr:row>37</xdr:row>
      <xdr:rowOff>171450</xdr:rowOff>
    </xdr:from>
    <xdr:to>
      <xdr:col>52</xdr:col>
      <xdr:colOff>152400</xdr:colOff>
      <xdr:row>49</xdr:row>
      <xdr:rowOff>100013</xdr:rowOff>
    </xdr:to>
    <xdr:graphicFrame macro="">
      <xdr:nvGraphicFramePr>
        <xdr:cNvPr id="14" name="Chart 13">
          <a:extLst>
            <a:ext uri="{FF2B5EF4-FFF2-40B4-BE49-F238E27FC236}">
              <a16:creationId xmlns:a16="http://schemas.microsoft.com/office/drawing/2014/main" id="{E00BDCAD-53DC-E803-1881-2714AA76E7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58</xdr:col>
      <xdr:colOff>369793</xdr:colOff>
      <xdr:row>26</xdr:row>
      <xdr:rowOff>115980</xdr:rowOff>
    </xdr:from>
    <xdr:to>
      <xdr:col>63</xdr:col>
      <xdr:colOff>448233</xdr:colOff>
      <xdr:row>40</xdr:row>
      <xdr:rowOff>35298</xdr:rowOff>
    </xdr:to>
    <xdr:graphicFrame macro="">
      <xdr:nvGraphicFramePr>
        <xdr:cNvPr id="9" name="Chart 8">
          <a:extLst>
            <a:ext uri="{FF2B5EF4-FFF2-40B4-BE49-F238E27FC236}">
              <a16:creationId xmlns:a16="http://schemas.microsoft.com/office/drawing/2014/main" id="{4E121175-3E57-D13A-A8CC-AAE3E4F582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53</xdr:col>
      <xdr:colOff>91695</xdr:colOff>
      <xdr:row>13</xdr:row>
      <xdr:rowOff>121123</xdr:rowOff>
    </xdr:from>
    <xdr:to>
      <xdr:col>57</xdr:col>
      <xdr:colOff>66572</xdr:colOff>
      <xdr:row>27</xdr:row>
      <xdr:rowOff>77905</xdr:rowOff>
    </xdr:to>
    <xdr:graphicFrame macro="">
      <xdr:nvGraphicFramePr>
        <xdr:cNvPr id="15" name="Chart 14">
          <a:extLst>
            <a:ext uri="{FF2B5EF4-FFF2-40B4-BE49-F238E27FC236}">
              <a16:creationId xmlns:a16="http://schemas.microsoft.com/office/drawing/2014/main" id="{ABEF8D32-798A-CE5F-8D54-8919388263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64</xdr:col>
      <xdr:colOff>478897</xdr:colOff>
      <xdr:row>21</xdr:row>
      <xdr:rowOff>58545</xdr:rowOff>
    </xdr:from>
    <xdr:to>
      <xdr:col>68</xdr:col>
      <xdr:colOff>519987</xdr:colOff>
      <xdr:row>35</xdr:row>
      <xdr:rowOff>22809</xdr:rowOff>
    </xdr:to>
    <xdr:graphicFrame macro="">
      <xdr:nvGraphicFramePr>
        <xdr:cNvPr id="17" name="Chart 16">
          <a:extLst>
            <a:ext uri="{FF2B5EF4-FFF2-40B4-BE49-F238E27FC236}">
              <a16:creationId xmlns:a16="http://schemas.microsoft.com/office/drawing/2014/main" id="{C580F8E0-4C6B-C1EC-E447-7F3C9EA3E2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72</xdr:col>
      <xdr:colOff>295439</xdr:colOff>
      <xdr:row>24</xdr:row>
      <xdr:rowOff>146087</xdr:rowOff>
    </xdr:from>
    <xdr:to>
      <xdr:col>77</xdr:col>
      <xdr:colOff>483809</xdr:colOff>
      <xdr:row>38</xdr:row>
      <xdr:rowOff>77690</xdr:rowOff>
    </xdr:to>
    <xdr:graphicFrame macro="">
      <xdr:nvGraphicFramePr>
        <xdr:cNvPr id="19" name="Chart 18">
          <a:extLst>
            <a:ext uri="{FF2B5EF4-FFF2-40B4-BE49-F238E27FC236}">
              <a16:creationId xmlns:a16="http://schemas.microsoft.com/office/drawing/2014/main" id="{9CDD0C8E-5569-3402-1216-0FB71CBDF5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71</xdr:col>
      <xdr:colOff>649432</xdr:colOff>
      <xdr:row>49</xdr:row>
      <xdr:rowOff>176933</xdr:rowOff>
    </xdr:from>
    <xdr:to>
      <xdr:col>77</xdr:col>
      <xdr:colOff>149259</xdr:colOff>
      <xdr:row>58</xdr:row>
      <xdr:rowOff>1741</xdr:rowOff>
    </xdr:to>
    <xdr:graphicFrame macro="">
      <xdr:nvGraphicFramePr>
        <xdr:cNvPr id="16" name="Chart 15">
          <a:extLst>
            <a:ext uri="{FF2B5EF4-FFF2-40B4-BE49-F238E27FC236}">
              <a16:creationId xmlns:a16="http://schemas.microsoft.com/office/drawing/2014/main" id="{C75C6D0E-0EDB-4DF2-85AD-5850CF527A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79</xdr:col>
      <xdr:colOff>453571</xdr:colOff>
      <xdr:row>24</xdr:row>
      <xdr:rowOff>162983</xdr:rowOff>
    </xdr:from>
    <xdr:to>
      <xdr:col>86</xdr:col>
      <xdr:colOff>461131</xdr:colOff>
      <xdr:row>43</xdr:row>
      <xdr:rowOff>75594</xdr:rowOff>
    </xdr:to>
    <xdr:graphicFrame macro="">
      <xdr:nvGraphicFramePr>
        <xdr:cNvPr id="20" name="Chart 19">
          <a:extLst>
            <a:ext uri="{FF2B5EF4-FFF2-40B4-BE49-F238E27FC236}">
              <a16:creationId xmlns:a16="http://schemas.microsoft.com/office/drawing/2014/main" id="{539480D2-F7F5-B9D9-AFBE-09C54DC857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88</xdr:col>
      <xdr:colOff>477503</xdr:colOff>
      <xdr:row>33</xdr:row>
      <xdr:rowOff>148012</xdr:rowOff>
    </xdr:from>
    <xdr:to>
      <xdr:col>93</xdr:col>
      <xdr:colOff>1077828</xdr:colOff>
      <xdr:row>52</xdr:row>
      <xdr:rowOff>87730</xdr:rowOff>
    </xdr:to>
    <xdr:graphicFrame macro="">
      <xdr:nvGraphicFramePr>
        <xdr:cNvPr id="21" name="Chart 20">
          <a:extLst>
            <a:ext uri="{FF2B5EF4-FFF2-40B4-BE49-F238E27FC236}">
              <a16:creationId xmlns:a16="http://schemas.microsoft.com/office/drawing/2014/main" id="{8D78D2F6-45F1-E7D2-858A-015FD45D89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89</xdr:col>
      <xdr:colOff>0</xdr:colOff>
      <xdr:row>59</xdr:row>
      <xdr:rowOff>0</xdr:rowOff>
    </xdr:from>
    <xdr:to>
      <xdr:col>93</xdr:col>
      <xdr:colOff>1283367</xdr:colOff>
      <xdr:row>77</xdr:row>
      <xdr:rowOff>140244</xdr:rowOff>
    </xdr:to>
    <xdr:graphicFrame macro="">
      <xdr:nvGraphicFramePr>
        <xdr:cNvPr id="22" name="Chart 21">
          <a:extLst>
            <a:ext uri="{FF2B5EF4-FFF2-40B4-BE49-F238E27FC236}">
              <a16:creationId xmlns:a16="http://schemas.microsoft.com/office/drawing/2014/main" id="{482D0709-6AAF-4F73-818A-503BC56C5C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91</xdr:col>
      <xdr:colOff>380749</xdr:colOff>
      <xdr:row>10</xdr:row>
      <xdr:rowOff>65172</xdr:rowOff>
    </xdr:from>
    <xdr:to>
      <xdr:col>92</xdr:col>
      <xdr:colOff>148828</xdr:colOff>
      <xdr:row>17</xdr:row>
      <xdr:rowOff>131595</xdr:rowOff>
    </xdr:to>
    <mc:AlternateContent xmlns:mc="http://schemas.openxmlformats.org/markup-compatibility/2006" xmlns:a14="http://schemas.microsoft.com/office/drawing/2010/main">
      <mc:Choice Requires="a14">
        <xdr:graphicFrame macro="">
          <xdr:nvGraphicFramePr>
            <xdr:cNvPr id="23" name="Sale Team">
              <a:extLst>
                <a:ext uri="{FF2B5EF4-FFF2-40B4-BE49-F238E27FC236}">
                  <a16:creationId xmlns:a16="http://schemas.microsoft.com/office/drawing/2014/main" id="{BD96683A-86CF-E097-A4AB-BF6F4AC709E5}"/>
                </a:ext>
              </a:extLst>
            </xdr:cNvPr>
            <xdr:cNvGraphicFramePr/>
          </xdr:nvGraphicFramePr>
          <xdr:xfrm>
            <a:off x="0" y="0"/>
            <a:ext cx="0" cy="0"/>
          </xdr:xfrm>
          <a:graphic>
            <a:graphicData uri="http://schemas.microsoft.com/office/drawing/2010/slicer">
              <sle:slicer xmlns:sle="http://schemas.microsoft.com/office/drawing/2010/slicer" name="Sale Team"/>
            </a:graphicData>
          </a:graphic>
        </xdr:graphicFrame>
      </mc:Choice>
      <mc:Fallback xmlns="">
        <xdr:sp macro="" textlink="">
          <xdr:nvSpPr>
            <xdr:cNvPr id="0" name=""/>
            <xdr:cNvSpPr>
              <a:spLocks noTextEdit="1"/>
            </xdr:cNvSpPr>
          </xdr:nvSpPr>
          <xdr:spPr>
            <a:xfrm>
              <a:off x="84544708" y="2093644"/>
              <a:ext cx="1117453" cy="16803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95</xdr:col>
      <xdr:colOff>521366</xdr:colOff>
      <xdr:row>27</xdr:row>
      <xdr:rowOff>135480</xdr:rowOff>
    </xdr:from>
    <xdr:to>
      <xdr:col>102</xdr:col>
      <xdr:colOff>112058</xdr:colOff>
      <xdr:row>51</xdr:row>
      <xdr:rowOff>39220</xdr:rowOff>
    </xdr:to>
    <xdr:graphicFrame macro="">
      <xdr:nvGraphicFramePr>
        <xdr:cNvPr id="24" name="Chart 23">
          <a:extLst>
            <a:ext uri="{FF2B5EF4-FFF2-40B4-BE49-F238E27FC236}">
              <a16:creationId xmlns:a16="http://schemas.microsoft.com/office/drawing/2014/main" id="{57F1C2B9-9A6F-5431-E272-9831DCE864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kar Shikhare" refreshedDate="45876.856712731482" createdVersion="8" refreshedVersion="8" minRefreshableVersion="3" recordCount="1237" xr:uid="{1B24CEF2-DBDC-49D4-8942-AF4943C5E51F}">
  <cacheSource type="worksheet">
    <worksheetSource ref="A1:N1238" sheet="Dataset"/>
  </cacheSource>
  <cacheFields count="14">
    <cacheField name="Fees Status" numFmtId="0">
      <sharedItems count="2">
        <s v="Paid"/>
        <s v="Not Paid"/>
      </sharedItems>
    </cacheField>
    <cacheField name="Day" numFmtId="1">
      <sharedItems containsSemiMixedTypes="0" containsString="0" containsNumber="1" containsInteger="1" minValue="1" maxValue="31"/>
    </cacheField>
    <cacheField name="Month" numFmtId="14">
      <sharedItems count="12">
        <s v="Apr"/>
        <s v="Aug"/>
        <s v="Sep"/>
        <s v="Oct"/>
        <s v="Nov"/>
        <s v="Jan"/>
        <s v="Feb"/>
        <s v="Mar"/>
        <s v="May"/>
        <s v="Jun"/>
        <s v="Dec"/>
        <s v="Jul"/>
      </sharedItems>
    </cacheField>
    <cacheField name="Advertising Channel" numFmtId="0">
      <sharedItems count="6">
        <s v="Television Ad"/>
        <s v="Company Website"/>
        <s v="Facebook Page"/>
        <s v="WhatsApp"/>
        <s v="Google Ad"/>
        <s v="Youtube Channel"/>
      </sharedItems>
    </cacheField>
    <cacheField name="Advertisement " numFmtId="0">
      <sharedItems count="5">
        <s v="AD01-9364"/>
        <s v="AD01-9361"/>
        <s v="AD01-9362"/>
        <s v="AD01-9363"/>
        <s v="AD01-9365"/>
      </sharedItems>
    </cacheField>
    <cacheField name="Enrolled Courses" numFmtId="3">
      <sharedItems containsSemiMixedTypes="0" containsString="0" containsNumber="1" containsInteger="1" minValue="0" maxValue="5" count="6">
        <n v="1"/>
        <n v="3"/>
        <n v="2"/>
        <n v="4"/>
        <n v="5"/>
        <n v="0"/>
      </sharedItems>
    </cacheField>
    <cacheField name="Paid Fees" numFmtId="165">
      <sharedItems containsSemiMixedTypes="0" containsString="0" containsNumber="1" containsInteger="1" minValue="0" maxValue="38000000"/>
    </cacheField>
    <cacheField name="Number of phone calls" numFmtId="0">
      <sharedItems containsSemiMixedTypes="0" containsString="0" containsNumber="1" containsInteger="1" minValue="1" maxValue="7"/>
    </cacheField>
    <cacheField name="Average call duration" numFmtId="45">
      <sharedItems containsSemiMixedTypes="0" containsNonDate="0" containsDate="1" containsString="0" minDate="1899-12-30T00:02:00" maxDate="1899-12-30T00:12:55"/>
    </cacheField>
    <cacheField name="Training Models" numFmtId="0">
      <sharedItems containsBlank="1" count="5">
        <s v="GK"/>
        <s v="BE"/>
        <s v="CNI"/>
        <m/>
        <s v="FC"/>
      </sharedItems>
    </cacheField>
    <cacheField name="Training Levels" numFmtId="0">
      <sharedItems containsBlank="1" count="10">
        <s v="KJI. L4"/>
        <s v="Pre. L8"/>
        <s v="Fndn. L5"/>
        <s v="Fndn. L3"/>
        <s v="Fndn. L1"/>
        <s v="Pre. L2"/>
        <s v="Fndn. L6"/>
        <s v="Pre. L3"/>
        <s v="Pre. L4"/>
        <m/>
      </sharedItems>
    </cacheField>
    <cacheField name="Area Code" numFmtId="0">
      <sharedItems count="8">
        <s v="A7"/>
        <s v="B13"/>
        <s v="A1"/>
        <s v="A2"/>
        <s v="A4"/>
        <s v="B12"/>
        <s v="B18"/>
        <s v="C8"/>
      </sharedItems>
    </cacheField>
    <cacheField name="Sale Team" numFmtId="0">
      <sharedItems count="4">
        <s v="Salah"/>
        <s v="Mohammed"/>
        <s v="Abdullah"/>
        <s v="Ahmed"/>
      </sharedItems>
    </cacheField>
    <cacheField name="Consultant" numFmtId="0">
      <sharedItems count="16">
        <s v="Jood"/>
        <s v="Kisho"/>
        <s v="Rony"/>
        <s v="Adam"/>
        <s v="Khalil"/>
        <s v="Sahar"/>
        <s v="Mohmed"/>
        <s v="Dary"/>
        <s v="Reham"/>
        <s v="Dina"/>
        <s v="John"/>
        <s v="Hisham"/>
        <s v="Ahmed"/>
        <s v="Hany"/>
        <s v="Kenza"/>
        <s v="Habib"/>
      </sharedItems>
    </cacheField>
  </cacheFields>
  <extLst>
    <ext xmlns:x14="http://schemas.microsoft.com/office/spreadsheetml/2009/9/main" uri="{725AE2AE-9491-48be-B2B4-4EB974FC3084}">
      <x14:pivotCacheDefinition pivotCacheId="8066467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7">
  <r>
    <x v="0"/>
    <n v="1"/>
    <x v="0"/>
    <x v="0"/>
    <x v="0"/>
    <x v="0"/>
    <n v="7000000"/>
    <n v="3"/>
    <d v="1899-12-30T00:02:00"/>
    <x v="0"/>
    <x v="0"/>
    <x v="0"/>
    <x v="0"/>
    <x v="0"/>
  </r>
  <r>
    <x v="0"/>
    <n v="10"/>
    <x v="1"/>
    <x v="0"/>
    <x v="1"/>
    <x v="1"/>
    <n v="11000000"/>
    <n v="1"/>
    <d v="1899-12-30T00:02:00"/>
    <x v="0"/>
    <x v="1"/>
    <x v="1"/>
    <x v="1"/>
    <x v="1"/>
  </r>
  <r>
    <x v="0"/>
    <n v="20"/>
    <x v="2"/>
    <x v="1"/>
    <x v="0"/>
    <x v="2"/>
    <n v="12000000"/>
    <n v="3"/>
    <d v="1899-12-30T00:02:00"/>
    <x v="0"/>
    <x v="2"/>
    <x v="2"/>
    <x v="1"/>
    <x v="2"/>
  </r>
  <r>
    <x v="0"/>
    <n v="23"/>
    <x v="2"/>
    <x v="2"/>
    <x v="0"/>
    <x v="3"/>
    <n v="15000000"/>
    <n v="1"/>
    <d v="1899-12-30T00:02:00"/>
    <x v="0"/>
    <x v="2"/>
    <x v="3"/>
    <x v="2"/>
    <x v="3"/>
  </r>
  <r>
    <x v="0"/>
    <n v="11"/>
    <x v="2"/>
    <x v="0"/>
    <x v="0"/>
    <x v="4"/>
    <n v="25000000"/>
    <n v="2"/>
    <d v="1899-12-30T00:02:00"/>
    <x v="0"/>
    <x v="3"/>
    <x v="1"/>
    <x v="3"/>
    <x v="4"/>
  </r>
  <r>
    <x v="0"/>
    <n v="2"/>
    <x v="3"/>
    <x v="3"/>
    <x v="1"/>
    <x v="1"/>
    <n v="12000000"/>
    <n v="1"/>
    <d v="1899-12-30T00:02:00"/>
    <x v="0"/>
    <x v="4"/>
    <x v="4"/>
    <x v="0"/>
    <x v="5"/>
  </r>
  <r>
    <x v="0"/>
    <n v="6"/>
    <x v="3"/>
    <x v="3"/>
    <x v="2"/>
    <x v="4"/>
    <n v="20000000"/>
    <n v="2"/>
    <d v="1899-12-30T00:02:00"/>
    <x v="0"/>
    <x v="0"/>
    <x v="5"/>
    <x v="3"/>
    <x v="4"/>
  </r>
  <r>
    <x v="0"/>
    <n v="26"/>
    <x v="4"/>
    <x v="2"/>
    <x v="3"/>
    <x v="0"/>
    <n v="19000000"/>
    <n v="2"/>
    <d v="1899-12-30T00:02:00"/>
    <x v="1"/>
    <x v="5"/>
    <x v="3"/>
    <x v="0"/>
    <x v="5"/>
  </r>
  <r>
    <x v="0"/>
    <n v="15"/>
    <x v="4"/>
    <x v="3"/>
    <x v="2"/>
    <x v="2"/>
    <n v="38000000"/>
    <n v="2"/>
    <d v="1899-12-30T00:02:00"/>
    <x v="1"/>
    <x v="4"/>
    <x v="6"/>
    <x v="1"/>
    <x v="1"/>
  </r>
  <r>
    <x v="0"/>
    <n v="17"/>
    <x v="4"/>
    <x v="4"/>
    <x v="1"/>
    <x v="2"/>
    <n v="12000000"/>
    <n v="2"/>
    <d v="1899-12-30T00:02:00"/>
    <x v="0"/>
    <x v="6"/>
    <x v="7"/>
    <x v="1"/>
    <x v="6"/>
  </r>
  <r>
    <x v="0"/>
    <n v="1"/>
    <x v="0"/>
    <x v="0"/>
    <x v="0"/>
    <x v="0"/>
    <n v="7000000"/>
    <n v="3"/>
    <d v="1899-12-30T00:02:00"/>
    <x v="0"/>
    <x v="0"/>
    <x v="0"/>
    <x v="0"/>
    <x v="0"/>
  </r>
  <r>
    <x v="0"/>
    <n v="2"/>
    <x v="3"/>
    <x v="3"/>
    <x v="1"/>
    <x v="1"/>
    <n v="12000000"/>
    <n v="1"/>
    <d v="1899-12-30T00:02:00"/>
    <x v="0"/>
    <x v="4"/>
    <x v="4"/>
    <x v="0"/>
    <x v="1"/>
  </r>
  <r>
    <x v="0"/>
    <n v="6"/>
    <x v="3"/>
    <x v="3"/>
    <x v="2"/>
    <x v="4"/>
    <n v="20000000"/>
    <n v="2"/>
    <d v="1899-12-30T00:02:00"/>
    <x v="0"/>
    <x v="0"/>
    <x v="5"/>
    <x v="3"/>
    <x v="7"/>
  </r>
  <r>
    <x v="0"/>
    <n v="26"/>
    <x v="4"/>
    <x v="2"/>
    <x v="3"/>
    <x v="0"/>
    <n v="19000000"/>
    <n v="2"/>
    <d v="1899-12-30T00:02:00"/>
    <x v="1"/>
    <x v="5"/>
    <x v="3"/>
    <x v="0"/>
    <x v="8"/>
  </r>
  <r>
    <x v="0"/>
    <n v="2"/>
    <x v="3"/>
    <x v="3"/>
    <x v="1"/>
    <x v="1"/>
    <n v="12000000"/>
    <n v="1"/>
    <d v="1899-12-30T00:02:00"/>
    <x v="0"/>
    <x v="4"/>
    <x v="4"/>
    <x v="0"/>
    <x v="2"/>
  </r>
  <r>
    <x v="0"/>
    <n v="6"/>
    <x v="3"/>
    <x v="3"/>
    <x v="2"/>
    <x v="4"/>
    <n v="20000000"/>
    <n v="2"/>
    <d v="1899-12-30T00:02:00"/>
    <x v="0"/>
    <x v="0"/>
    <x v="5"/>
    <x v="3"/>
    <x v="7"/>
  </r>
  <r>
    <x v="0"/>
    <n v="26"/>
    <x v="4"/>
    <x v="2"/>
    <x v="3"/>
    <x v="0"/>
    <n v="19000000"/>
    <n v="2"/>
    <d v="1899-12-30T00:02:00"/>
    <x v="1"/>
    <x v="5"/>
    <x v="3"/>
    <x v="0"/>
    <x v="8"/>
  </r>
  <r>
    <x v="0"/>
    <n v="12"/>
    <x v="5"/>
    <x v="0"/>
    <x v="2"/>
    <x v="1"/>
    <n v="11000000"/>
    <n v="1"/>
    <d v="1899-12-30T00:02:00"/>
    <x v="0"/>
    <x v="7"/>
    <x v="7"/>
    <x v="1"/>
    <x v="6"/>
  </r>
  <r>
    <x v="0"/>
    <n v="11"/>
    <x v="6"/>
    <x v="1"/>
    <x v="1"/>
    <x v="4"/>
    <n v="25000000"/>
    <n v="1"/>
    <d v="1899-12-30T00:02:00"/>
    <x v="0"/>
    <x v="2"/>
    <x v="5"/>
    <x v="1"/>
    <x v="2"/>
  </r>
  <r>
    <x v="0"/>
    <n v="11"/>
    <x v="7"/>
    <x v="2"/>
    <x v="2"/>
    <x v="2"/>
    <n v="38000000"/>
    <n v="2"/>
    <d v="1899-12-30T00:02:00"/>
    <x v="1"/>
    <x v="7"/>
    <x v="5"/>
    <x v="0"/>
    <x v="7"/>
  </r>
  <r>
    <x v="0"/>
    <n v="3"/>
    <x v="0"/>
    <x v="3"/>
    <x v="2"/>
    <x v="3"/>
    <n v="15000000"/>
    <n v="1"/>
    <d v="1899-12-30T00:02:00"/>
    <x v="0"/>
    <x v="7"/>
    <x v="0"/>
    <x v="0"/>
    <x v="5"/>
  </r>
  <r>
    <x v="0"/>
    <n v="11"/>
    <x v="8"/>
    <x v="0"/>
    <x v="1"/>
    <x v="0"/>
    <n v="19000000"/>
    <n v="1"/>
    <d v="1899-12-30T00:02:00"/>
    <x v="1"/>
    <x v="0"/>
    <x v="1"/>
    <x v="2"/>
    <x v="8"/>
  </r>
  <r>
    <x v="0"/>
    <n v="10"/>
    <x v="8"/>
    <x v="3"/>
    <x v="0"/>
    <x v="3"/>
    <n v="20000000"/>
    <n v="3"/>
    <d v="1899-12-30T00:02:00"/>
    <x v="0"/>
    <x v="5"/>
    <x v="3"/>
    <x v="2"/>
    <x v="8"/>
  </r>
  <r>
    <x v="0"/>
    <n v="5"/>
    <x v="8"/>
    <x v="3"/>
    <x v="1"/>
    <x v="0"/>
    <n v="7000000"/>
    <n v="2"/>
    <d v="1899-12-30T00:02:00"/>
    <x v="0"/>
    <x v="7"/>
    <x v="6"/>
    <x v="1"/>
    <x v="6"/>
  </r>
  <r>
    <x v="0"/>
    <n v="12"/>
    <x v="9"/>
    <x v="1"/>
    <x v="1"/>
    <x v="2"/>
    <n v="38000000"/>
    <n v="3"/>
    <d v="1899-12-30T00:02:00"/>
    <x v="1"/>
    <x v="4"/>
    <x v="4"/>
    <x v="0"/>
    <x v="7"/>
  </r>
  <r>
    <x v="0"/>
    <n v="26"/>
    <x v="1"/>
    <x v="0"/>
    <x v="2"/>
    <x v="3"/>
    <n v="20000000"/>
    <n v="3"/>
    <d v="1899-12-30T00:02:00"/>
    <x v="2"/>
    <x v="0"/>
    <x v="0"/>
    <x v="3"/>
    <x v="4"/>
  </r>
  <r>
    <x v="0"/>
    <n v="25"/>
    <x v="2"/>
    <x v="0"/>
    <x v="0"/>
    <x v="1"/>
    <n v="15000000"/>
    <n v="3"/>
    <d v="1899-12-30T00:02:00"/>
    <x v="0"/>
    <x v="7"/>
    <x v="2"/>
    <x v="1"/>
    <x v="6"/>
  </r>
  <r>
    <x v="0"/>
    <n v="11"/>
    <x v="2"/>
    <x v="0"/>
    <x v="2"/>
    <x v="1"/>
    <n v="12000000"/>
    <n v="4"/>
    <d v="1899-12-30T00:02:00"/>
    <x v="0"/>
    <x v="1"/>
    <x v="0"/>
    <x v="3"/>
    <x v="4"/>
  </r>
  <r>
    <x v="0"/>
    <n v="18"/>
    <x v="2"/>
    <x v="0"/>
    <x v="1"/>
    <x v="3"/>
    <n v="15000000"/>
    <n v="2"/>
    <d v="1899-12-30T00:02:00"/>
    <x v="0"/>
    <x v="4"/>
    <x v="6"/>
    <x v="0"/>
    <x v="9"/>
  </r>
  <r>
    <x v="0"/>
    <n v="1"/>
    <x v="3"/>
    <x v="2"/>
    <x v="2"/>
    <x v="1"/>
    <n v="15000000"/>
    <n v="3"/>
    <d v="1899-12-30T00:02:00"/>
    <x v="0"/>
    <x v="4"/>
    <x v="2"/>
    <x v="1"/>
    <x v="6"/>
  </r>
  <r>
    <x v="0"/>
    <n v="1"/>
    <x v="3"/>
    <x v="0"/>
    <x v="2"/>
    <x v="2"/>
    <n v="12000000"/>
    <n v="6"/>
    <d v="1899-12-30T00:02:00"/>
    <x v="0"/>
    <x v="4"/>
    <x v="2"/>
    <x v="0"/>
    <x v="5"/>
  </r>
  <r>
    <x v="0"/>
    <n v="8"/>
    <x v="3"/>
    <x v="0"/>
    <x v="2"/>
    <x v="1"/>
    <n v="15000000"/>
    <n v="3"/>
    <d v="1899-12-30T00:02:00"/>
    <x v="0"/>
    <x v="3"/>
    <x v="0"/>
    <x v="0"/>
    <x v="9"/>
  </r>
  <r>
    <x v="0"/>
    <n v="20"/>
    <x v="3"/>
    <x v="1"/>
    <x v="1"/>
    <x v="4"/>
    <n v="25000000"/>
    <n v="4"/>
    <d v="1899-12-30T00:02:00"/>
    <x v="0"/>
    <x v="3"/>
    <x v="2"/>
    <x v="0"/>
    <x v="10"/>
  </r>
  <r>
    <x v="0"/>
    <n v="20"/>
    <x v="3"/>
    <x v="4"/>
    <x v="0"/>
    <x v="2"/>
    <n v="12000000"/>
    <n v="4"/>
    <d v="1899-12-30T00:02:00"/>
    <x v="0"/>
    <x v="8"/>
    <x v="3"/>
    <x v="2"/>
    <x v="11"/>
  </r>
  <r>
    <x v="0"/>
    <n v="1"/>
    <x v="3"/>
    <x v="1"/>
    <x v="1"/>
    <x v="1"/>
    <n v="15000000"/>
    <n v="5"/>
    <d v="1899-12-30T00:02:00"/>
    <x v="0"/>
    <x v="2"/>
    <x v="4"/>
    <x v="2"/>
    <x v="8"/>
  </r>
  <r>
    <x v="0"/>
    <n v="20"/>
    <x v="3"/>
    <x v="1"/>
    <x v="2"/>
    <x v="2"/>
    <n v="10000000"/>
    <n v="1"/>
    <d v="1899-12-30T00:02:00"/>
    <x v="0"/>
    <x v="8"/>
    <x v="5"/>
    <x v="0"/>
    <x v="12"/>
  </r>
  <r>
    <x v="0"/>
    <n v="1"/>
    <x v="3"/>
    <x v="1"/>
    <x v="0"/>
    <x v="1"/>
    <n v="12000000"/>
    <n v="2"/>
    <d v="1899-12-30T00:02:00"/>
    <x v="0"/>
    <x v="3"/>
    <x v="1"/>
    <x v="0"/>
    <x v="7"/>
  </r>
  <r>
    <x v="0"/>
    <n v="4"/>
    <x v="3"/>
    <x v="0"/>
    <x v="1"/>
    <x v="1"/>
    <n v="11000000"/>
    <n v="6"/>
    <d v="1899-12-30T00:02:00"/>
    <x v="0"/>
    <x v="4"/>
    <x v="6"/>
    <x v="1"/>
    <x v="2"/>
  </r>
  <r>
    <x v="0"/>
    <n v="3"/>
    <x v="4"/>
    <x v="2"/>
    <x v="0"/>
    <x v="0"/>
    <n v="19000000"/>
    <n v="3"/>
    <d v="1899-12-30T00:02:00"/>
    <x v="1"/>
    <x v="8"/>
    <x v="6"/>
    <x v="0"/>
    <x v="7"/>
  </r>
  <r>
    <x v="0"/>
    <n v="22"/>
    <x v="4"/>
    <x v="2"/>
    <x v="0"/>
    <x v="0"/>
    <n v="19000000"/>
    <n v="1"/>
    <d v="1899-12-30T00:02:00"/>
    <x v="1"/>
    <x v="1"/>
    <x v="7"/>
    <x v="3"/>
    <x v="13"/>
  </r>
  <r>
    <x v="0"/>
    <n v="13"/>
    <x v="4"/>
    <x v="4"/>
    <x v="4"/>
    <x v="3"/>
    <n v="20000000"/>
    <n v="3"/>
    <d v="1899-12-30T00:02:00"/>
    <x v="2"/>
    <x v="0"/>
    <x v="2"/>
    <x v="2"/>
    <x v="8"/>
  </r>
  <r>
    <x v="0"/>
    <n v="17"/>
    <x v="4"/>
    <x v="4"/>
    <x v="2"/>
    <x v="0"/>
    <n v="7000000"/>
    <n v="1"/>
    <d v="1899-12-30T00:02:00"/>
    <x v="0"/>
    <x v="0"/>
    <x v="3"/>
    <x v="0"/>
    <x v="7"/>
  </r>
  <r>
    <x v="0"/>
    <n v="30"/>
    <x v="4"/>
    <x v="4"/>
    <x v="1"/>
    <x v="2"/>
    <n v="10000000"/>
    <n v="1"/>
    <d v="1899-12-30T00:02:00"/>
    <x v="0"/>
    <x v="2"/>
    <x v="3"/>
    <x v="2"/>
    <x v="11"/>
  </r>
  <r>
    <x v="0"/>
    <n v="29"/>
    <x v="4"/>
    <x v="2"/>
    <x v="2"/>
    <x v="1"/>
    <n v="15000000"/>
    <n v="1"/>
    <d v="1899-12-30T00:02:00"/>
    <x v="0"/>
    <x v="0"/>
    <x v="1"/>
    <x v="1"/>
    <x v="1"/>
  </r>
  <r>
    <x v="0"/>
    <n v="6"/>
    <x v="4"/>
    <x v="4"/>
    <x v="4"/>
    <x v="0"/>
    <n v="7000000"/>
    <n v="3"/>
    <d v="1899-12-30T00:02:00"/>
    <x v="0"/>
    <x v="8"/>
    <x v="7"/>
    <x v="3"/>
    <x v="13"/>
  </r>
  <r>
    <x v="0"/>
    <n v="22"/>
    <x v="10"/>
    <x v="1"/>
    <x v="0"/>
    <x v="4"/>
    <n v="25000000"/>
    <n v="6"/>
    <d v="1899-12-30T00:02:00"/>
    <x v="0"/>
    <x v="7"/>
    <x v="5"/>
    <x v="3"/>
    <x v="4"/>
  </r>
  <r>
    <x v="0"/>
    <n v="3"/>
    <x v="10"/>
    <x v="2"/>
    <x v="1"/>
    <x v="4"/>
    <n v="20000000"/>
    <n v="4"/>
    <d v="1899-12-30T00:02:00"/>
    <x v="0"/>
    <x v="4"/>
    <x v="7"/>
    <x v="1"/>
    <x v="6"/>
  </r>
  <r>
    <x v="0"/>
    <n v="12"/>
    <x v="5"/>
    <x v="0"/>
    <x v="2"/>
    <x v="1"/>
    <n v="11000000"/>
    <n v="1"/>
    <d v="1899-12-30T00:02:00"/>
    <x v="0"/>
    <x v="7"/>
    <x v="7"/>
    <x v="1"/>
    <x v="6"/>
  </r>
  <r>
    <x v="0"/>
    <n v="11"/>
    <x v="6"/>
    <x v="1"/>
    <x v="1"/>
    <x v="4"/>
    <n v="25000000"/>
    <n v="1"/>
    <d v="1899-12-30T00:02:00"/>
    <x v="0"/>
    <x v="2"/>
    <x v="5"/>
    <x v="1"/>
    <x v="2"/>
  </r>
  <r>
    <x v="0"/>
    <n v="11"/>
    <x v="7"/>
    <x v="2"/>
    <x v="2"/>
    <x v="2"/>
    <n v="38000000"/>
    <n v="2"/>
    <d v="1899-12-30T00:02:00"/>
    <x v="1"/>
    <x v="7"/>
    <x v="5"/>
    <x v="0"/>
    <x v="7"/>
  </r>
  <r>
    <x v="0"/>
    <n v="3"/>
    <x v="0"/>
    <x v="3"/>
    <x v="2"/>
    <x v="3"/>
    <n v="15000000"/>
    <n v="1"/>
    <d v="1899-12-30T00:02:00"/>
    <x v="0"/>
    <x v="7"/>
    <x v="0"/>
    <x v="0"/>
    <x v="5"/>
  </r>
  <r>
    <x v="0"/>
    <n v="11"/>
    <x v="8"/>
    <x v="0"/>
    <x v="1"/>
    <x v="0"/>
    <n v="19000000"/>
    <n v="1"/>
    <d v="1899-12-30T00:02:00"/>
    <x v="1"/>
    <x v="0"/>
    <x v="1"/>
    <x v="2"/>
    <x v="8"/>
  </r>
  <r>
    <x v="0"/>
    <n v="10"/>
    <x v="8"/>
    <x v="3"/>
    <x v="0"/>
    <x v="3"/>
    <n v="20000000"/>
    <n v="3"/>
    <d v="1899-12-30T00:02:00"/>
    <x v="0"/>
    <x v="5"/>
    <x v="3"/>
    <x v="2"/>
    <x v="8"/>
  </r>
  <r>
    <x v="0"/>
    <n v="5"/>
    <x v="8"/>
    <x v="3"/>
    <x v="1"/>
    <x v="0"/>
    <n v="7000000"/>
    <n v="2"/>
    <d v="1899-12-30T00:02:00"/>
    <x v="0"/>
    <x v="7"/>
    <x v="6"/>
    <x v="1"/>
    <x v="6"/>
  </r>
  <r>
    <x v="0"/>
    <n v="12"/>
    <x v="9"/>
    <x v="1"/>
    <x v="1"/>
    <x v="2"/>
    <n v="38000000"/>
    <n v="3"/>
    <d v="1899-12-30T00:02:00"/>
    <x v="1"/>
    <x v="4"/>
    <x v="4"/>
    <x v="0"/>
    <x v="7"/>
  </r>
  <r>
    <x v="0"/>
    <n v="26"/>
    <x v="1"/>
    <x v="0"/>
    <x v="2"/>
    <x v="3"/>
    <n v="20000000"/>
    <n v="3"/>
    <d v="1899-12-30T00:02:00"/>
    <x v="2"/>
    <x v="0"/>
    <x v="0"/>
    <x v="3"/>
    <x v="4"/>
  </r>
  <r>
    <x v="1"/>
    <n v="11"/>
    <x v="7"/>
    <x v="2"/>
    <x v="0"/>
    <x v="5"/>
    <n v="0"/>
    <n v="1"/>
    <d v="1899-12-30T00:02:00"/>
    <x v="3"/>
    <x v="9"/>
    <x v="2"/>
    <x v="0"/>
    <x v="9"/>
  </r>
  <r>
    <x v="1"/>
    <n v="14"/>
    <x v="0"/>
    <x v="0"/>
    <x v="1"/>
    <x v="5"/>
    <n v="0"/>
    <n v="5"/>
    <d v="1899-12-30T00:02:00"/>
    <x v="3"/>
    <x v="9"/>
    <x v="3"/>
    <x v="1"/>
    <x v="6"/>
  </r>
  <r>
    <x v="1"/>
    <n v="1"/>
    <x v="8"/>
    <x v="0"/>
    <x v="1"/>
    <x v="5"/>
    <n v="0"/>
    <n v="1"/>
    <d v="1899-12-30T00:02:00"/>
    <x v="3"/>
    <x v="9"/>
    <x v="0"/>
    <x v="2"/>
    <x v="8"/>
  </r>
  <r>
    <x v="1"/>
    <n v="12"/>
    <x v="9"/>
    <x v="1"/>
    <x v="0"/>
    <x v="5"/>
    <n v="0"/>
    <n v="2"/>
    <d v="1899-12-30T00:02:00"/>
    <x v="3"/>
    <x v="9"/>
    <x v="3"/>
    <x v="1"/>
    <x v="1"/>
  </r>
  <r>
    <x v="1"/>
    <n v="7"/>
    <x v="3"/>
    <x v="4"/>
    <x v="1"/>
    <x v="5"/>
    <n v="0"/>
    <n v="6"/>
    <d v="1899-12-30T00:02:00"/>
    <x v="3"/>
    <x v="9"/>
    <x v="5"/>
    <x v="3"/>
    <x v="13"/>
  </r>
  <r>
    <x v="1"/>
    <n v="5"/>
    <x v="3"/>
    <x v="2"/>
    <x v="2"/>
    <x v="5"/>
    <n v="0"/>
    <n v="4"/>
    <d v="1899-12-30T00:02:00"/>
    <x v="3"/>
    <x v="9"/>
    <x v="7"/>
    <x v="1"/>
    <x v="1"/>
  </r>
  <r>
    <x v="1"/>
    <n v="23"/>
    <x v="4"/>
    <x v="0"/>
    <x v="1"/>
    <x v="5"/>
    <n v="0"/>
    <n v="3"/>
    <d v="1899-12-30T00:02:00"/>
    <x v="3"/>
    <x v="9"/>
    <x v="0"/>
    <x v="3"/>
    <x v="4"/>
  </r>
  <r>
    <x v="1"/>
    <n v="19"/>
    <x v="4"/>
    <x v="2"/>
    <x v="1"/>
    <x v="5"/>
    <n v="0"/>
    <n v="1"/>
    <d v="1899-12-30T00:02:00"/>
    <x v="3"/>
    <x v="9"/>
    <x v="6"/>
    <x v="0"/>
    <x v="10"/>
  </r>
  <r>
    <x v="1"/>
    <n v="10"/>
    <x v="10"/>
    <x v="4"/>
    <x v="0"/>
    <x v="5"/>
    <n v="0"/>
    <n v="1"/>
    <d v="1899-12-30T00:02:00"/>
    <x v="3"/>
    <x v="9"/>
    <x v="6"/>
    <x v="0"/>
    <x v="5"/>
  </r>
  <r>
    <x v="1"/>
    <n v="11"/>
    <x v="7"/>
    <x v="2"/>
    <x v="0"/>
    <x v="5"/>
    <n v="0"/>
    <n v="1"/>
    <d v="1899-12-30T00:02:00"/>
    <x v="3"/>
    <x v="9"/>
    <x v="2"/>
    <x v="0"/>
    <x v="9"/>
  </r>
  <r>
    <x v="1"/>
    <n v="14"/>
    <x v="0"/>
    <x v="0"/>
    <x v="1"/>
    <x v="5"/>
    <n v="0"/>
    <n v="5"/>
    <d v="1899-12-30T00:02:00"/>
    <x v="3"/>
    <x v="9"/>
    <x v="3"/>
    <x v="1"/>
    <x v="6"/>
  </r>
  <r>
    <x v="1"/>
    <n v="1"/>
    <x v="8"/>
    <x v="0"/>
    <x v="1"/>
    <x v="5"/>
    <n v="0"/>
    <n v="1"/>
    <d v="1899-12-30T00:02:00"/>
    <x v="3"/>
    <x v="9"/>
    <x v="0"/>
    <x v="2"/>
    <x v="8"/>
  </r>
  <r>
    <x v="1"/>
    <n v="12"/>
    <x v="9"/>
    <x v="1"/>
    <x v="0"/>
    <x v="5"/>
    <n v="0"/>
    <n v="2"/>
    <d v="1899-12-30T00:02:00"/>
    <x v="3"/>
    <x v="9"/>
    <x v="3"/>
    <x v="1"/>
    <x v="1"/>
  </r>
  <r>
    <x v="0"/>
    <n v="1"/>
    <x v="8"/>
    <x v="2"/>
    <x v="1"/>
    <x v="4"/>
    <n v="25000000"/>
    <n v="1"/>
    <d v="1899-12-30T00:02:00"/>
    <x v="0"/>
    <x v="5"/>
    <x v="2"/>
    <x v="3"/>
    <x v="13"/>
  </r>
  <r>
    <x v="0"/>
    <n v="12"/>
    <x v="9"/>
    <x v="0"/>
    <x v="2"/>
    <x v="2"/>
    <n v="12000000"/>
    <n v="2"/>
    <d v="1899-12-30T00:02:00"/>
    <x v="0"/>
    <x v="0"/>
    <x v="2"/>
    <x v="1"/>
    <x v="1"/>
  </r>
  <r>
    <x v="0"/>
    <n v="12"/>
    <x v="9"/>
    <x v="0"/>
    <x v="2"/>
    <x v="1"/>
    <n v="15000000"/>
    <n v="5"/>
    <d v="1899-12-30T00:02:00"/>
    <x v="0"/>
    <x v="4"/>
    <x v="6"/>
    <x v="0"/>
    <x v="10"/>
  </r>
  <r>
    <x v="0"/>
    <n v="10"/>
    <x v="1"/>
    <x v="0"/>
    <x v="4"/>
    <x v="2"/>
    <n v="12000000"/>
    <n v="4"/>
    <d v="1899-12-30T00:02:00"/>
    <x v="0"/>
    <x v="6"/>
    <x v="3"/>
    <x v="1"/>
    <x v="2"/>
  </r>
  <r>
    <x v="0"/>
    <n v="23"/>
    <x v="2"/>
    <x v="0"/>
    <x v="2"/>
    <x v="4"/>
    <n v="20000000"/>
    <n v="1"/>
    <d v="1899-12-30T00:02:00"/>
    <x v="0"/>
    <x v="5"/>
    <x v="2"/>
    <x v="2"/>
    <x v="11"/>
  </r>
  <r>
    <x v="0"/>
    <n v="8"/>
    <x v="2"/>
    <x v="2"/>
    <x v="0"/>
    <x v="4"/>
    <n v="21000000"/>
    <n v="4"/>
    <d v="1899-12-30T00:02:00"/>
    <x v="0"/>
    <x v="0"/>
    <x v="5"/>
    <x v="0"/>
    <x v="12"/>
  </r>
  <r>
    <x v="0"/>
    <n v="22"/>
    <x v="2"/>
    <x v="0"/>
    <x v="2"/>
    <x v="3"/>
    <n v="15000000"/>
    <n v="3"/>
    <d v="1899-12-30T00:02:00"/>
    <x v="0"/>
    <x v="4"/>
    <x v="5"/>
    <x v="1"/>
    <x v="2"/>
  </r>
  <r>
    <x v="0"/>
    <n v="30"/>
    <x v="2"/>
    <x v="0"/>
    <x v="3"/>
    <x v="2"/>
    <n v="12000000"/>
    <n v="3"/>
    <d v="1899-12-30T00:02:00"/>
    <x v="0"/>
    <x v="5"/>
    <x v="6"/>
    <x v="0"/>
    <x v="10"/>
  </r>
  <r>
    <x v="0"/>
    <n v="8"/>
    <x v="3"/>
    <x v="0"/>
    <x v="1"/>
    <x v="3"/>
    <n v="20000000"/>
    <n v="3"/>
    <d v="1899-12-30T00:02:00"/>
    <x v="0"/>
    <x v="8"/>
    <x v="5"/>
    <x v="2"/>
    <x v="8"/>
  </r>
  <r>
    <x v="0"/>
    <n v="30"/>
    <x v="3"/>
    <x v="3"/>
    <x v="2"/>
    <x v="1"/>
    <n v="15000000"/>
    <n v="1"/>
    <d v="1899-12-30T00:02:00"/>
    <x v="0"/>
    <x v="0"/>
    <x v="1"/>
    <x v="1"/>
    <x v="1"/>
  </r>
  <r>
    <x v="0"/>
    <n v="9"/>
    <x v="3"/>
    <x v="1"/>
    <x v="2"/>
    <x v="1"/>
    <n v="15000000"/>
    <n v="3"/>
    <d v="1899-12-30T00:02:00"/>
    <x v="0"/>
    <x v="4"/>
    <x v="7"/>
    <x v="1"/>
    <x v="14"/>
  </r>
  <r>
    <x v="0"/>
    <n v="11"/>
    <x v="3"/>
    <x v="3"/>
    <x v="2"/>
    <x v="1"/>
    <n v="15000000"/>
    <n v="2"/>
    <d v="1899-12-30T00:02:00"/>
    <x v="0"/>
    <x v="7"/>
    <x v="7"/>
    <x v="1"/>
    <x v="6"/>
  </r>
  <r>
    <x v="0"/>
    <n v="26"/>
    <x v="3"/>
    <x v="0"/>
    <x v="1"/>
    <x v="0"/>
    <n v="7000000"/>
    <n v="2"/>
    <d v="1899-12-30T00:02:00"/>
    <x v="0"/>
    <x v="8"/>
    <x v="7"/>
    <x v="0"/>
    <x v="9"/>
  </r>
  <r>
    <x v="0"/>
    <n v="22"/>
    <x v="4"/>
    <x v="2"/>
    <x v="1"/>
    <x v="2"/>
    <n v="38000000"/>
    <n v="4"/>
    <d v="1899-12-30T00:02:00"/>
    <x v="1"/>
    <x v="7"/>
    <x v="3"/>
    <x v="3"/>
    <x v="13"/>
  </r>
  <r>
    <x v="0"/>
    <n v="3"/>
    <x v="4"/>
    <x v="4"/>
    <x v="1"/>
    <x v="0"/>
    <n v="19000000"/>
    <n v="1"/>
    <d v="1899-12-30T00:02:00"/>
    <x v="1"/>
    <x v="4"/>
    <x v="0"/>
    <x v="1"/>
    <x v="2"/>
  </r>
  <r>
    <x v="0"/>
    <n v="8"/>
    <x v="4"/>
    <x v="4"/>
    <x v="0"/>
    <x v="2"/>
    <n v="38000000"/>
    <n v="1"/>
    <d v="1899-12-30T00:02:00"/>
    <x v="1"/>
    <x v="6"/>
    <x v="1"/>
    <x v="0"/>
    <x v="0"/>
  </r>
  <r>
    <x v="0"/>
    <n v="19"/>
    <x v="4"/>
    <x v="1"/>
    <x v="1"/>
    <x v="2"/>
    <n v="12000000"/>
    <n v="1"/>
    <d v="1899-12-30T00:02:00"/>
    <x v="0"/>
    <x v="0"/>
    <x v="0"/>
    <x v="3"/>
    <x v="13"/>
  </r>
  <r>
    <x v="0"/>
    <n v="1"/>
    <x v="8"/>
    <x v="2"/>
    <x v="1"/>
    <x v="4"/>
    <n v="25000000"/>
    <n v="1"/>
    <d v="1899-12-30T00:02:00"/>
    <x v="0"/>
    <x v="5"/>
    <x v="2"/>
    <x v="3"/>
    <x v="13"/>
  </r>
  <r>
    <x v="0"/>
    <n v="12"/>
    <x v="9"/>
    <x v="0"/>
    <x v="2"/>
    <x v="2"/>
    <n v="12000000"/>
    <n v="2"/>
    <d v="1899-12-30T00:02:00"/>
    <x v="0"/>
    <x v="0"/>
    <x v="2"/>
    <x v="1"/>
    <x v="1"/>
  </r>
  <r>
    <x v="0"/>
    <n v="12"/>
    <x v="9"/>
    <x v="0"/>
    <x v="2"/>
    <x v="1"/>
    <n v="15000000"/>
    <n v="5"/>
    <d v="1899-12-30T00:02:00"/>
    <x v="0"/>
    <x v="4"/>
    <x v="6"/>
    <x v="0"/>
    <x v="10"/>
  </r>
  <r>
    <x v="0"/>
    <n v="10"/>
    <x v="1"/>
    <x v="0"/>
    <x v="4"/>
    <x v="2"/>
    <n v="12000000"/>
    <n v="4"/>
    <d v="1899-12-30T00:02:00"/>
    <x v="0"/>
    <x v="6"/>
    <x v="3"/>
    <x v="1"/>
    <x v="2"/>
  </r>
  <r>
    <x v="1"/>
    <n v="3"/>
    <x v="9"/>
    <x v="1"/>
    <x v="1"/>
    <x v="5"/>
    <n v="0"/>
    <n v="2"/>
    <d v="1899-12-30T00:02:00"/>
    <x v="3"/>
    <x v="9"/>
    <x v="6"/>
    <x v="1"/>
    <x v="1"/>
  </r>
  <r>
    <x v="1"/>
    <n v="13"/>
    <x v="1"/>
    <x v="1"/>
    <x v="0"/>
    <x v="5"/>
    <n v="0"/>
    <n v="1"/>
    <d v="1899-12-30T00:02:00"/>
    <x v="3"/>
    <x v="9"/>
    <x v="3"/>
    <x v="0"/>
    <x v="0"/>
  </r>
  <r>
    <x v="1"/>
    <n v="29"/>
    <x v="3"/>
    <x v="1"/>
    <x v="0"/>
    <x v="5"/>
    <n v="0"/>
    <n v="4"/>
    <d v="1899-12-30T00:02:00"/>
    <x v="3"/>
    <x v="9"/>
    <x v="3"/>
    <x v="2"/>
    <x v="11"/>
  </r>
  <r>
    <x v="1"/>
    <n v="5"/>
    <x v="3"/>
    <x v="1"/>
    <x v="1"/>
    <x v="5"/>
    <n v="0"/>
    <n v="5"/>
    <d v="1899-12-30T00:02:00"/>
    <x v="3"/>
    <x v="9"/>
    <x v="1"/>
    <x v="1"/>
    <x v="6"/>
  </r>
  <r>
    <x v="1"/>
    <n v="19"/>
    <x v="4"/>
    <x v="4"/>
    <x v="2"/>
    <x v="5"/>
    <n v="0"/>
    <n v="2"/>
    <d v="1899-12-30T00:02:00"/>
    <x v="3"/>
    <x v="9"/>
    <x v="7"/>
    <x v="3"/>
    <x v="13"/>
  </r>
  <r>
    <x v="1"/>
    <n v="18"/>
    <x v="10"/>
    <x v="0"/>
    <x v="2"/>
    <x v="5"/>
    <n v="0"/>
    <n v="1"/>
    <d v="1899-12-30T00:02:00"/>
    <x v="3"/>
    <x v="9"/>
    <x v="2"/>
    <x v="3"/>
    <x v="4"/>
  </r>
  <r>
    <x v="1"/>
    <n v="29"/>
    <x v="10"/>
    <x v="4"/>
    <x v="0"/>
    <x v="5"/>
    <n v="0"/>
    <n v="1"/>
    <d v="1899-12-30T00:02:00"/>
    <x v="3"/>
    <x v="9"/>
    <x v="2"/>
    <x v="0"/>
    <x v="9"/>
  </r>
  <r>
    <x v="1"/>
    <n v="1"/>
    <x v="10"/>
    <x v="4"/>
    <x v="1"/>
    <x v="5"/>
    <n v="0"/>
    <n v="2"/>
    <d v="1899-12-30T00:02:00"/>
    <x v="3"/>
    <x v="9"/>
    <x v="5"/>
    <x v="0"/>
    <x v="0"/>
  </r>
  <r>
    <x v="1"/>
    <n v="30"/>
    <x v="10"/>
    <x v="1"/>
    <x v="1"/>
    <x v="5"/>
    <n v="0"/>
    <n v="1"/>
    <d v="1899-12-30T00:02:00"/>
    <x v="3"/>
    <x v="9"/>
    <x v="6"/>
    <x v="2"/>
    <x v="8"/>
  </r>
  <r>
    <x v="1"/>
    <n v="3"/>
    <x v="9"/>
    <x v="1"/>
    <x v="1"/>
    <x v="5"/>
    <n v="0"/>
    <n v="2"/>
    <d v="1899-12-30T00:02:00"/>
    <x v="3"/>
    <x v="9"/>
    <x v="6"/>
    <x v="1"/>
    <x v="1"/>
  </r>
  <r>
    <x v="0"/>
    <n v="11"/>
    <x v="5"/>
    <x v="4"/>
    <x v="0"/>
    <x v="3"/>
    <n v="20000000"/>
    <n v="2"/>
    <d v="1899-12-30T00:02:00"/>
    <x v="2"/>
    <x v="3"/>
    <x v="2"/>
    <x v="3"/>
    <x v="13"/>
  </r>
  <r>
    <x v="0"/>
    <n v="14"/>
    <x v="5"/>
    <x v="4"/>
    <x v="0"/>
    <x v="1"/>
    <n v="15000000"/>
    <n v="2"/>
    <d v="1899-12-30T00:02:00"/>
    <x v="0"/>
    <x v="7"/>
    <x v="2"/>
    <x v="1"/>
    <x v="6"/>
  </r>
  <r>
    <x v="0"/>
    <n v="11"/>
    <x v="6"/>
    <x v="4"/>
    <x v="2"/>
    <x v="2"/>
    <n v="10000000"/>
    <n v="1"/>
    <d v="1899-12-30T00:02:00"/>
    <x v="0"/>
    <x v="4"/>
    <x v="3"/>
    <x v="0"/>
    <x v="10"/>
  </r>
  <r>
    <x v="0"/>
    <n v="1"/>
    <x v="0"/>
    <x v="1"/>
    <x v="2"/>
    <x v="4"/>
    <n v="25000000"/>
    <n v="1"/>
    <d v="1899-12-30T00:02:00"/>
    <x v="0"/>
    <x v="4"/>
    <x v="4"/>
    <x v="0"/>
    <x v="5"/>
  </r>
  <r>
    <x v="0"/>
    <n v="1"/>
    <x v="11"/>
    <x v="5"/>
    <x v="1"/>
    <x v="2"/>
    <n v="12000000"/>
    <n v="5"/>
    <d v="1899-12-30T00:02:00"/>
    <x v="0"/>
    <x v="7"/>
    <x v="6"/>
    <x v="2"/>
    <x v="8"/>
  </r>
  <r>
    <x v="0"/>
    <n v="30"/>
    <x v="2"/>
    <x v="0"/>
    <x v="2"/>
    <x v="2"/>
    <n v="12000000"/>
    <n v="1"/>
    <d v="1899-12-30T00:02:00"/>
    <x v="0"/>
    <x v="0"/>
    <x v="2"/>
    <x v="3"/>
    <x v="13"/>
  </r>
  <r>
    <x v="0"/>
    <n v="13"/>
    <x v="2"/>
    <x v="3"/>
    <x v="2"/>
    <x v="1"/>
    <n v="12000000"/>
    <n v="1"/>
    <d v="1899-12-30T00:02:00"/>
    <x v="0"/>
    <x v="5"/>
    <x v="6"/>
    <x v="0"/>
    <x v="9"/>
  </r>
  <r>
    <x v="0"/>
    <n v="1"/>
    <x v="2"/>
    <x v="0"/>
    <x v="2"/>
    <x v="0"/>
    <n v="7000000"/>
    <n v="4"/>
    <d v="1899-12-30T00:02:00"/>
    <x v="0"/>
    <x v="3"/>
    <x v="7"/>
    <x v="0"/>
    <x v="9"/>
  </r>
  <r>
    <x v="0"/>
    <n v="21"/>
    <x v="3"/>
    <x v="2"/>
    <x v="2"/>
    <x v="0"/>
    <n v="19000000"/>
    <n v="1"/>
    <d v="1899-12-30T00:02:00"/>
    <x v="1"/>
    <x v="4"/>
    <x v="2"/>
    <x v="0"/>
    <x v="10"/>
  </r>
  <r>
    <x v="0"/>
    <n v="3"/>
    <x v="3"/>
    <x v="2"/>
    <x v="2"/>
    <x v="2"/>
    <n v="38000000"/>
    <n v="2"/>
    <d v="1899-12-30T00:02:00"/>
    <x v="1"/>
    <x v="0"/>
    <x v="7"/>
    <x v="1"/>
    <x v="2"/>
  </r>
  <r>
    <x v="0"/>
    <n v="8"/>
    <x v="3"/>
    <x v="4"/>
    <x v="2"/>
    <x v="3"/>
    <n v="20000000"/>
    <n v="2"/>
    <d v="1899-12-30T00:02:00"/>
    <x v="2"/>
    <x v="4"/>
    <x v="2"/>
    <x v="1"/>
    <x v="1"/>
  </r>
  <r>
    <x v="0"/>
    <n v="14"/>
    <x v="3"/>
    <x v="0"/>
    <x v="1"/>
    <x v="0"/>
    <n v="7000000"/>
    <n v="5"/>
    <d v="1899-12-30T00:02:00"/>
    <x v="0"/>
    <x v="3"/>
    <x v="5"/>
    <x v="3"/>
    <x v="13"/>
  </r>
  <r>
    <x v="0"/>
    <n v="31"/>
    <x v="3"/>
    <x v="1"/>
    <x v="1"/>
    <x v="1"/>
    <n v="15000000"/>
    <n v="3"/>
    <d v="1899-12-30T00:02:00"/>
    <x v="0"/>
    <x v="2"/>
    <x v="1"/>
    <x v="2"/>
    <x v="11"/>
  </r>
  <r>
    <x v="0"/>
    <n v="20"/>
    <x v="3"/>
    <x v="2"/>
    <x v="3"/>
    <x v="1"/>
    <n v="15000000"/>
    <n v="1"/>
    <d v="1899-12-30T00:02:00"/>
    <x v="0"/>
    <x v="8"/>
    <x v="6"/>
    <x v="2"/>
    <x v="8"/>
  </r>
  <r>
    <x v="0"/>
    <n v="25"/>
    <x v="4"/>
    <x v="0"/>
    <x v="1"/>
    <x v="2"/>
    <n v="38000000"/>
    <n v="1"/>
    <d v="1899-12-30T00:02:00"/>
    <x v="1"/>
    <x v="5"/>
    <x v="2"/>
    <x v="0"/>
    <x v="7"/>
  </r>
  <r>
    <x v="0"/>
    <n v="5"/>
    <x v="4"/>
    <x v="2"/>
    <x v="3"/>
    <x v="1"/>
    <n v="12000000"/>
    <n v="2"/>
    <d v="1899-12-30T00:02:00"/>
    <x v="0"/>
    <x v="1"/>
    <x v="5"/>
    <x v="1"/>
    <x v="6"/>
  </r>
  <r>
    <x v="0"/>
    <n v="16"/>
    <x v="4"/>
    <x v="1"/>
    <x v="2"/>
    <x v="2"/>
    <n v="12000000"/>
    <n v="3"/>
    <d v="1899-12-30T00:02:00"/>
    <x v="0"/>
    <x v="0"/>
    <x v="7"/>
    <x v="1"/>
    <x v="1"/>
  </r>
  <r>
    <x v="0"/>
    <n v="26"/>
    <x v="10"/>
    <x v="3"/>
    <x v="1"/>
    <x v="4"/>
    <n v="25000000"/>
    <n v="5"/>
    <d v="1899-12-30T00:02:00"/>
    <x v="0"/>
    <x v="8"/>
    <x v="4"/>
    <x v="2"/>
    <x v="8"/>
  </r>
  <r>
    <x v="0"/>
    <n v="11"/>
    <x v="5"/>
    <x v="4"/>
    <x v="0"/>
    <x v="3"/>
    <n v="20000000"/>
    <n v="2"/>
    <d v="1899-12-30T00:02:00"/>
    <x v="2"/>
    <x v="3"/>
    <x v="2"/>
    <x v="3"/>
    <x v="13"/>
  </r>
  <r>
    <x v="0"/>
    <n v="14"/>
    <x v="5"/>
    <x v="4"/>
    <x v="0"/>
    <x v="1"/>
    <n v="15000000"/>
    <n v="2"/>
    <d v="1899-12-30T00:02:00"/>
    <x v="0"/>
    <x v="7"/>
    <x v="2"/>
    <x v="1"/>
    <x v="6"/>
  </r>
  <r>
    <x v="0"/>
    <n v="11"/>
    <x v="6"/>
    <x v="4"/>
    <x v="2"/>
    <x v="2"/>
    <n v="10000000"/>
    <n v="1"/>
    <d v="1899-12-30T00:02:00"/>
    <x v="0"/>
    <x v="4"/>
    <x v="3"/>
    <x v="0"/>
    <x v="10"/>
  </r>
  <r>
    <x v="0"/>
    <n v="1"/>
    <x v="0"/>
    <x v="1"/>
    <x v="2"/>
    <x v="4"/>
    <n v="25000000"/>
    <n v="1"/>
    <d v="1899-12-30T00:02:00"/>
    <x v="0"/>
    <x v="4"/>
    <x v="4"/>
    <x v="0"/>
    <x v="5"/>
  </r>
  <r>
    <x v="0"/>
    <n v="1"/>
    <x v="11"/>
    <x v="5"/>
    <x v="1"/>
    <x v="2"/>
    <n v="12000000"/>
    <n v="5"/>
    <d v="1899-12-30T00:02:00"/>
    <x v="0"/>
    <x v="7"/>
    <x v="6"/>
    <x v="2"/>
    <x v="8"/>
  </r>
  <r>
    <x v="1"/>
    <n v="13"/>
    <x v="9"/>
    <x v="0"/>
    <x v="4"/>
    <x v="5"/>
    <n v="0"/>
    <n v="3"/>
    <d v="1899-12-30T00:02:00"/>
    <x v="3"/>
    <x v="9"/>
    <x v="1"/>
    <x v="1"/>
    <x v="1"/>
  </r>
  <r>
    <x v="1"/>
    <n v="15"/>
    <x v="2"/>
    <x v="3"/>
    <x v="1"/>
    <x v="5"/>
    <n v="0"/>
    <n v="4"/>
    <d v="1899-12-30T00:02:00"/>
    <x v="3"/>
    <x v="9"/>
    <x v="0"/>
    <x v="0"/>
    <x v="12"/>
  </r>
  <r>
    <x v="1"/>
    <n v="28"/>
    <x v="3"/>
    <x v="2"/>
    <x v="1"/>
    <x v="5"/>
    <n v="0"/>
    <n v="3"/>
    <d v="1899-12-30T00:02:00"/>
    <x v="3"/>
    <x v="9"/>
    <x v="3"/>
    <x v="1"/>
    <x v="2"/>
  </r>
  <r>
    <x v="1"/>
    <n v="20"/>
    <x v="3"/>
    <x v="0"/>
    <x v="2"/>
    <x v="5"/>
    <n v="0"/>
    <n v="2"/>
    <d v="1899-12-30T00:02:00"/>
    <x v="3"/>
    <x v="9"/>
    <x v="0"/>
    <x v="0"/>
    <x v="9"/>
  </r>
  <r>
    <x v="1"/>
    <n v="14"/>
    <x v="3"/>
    <x v="0"/>
    <x v="2"/>
    <x v="5"/>
    <n v="0"/>
    <n v="1"/>
    <d v="1899-12-30T00:02:00"/>
    <x v="3"/>
    <x v="9"/>
    <x v="6"/>
    <x v="3"/>
    <x v="13"/>
  </r>
  <r>
    <x v="1"/>
    <n v="13"/>
    <x v="4"/>
    <x v="0"/>
    <x v="1"/>
    <x v="5"/>
    <n v="0"/>
    <n v="1"/>
    <d v="1899-12-30T00:02:00"/>
    <x v="3"/>
    <x v="9"/>
    <x v="3"/>
    <x v="0"/>
    <x v="5"/>
  </r>
  <r>
    <x v="1"/>
    <n v="15"/>
    <x v="4"/>
    <x v="4"/>
    <x v="1"/>
    <x v="5"/>
    <n v="0"/>
    <n v="4"/>
    <d v="1899-12-30T00:02:00"/>
    <x v="3"/>
    <x v="9"/>
    <x v="3"/>
    <x v="2"/>
    <x v="8"/>
  </r>
  <r>
    <x v="1"/>
    <n v="26"/>
    <x v="4"/>
    <x v="0"/>
    <x v="2"/>
    <x v="5"/>
    <n v="0"/>
    <n v="2"/>
    <d v="1899-12-30T00:02:00"/>
    <x v="3"/>
    <x v="9"/>
    <x v="7"/>
    <x v="1"/>
    <x v="2"/>
  </r>
  <r>
    <x v="1"/>
    <n v="13"/>
    <x v="9"/>
    <x v="0"/>
    <x v="4"/>
    <x v="5"/>
    <n v="0"/>
    <n v="3"/>
    <d v="1899-12-30T00:02:00"/>
    <x v="3"/>
    <x v="9"/>
    <x v="1"/>
    <x v="1"/>
    <x v="1"/>
  </r>
  <r>
    <x v="0"/>
    <n v="16"/>
    <x v="5"/>
    <x v="3"/>
    <x v="1"/>
    <x v="4"/>
    <n v="25000000"/>
    <n v="1"/>
    <d v="1899-12-30T00:02:00"/>
    <x v="0"/>
    <x v="5"/>
    <x v="6"/>
    <x v="1"/>
    <x v="2"/>
  </r>
  <r>
    <x v="0"/>
    <n v="1"/>
    <x v="6"/>
    <x v="2"/>
    <x v="1"/>
    <x v="0"/>
    <n v="7000000"/>
    <n v="2"/>
    <d v="1899-12-30T00:02:00"/>
    <x v="0"/>
    <x v="1"/>
    <x v="3"/>
    <x v="1"/>
    <x v="2"/>
  </r>
  <r>
    <x v="0"/>
    <n v="11"/>
    <x v="6"/>
    <x v="2"/>
    <x v="3"/>
    <x v="2"/>
    <n v="12000000"/>
    <n v="2"/>
    <d v="1899-12-30T00:02:00"/>
    <x v="0"/>
    <x v="1"/>
    <x v="4"/>
    <x v="0"/>
    <x v="10"/>
  </r>
  <r>
    <x v="0"/>
    <n v="11"/>
    <x v="6"/>
    <x v="0"/>
    <x v="1"/>
    <x v="1"/>
    <n v="15000000"/>
    <n v="1"/>
    <d v="1899-12-30T00:02:00"/>
    <x v="0"/>
    <x v="4"/>
    <x v="6"/>
    <x v="3"/>
    <x v="4"/>
  </r>
  <r>
    <x v="0"/>
    <n v="1"/>
    <x v="0"/>
    <x v="0"/>
    <x v="0"/>
    <x v="0"/>
    <n v="19000000"/>
    <n v="1"/>
    <d v="1899-12-30T00:02:00"/>
    <x v="1"/>
    <x v="4"/>
    <x v="5"/>
    <x v="0"/>
    <x v="12"/>
  </r>
  <r>
    <x v="0"/>
    <n v="1"/>
    <x v="0"/>
    <x v="3"/>
    <x v="1"/>
    <x v="3"/>
    <n v="20000000"/>
    <n v="3"/>
    <d v="1899-12-30T00:02:00"/>
    <x v="2"/>
    <x v="4"/>
    <x v="6"/>
    <x v="3"/>
    <x v="13"/>
  </r>
  <r>
    <x v="0"/>
    <n v="1"/>
    <x v="0"/>
    <x v="0"/>
    <x v="2"/>
    <x v="1"/>
    <n v="15000000"/>
    <n v="1"/>
    <d v="1899-12-30T00:02:00"/>
    <x v="0"/>
    <x v="7"/>
    <x v="7"/>
    <x v="2"/>
    <x v="3"/>
  </r>
  <r>
    <x v="0"/>
    <n v="1"/>
    <x v="8"/>
    <x v="0"/>
    <x v="0"/>
    <x v="3"/>
    <n v="20000000"/>
    <n v="4"/>
    <d v="1899-12-30T00:02:00"/>
    <x v="2"/>
    <x v="4"/>
    <x v="1"/>
    <x v="0"/>
    <x v="9"/>
  </r>
  <r>
    <x v="0"/>
    <n v="4"/>
    <x v="8"/>
    <x v="5"/>
    <x v="0"/>
    <x v="1"/>
    <n v="15000000"/>
    <n v="1"/>
    <d v="1899-12-30T00:02:00"/>
    <x v="0"/>
    <x v="3"/>
    <x v="5"/>
    <x v="1"/>
    <x v="2"/>
  </r>
  <r>
    <x v="0"/>
    <n v="11"/>
    <x v="8"/>
    <x v="3"/>
    <x v="1"/>
    <x v="4"/>
    <n v="25000000"/>
    <n v="4"/>
    <d v="1899-12-30T00:02:00"/>
    <x v="0"/>
    <x v="2"/>
    <x v="5"/>
    <x v="1"/>
    <x v="6"/>
  </r>
  <r>
    <x v="0"/>
    <n v="12"/>
    <x v="11"/>
    <x v="3"/>
    <x v="1"/>
    <x v="2"/>
    <n v="12000000"/>
    <n v="4"/>
    <d v="1899-12-30T00:02:00"/>
    <x v="0"/>
    <x v="3"/>
    <x v="1"/>
    <x v="2"/>
    <x v="8"/>
  </r>
  <r>
    <x v="0"/>
    <n v="31"/>
    <x v="1"/>
    <x v="0"/>
    <x v="1"/>
    <x v="0"/>
    <n v="19000000"/>
    <n v="3"/>
    <d v="1899-12-30T00:02:00"/>
    <x v="1"/>
    <x v="7"/>
    <x v="1"/>
    <x v="1"/>
    <x v="6"/>
  </r>
  <r>
    <x v="0"/>
    <n v="2"/>
    <x v="1"/>
    <x v="1"/>
    <x v="3"/>
    <x v="2"/>
    <n v="12000000"/>
    <n v="2"/>
    <d v="1899-12-30T00:02:00"/>
    <x v="0"/>
    <x v="7"/>
    <x v="2"/>
    <x v="0"/>
    <x v="12"/>
  </r>
  <r>
    <x v="0"/>
    <n v="9"/>
    <x v="1"/>
    <x v="0"/>
    <x v="2"/>
    <x v="1"/>
    <n v="12000000"/>
    <n v="5"/>
    <d v="1899-12-30T00:02:00"/>
    <x v="0"/>
    <x v="8"/>
    <x v="4"/>
    <x v="1"/>
    <x v="6"/>
  </r>
  <r>
    <x v="0"/>
    <n v="25"/>
    <x v="1"/>
    <x v="2"/>
    <x v="2"/>
    <x v="2"/>
    <n v="10000000"/>
    <n v="4"/>
    <d v="1899-12-30T00:02:00"/>
    <x v="0"/>
    <x v="8"/>
    <x v="3"/>
    <x v="1"/>
    <x v="2"/>
  </r>
  <r>
    <x v="0"/>
    <n v="9"/>
    <x v="1"/>
    <x v="0"/>
    <x v="2"/>
    <x v="2"/>
    <n v="12000000"/>
    <n v="1"/>
    <d v="1899-12-30T00:02:00"/>
    <x v="0"/>
    <x v="5"/>
    <x v="4"/>
    <x v="0"/>
    <x v="10"/>
  </r>
  <r>
    <x v="0"/>
    <n v="10"/>
    <x v="1"/>
    <x v="2"/>
    <x v="2"/>
    <x v="1"/>
    <n v="15000000"/>
    <n v="1"/>
    <d v="1899-12-30T00:02:00"/>
    <x v="0"/>
    <x v="7"/>
    <x v="4"/>
    <x v="1"/>
    <x v="6"/>
  </r>
  <r>
    <x v="0"/>
    <n v="14"/>
    <x v="1"/>
    <x v="4"/>
    <x v="1"/>
    <x v="3"/>
    <n v="20000000"/>
    <n v="3"/>
    <d v="1899-12-30T00:02:00"/>
    <x v="0"/>
    <x v="2"/>
    <x v="0"/>
    <x v="0"/>
    <x v="10"/>
  </r>
  <r>
    <x v="0"/>
    <n v="10"/>
    <x v="2"/>
    <x v="1"/>
    <x v="3"/>
    <x v="3"/>
    <n v="11000000"/>
    <n v="1"/>
    <d v="1899-12-30T00:02:00"/>
    <x v="2"/>
    <x v="0"/>
    <x v="5"/>
    <x v="2"/>
    <x v="3"/>
  </r>
  <r>
    <x v="0"/>
    <n v="27"/>
    <x v="2"/>
    <x v="2"/>
    <x v="0"/>
    <x v="1"/>
    <n v="12000000"/>
    <n v="3"/>
    <d v="1899-12-30T00:02:00"/>
    <x v="0"/>
    <x v="2"/>
    <x v="2"/>
    <x v="0"/>
    <x v="9"/>
  </r>
  <r>
    <x v="0"/>
    <n v="28"/>
    <x v="2"/>
    <x v="0"/>
    <x v="2"/>
    <x v="1"/>
    <n v="15000000"/>
    <n v="1"/>
    <d v="1899-12-30T00:02:00"/>
    <x v="0"/>
    <x v="2"/>
    <x v="6"/>
    <x v="1"/>
    <x v="2"/>
  </r>
  <r>
    <x v="0"/>
    <n v="28"/>
    <x v="2"/>
    <x v="0"/>
    <x v="2"/>
    <x v="4"/>
    <n v="25000000"/>
    <n v="2"/>
    <d v="1899-12-30T00:02:00"/>
    <x v="0"/>
    <x v="3"/>
    <x v="2"/>
    <x v="1"/>
    <x v="1"/>
  </r>
  <r>
    <x v="0"/>
    <n v="29"/>
    <x v="2"/>
    <x v="2"/>
    <x v="1"/>
    <x v="0"/>
    <n v="7000000"/>
    <n v="3"/>
    <d v="1899-12-30T00:02:00"/>
    <x v="0"/>
    <x v="4"/>
    <x v="3"/>
    <x v="3"/>
    <x v="13"/>
  </r>
  <r>
    <x v="0"/>
    <n v="30"/>
    <x v="2"/>
    <x v="5"/>
    <x v="1"/>
    <x v="2"/>
    <n v="12000000"/>
    <n v="4"/>
    <d v="1899-12-30T00:02:00"/>
    <x v="0"/>
    <x v="2"/>
    <x v="2"/>
    <x v="0"/>
    <x v="7"/>
  </r>
  <r>
    <x v="0"/>
    <n v="11"/>
    <x v="2"/>
    <x v="3"/>
    <x v="2"/>
    <x v="1"/>
    <n v="15000000"/>
    <n v="1"/>
    <d v="1899-12-30T00:02:00"/>
    <x v="0"/>
    <x v="0"/>
    <x v="3"/>
    <x v="3"/>
    <x v="13"/>
  </r>
  <r>
    <x v="0"/>
    <n v="15"/>
    <x v="2"/>
    <x v="1"/>
    <x v="1"/>
    <x v="3"/>
    <n v="15000000"/>
    <n v="3"/>
    <d v="1899-12-30T00:02:00"/>
    <x v="0"/>
    <x v="2"/>
    <x v="5"/>
    <x v="0"/>
    <x v="9"/>
  </r>
  <r>
    <x v="0"/>
    <n v="20"/>
    <x v="3"/>
    <x v="2"/>
    <x v="1"/>
    <x v="2"/>
    <n v="38000000"/>
    <n v="1"/>
    <d v="1899-12-30T00:02:00"/>
    <x v="4"/>
    <x v="0"/>
    <x v="5"/>
    <x v="3"/>
    <x v="13"/>
  </r>
  <r>
    <x v="0"/>
    <n v="8"/>
    <x v="3"/>
    <x v="3"/>
    <x v="3"/>
    <x v="2"/>
    <n v="38000000"/>
    <n v="4"/>
    <d v="1899-12-30T00:02:00"/>
    <x v="1"/>
    <x v="0"/>
    <x v="3"/>
    <x v="3"/>
    <x v="13"/>
  </r>
  <r>
    <x v="0"/>
    <n v="27"/>
    <x v="3"/>
    <x v="0"/>
    <x v="4"/>
    <x v="2"/>
    <n v="38000000"/>
    <n v="1"/>
    <d v="1899-12-30T00:02:00"/>
    <x v="1"/>
    <x v="3"/>
    <x v="6"/>
    <x v="3"/>
    <x v="13"/>
  </r>
  <r>
    <x v="0"/>
    <n v="5"/>
    <x v="3"/>
    <x v="4"/>
    <x v="1"/>
    <x v="3"/>
    <n v="15000000"/>
    <n v="1"/>
    <d v="1899-12-30T00:02:00"/>
    <x v="0"/>
    <x v="0"/>
    <x v="3"/>
    <x v="3"/>
    <x v="4"/>
  </r>
  <r>
    <x v="0"/>
    <n v="27"/>
    <x v="3"/>
    <x v="1"/>
    <x v="1"/>
    <x v="3"/>
    <n v="15000000"/>
    <n v="1"/>
    <d v="1899-12-30T00:02:00"/>
    <x v="0"/>
    <x v="0"/>
    <x v="0"/>
    <x v="2"/>
    <x v="8"/>
  </r>
  <r>
    <x v="0"/>
    <n v="30"/>
    <x v="3"/>
    <x v="3"/>
    <x v="1"/>
    <x v="1"/>
    <n v="15000000"/>
    <n v="1"/>
    <d v="1899-12-30T00:02:00"/>
    <x v="0"/>
    <x v="5"/>
    <x v="0"/>
    <x v="2"/>
    <x v="8"/>
  </r>
  <r>
    <x v="0"/>
    <n v="1"/>
    <x v="3"/>
    <x v="3"/>
    <x v="2"/>
    <x v="2"/>
    <n v="10000000"/>
    <n v="1"/>
    <d v="1899-12-30T00:02:00"/>
    <x v="0"/>
    <x v="4"/>
    <x v="5"/>
    <x v="0"/>
    <x v="12"/>
  </r>
  <r>
    <x v="0"/>
    <n v="2"/>
    <x v="3"/>
    <x v="0"/>
    <x v="2"/>
    <x v="1"/>
    <n v="11000000"/>
    <n v="1"/>
    <d v="1899-12-30T00:02:00"/>
    <x v="0"/>
    <x v="5"/>
    <x v="7"/>
    <x v="2"/>
    <x v="8"/>
  </r>
  <r>
    <x v="0"/>
    <n v="6"/>
    <x v="3"/>
    <x v="0"/>
    <x v="1"/>
    <x v="4"/>
    <n v="20000000"/>
    <n v="1"/>
    <d v="1899-12-30T00:02:00"/>
    <x v="0"/>
    <x v="2"/>
    <x v="7"/>
    <x v="3"/>
    <x v="4"/>
  </r>
  <r>
    <x v="0"/>
    <n v="29"/>
    <x v="3"/>
    <x v="3"/>
    <x v="0"/>
    <x v="4"/>
    <n v="25000000"/>
    <n v="6"/>
    <d v="1899-12-30T00:02:00"/>
    <x v="0"/>
    <x v="0"/>
    <x v="7"/>
    <x v="0"/>
    <x v="0"/>
  </r>
  <r>
    <x v="0"/>
    <n v="22"/>
    <x v="4"/>
    <x v="2"/>
    <x v="2"/>
    <x v="0"/>
    <n v="19000000"/>
    <n v="5"/>
    <d v="1899-12-30T00:02:00"/>
    <x v="1"/>
    <x v="2"/>
    <x v="0"/>
    <x v="0"/>
    <x v="7"/>
  </r>
  <r>
    <x v="0"/>
    <n v="22"/>
    <x v="4"/>
    <x v="0"/>
    <x v="1"/>
    <x v="3"/>
    <n v="20000000"/>
    <n v="4"/>
    <d v="1899-12-30T00:02:00"/>
    <x v="2"/>
    <x v="7"/>
    <x v="0"/>
    <x v="1"/>
    <x v="6"/>
  </r>
  <r>
    <x v="0"/>
    <n v="15"/>
    <x v="4"/>
    <x v="1"/>
    <x v="2"/>
    <x v="2"/>
    <n v="12000000"/>
    <n v="2"/>
    <d v="1899-12-30T00:02:00"/>
    <x v="0"/>
    <x v="2"/>
    <x v="2"/>
    <x v="0"/>
    <x v="0"/>
  </r>
  <r>
    <x v="0"/>
    <n v="19"/>
    <x v="4"/>
    <x v="0"/>
    <x v="0"/>
    <x v="1"/>
    <n v="15000000"/>
    <n v="3"/>
    <d v="1899-12-30T00:02:00"/>
    <x v="0"/>
    <x v="4"/>
    <x v="2"/>
    <x v="1"/>
    <x v="1"/>
  </r>
  <r>
    <x v="0"/>
    <n v="17"/>
    <x v="4"/>
    <x v="1"/>
    <x v="2"/>
    <x v="0"/>
    <n v="7000000"/>
    <n v="3"/>
    <d v="1899-12-30T00:02:00"/>
    <x v="0"/>
    <x v="0"/>
    <x v="5"/>
    <x v="0"/>
    <x v="5"/>
  </r>
  <r>
    <x v="0"/>
    <n v="19"/>
    <x v="4"/>
    <x v="5"/>
    <x v="2"/>
    <x v="2"/>
    <n v="12000000"/>
    <n v="1"/>
    <d v="1899-12-30T00:02:00"/>
    <x v="0"/>
    <x v="1"/>
    <x v="6"/>
    <x v="1"/>
    <x v="2"/>
  </r>
  <r>
    <x v="0"/>
    <n v="14"/>
    <x v="4"/>
    <x v="3"/>
    <x v="0"/>
    <x v="4"/>
    <n v="25000000"/>
    <n v="1"/>
    <d v="1899-12-30T00:02:00"/>
    <x v="0"/>
    <x v="4"/>
    <x v="7"/>
    <x v="2"/>
    <x v="11"/>
  </r>
  <r>
    <x v="0"/>
    <n v="29"/>
    <x v="10"/>
    <x v="1"/>
    <x v="2"/>
    <x v="0"/>
    <n v="19000000"/>
    <n v="1"/>
    <d v="1899-12-30T00:02:00"/>
    <x v="1"/>
    <x v="6"/>
    <x v="0"/>
    <x v="1"/>
    <x v="15"/>
  </r>
  <r>
    <x v="0"/>
    <n v="13"/>
    <x v="10"/>
    <x v="4"/>
    <x v="2"/>
    <x v="2"/>
    <n v="12000000"/>
    <n v="5"/>
    <d v="1899-12-30T00:02:00"/>
    <x v="0"/>
    <x v="0"/>
    <x v="2"/>
    <x v="0"/>
    <x v="9"/>
  </r>
  <r>
    <x v="0"/>
    <n v="26"/>
    <x v="10"/>
    <x v="2"/>
    <x v="1"/>
    <x v="4"/>
    <n v="25000000"/>
    <n v="2"/>
    <d v="1899-12-30T00:02:00"/>
    <x v="0"/>
    <x v="2"/>
    <x v="2"/>
    <x v="3"/>
    <x v="4"/>
  </r>
  <r>
    <x v="0"/>
    <n v="16"/>
    <x v="10"/>
    <x v="0"/>
    <x v="1"/>
    <x v="1"/>
    <n v="15000000"/>
    <n v="3"/>
    <d v="1899-12-30T00:02:00"/>
    <x v="0"/>
    <x v="1"/>
    <x v="3"/>
    <x v="1"/>
    <x v="2"/>
  </r>
  <r>
    <x v="0"/>
    <n v="14"/>
    <x v="10"/>
    <x v="2"/>
    <x v="0"/>
    <x v="0"/>
    <n v="7000000"/>
    <n v="1"/>
    <d v="1899-12-30T00:02:00"/>
    <x v="0"/>
    <x v="4"/>
    <x v="6"/>
    <x v="0"/>
    <x v="7"/>
  </r>
  <r>
    <x v="0"/>
    <n v="16"/>
    <x v="5"/>
    <x v="3"/>
    <x v="1"/>
    <x v="4"/>
    <n v="25000000"/>
    <n v="1"/>
    <d v="1899-12-30T00:02:00"/>
    <x v="0"/>
    <x v="5"/>
    <x v="6"/>
    <x v="1"/>
    <x v="2"/>
  </r>
  <r>
    <x v="0"/>
    <n v="1"/>
    <x v="6"/>
    <x v="2"/>
    <x v="1"/>
    <x v="0"/>
    <n v="7000000"/>
    <n v="2"/>
    <d v="1899-12-30T00:02:00"/>
    <x v="0"/>
    <x v="1"/>
    <x v="3"/>
    <x v="1"/>
    <x v="2"/>
  </r>
  <r>
    <x v="0"/>
    <n v="11"/>
    <x v="6"/>
    <x v="2"/>
    <x v="3"/>
    <x v="2"/>
    <n v="12000000"/>
    <n v="2"/>
    <d v="1899-12-30T00:02:00"/>
    <x v="0"/>
    <x v="1"/>
    <x v="4"/>
    <x v="0"/>
    <x v="10"/>
  </r>
  <r>
    <x v="0"/>
    <n v="11"/>
    <x v="6"/>
    <x v="0"/>
    <x v="1"/>
    <x v="1"/>
    <n v="15000000"/>
    <n v="1"/>
    <d v="1899-12-30T00:02:00"/>
    <x v="0"/>
    <x v="4"/>
    <x v="6"/>
    <x v="3"/>
    <x v="4"/>
  </r>
  <r>
    <x v="0"/>
    <n v="1"/>
    <x v="0"/>
    <x v="0"/>
    <x v="0"/>
    <x v="0"/>
    <n v="19000000"/>
    <n v="1"/>
    <d v="1899-12-30T00:02:00"/>
    <x v="1"/>
    <x v="4"/>
    <x v="5"/>
    <x v="0"/>
    <x v="12"/>
  </r>
  <r>
    <x v="0"/>
    <n v="1"/>
    <x v="0"/>
    <x v="3"/>
    <x v="1"/>
    <x v="3"/>
    <n v="20000000"/>
    <n v="3"/>
    <d v="1899-12-30T00:02:00"/>
    <x v="2"/>
    <x v="4"/>
    <x v="6"/>
    <x v="3"/>
    <x v="13"/>
  </r>
  <r>
    <x v="0"/>
    <n v="1"/>
    <x v="0"/>
    <x v="0"/>
    <x v="2"/>
    <x v="1"/>
    <n v="15000000"/>
    <n v="1"/>
    <d v="1899-12-30T00:02:00"/>
    <x v="0"/>
    <x v="7"/>
    <x v="7"/>
    <x v="2"/>
    <x v="3"/>
  </r>
  <r>
    <x v="0"/>
    <n v="1"/>
    <x v="8"/>
    <x v="0"/>
    <x v="0"/>
    <x v="3"/>
    <n v="20000000"/>
    <n v="4"/>
    <d v="1899-12-30T00:02:00"/>
    <x v="2"/>
    <x v="4"/>
    <x v="1"/>
    <x v="0"/>
    <x v="9"/>
  </r>
  <r>
    <x v="0"/>
    <n v="4"/>
    <x v="8"/>
    <x v="5"/>
    <x v="0"/>
    <x v="1"/>
    <n v="15000000"/>
    <n v="1"/>
    <d v="1899-12-30T00:02:00"/>
    <x v="0"/>
    <x v="3"/>
    <x v="5"/>
    <x v="1"/>
    <x v="2"/>
  </r>
  <r>
    <x v="0"/>
    <n v="11"/>
    <x v="8"/>
    <x v="3"/>
    <x v="1"/>
    <x v="4"/>
    <n v="25000000"/>
    <n v="4"/>
    <d v="1899-12-30T00:02:00"/>
    <x v="0"/>
    <x v="2"/>
    <x v="5"/>
    <x v="1"/>
    <x v="6"/>
  </r>
  <r>
    <x v="0"/>
    <n v="12"/>
    <x v="11"/>
    <x v="3"/>
    <x v="1"/>
    <x v="2"/>
    <n v="12000000"/>
    <n v="4"/>
    <d v="1899-12-30T00:02:00"/>
    <x v="0"/>
    <x v="3"/>
    <x v="1"/>
    <x v="2"/>
    <x v="8"/>
  </r>
  <r>
    <x v="0"/>
    <n v="31"/>
    <x v="1"/>
    <x v="0"/>
    <x v="1"/>
    <x v="0"/>
    <n v="19000000"/>
    <n v="3"/>
    <d v="1899-12-30T00:02:00"/>
    <x v="1"/>
    <x v="7"/>
    <x v="1"/>
    <x v="1"/>
    <x v="6"/>
  </r>
  <r>
    <x v="0"/>
    <n v="2"/>
    <x v="1"/>
    <x v="1"/>
    <x v="3"/>
    <x v="2"/>
    <n v="12000000"/>
    <n v="2"/>
    <d v="1899-12-30T00:02:00"/>
    <x v="0"/>
    <x v="7"/>
    <x v="2"/>
    <x v="0"/>
    <x v="12"/>
  </r>
  <r>
    <x v="0"/>
    <n v="9"/>
    <x v="1"/>
    <x v="0"/>
    <x v="2"/>
    <x v="1"/>
    <n v="12000000"/>
    <n v="5"/>
    <d v="1899-12-30T00:02:00"/>
    <x v="0"/>
    <x v="8"/>
    <x v="4"/>
    <x v="1"/>
    <x v="6"/>
  </r>
  <r>
    <x v="0"/>
    <n v="25"/>
    <x v="1"/>
    <x v="2"/>
    <x v="2"/>
    <x v="2"/>
    <n v="10000000"/>
    <n v="4"/>
    <d v="1899-12-30T00:02:00"/>
    <x v="0"/>
    <x v="8"/>
    <x v="3"/>
    <x v="1"/>
    <x v="2"/>
  </r>
  <r>
    <x v="1"/>
    <n v="8"/>
    <x v="11"/>
    <x v="1"/>
    <x v="0"/>
    <x v="5"/>
    <n v="0"/>
    <n v="3"/>
    <d v="1899-12-30T00:02:00"/>
    <x v="3"/>
    <x v="9"/>
    <x v="2"/>
    <x v="1"/>
    <x v="6"/>
  </r>
  <r>
    <x v="1"/>
    <n v="5"/>
    <x v="11"/>
    <x v="3"/>
    <x v="2"/>
    <x v="5"/>
    <n v="0"/>
    <n v="1"/>
    <d v="1899-12-30T00:02:00"/>
    <x v="3"/>
    <x v="9"/>
    <x v="3"/>
    <x v="0"/>
    <x v="5"/>
  </r>
  <r>
    <x v="1"/>
    <n v="2"/>
    <x v="2"/>
    <x v="4"/>
    <x v="2"/>
    <x v="5"/>
    <n v="0"/>
    <n v="2"/>
    <d v="1899-12-30T00:02:00"/>
    <x v="3"/>
    <x v="9"/>
    <x v="2"/>
    <x v="2"/>
    <x v="11"/>
  </r>
  <r>
    <x v="1"/>
    <n v="20"/>
    <x v="2"/>
    <x v="3"/>
    <x v="2"/>
    <x v="5"/>
    <n v="0"/>
    <n v="1"/>
    <d v="1899-12-30T00:02:00"/>
    <x v="3"/>
    <x v="9"/>
    <x v="4"/>
    <x v="1"/>
    <x v="2"/>
  </r>
  <r>
    <x v="1"/>
    <n v="22"/>
    <x v="2"/>
    <x v="0"/>
    <x v="1"/>
    <x v="5"/>
    <n v="0"/>
    <n v="3"/>
    <d v="1899-12-30T00:02:00"/>
    <x v="3"/>
    <x v="9"/>
    <x v="5"/>
    <x v="1"/>
    <x v="2"/>
  </r>
  <r>
    <x v="1"/>
    <n v="15"/>
    <x v="2"/>
    <x v="0"/>
    <x v="1"/>
    <x v="5"/>
    <n v="0"/>
    <n v="3"/>
    <d v="1899-12-30T00:02:00"/>
    <x v="3"/>
    <x v="9"/>
    <x v="7"/>
    <x v="3"/>
    <x v="13"/>
  </r>
  <r>
    <x v="1"/>
    <n v="21"/>
    <x v="2"/>
    <x v="3"/>
    <x v="2"/>
    <x v="5"/>
    <n v="0"/>
    <n v="2"/>
    <d v="1899-12-30T00:02:00"/>
    <x v="3"/>
    <x v="9"/>
    <x v="7"/>
    <x v="2"/>
    <x v="3"/>
  </r>
  <r>
    <x v="1"/>
    <n v="24"/>
    <x v="3"/>
    <x v="3"/>
    <x v="1"/>
    <x v="5"/>
    <n v="0"/>
    <n v="1"/>
    <d v="1899-12-30T00:02:00"/>
    <x v="3"/>
    <x v="9"/>
    <x v="3"/>
    <x v="3"/>
    <x v="13"/>
  </r>
  <r>
    <x v="1"/>
    <n v="5"/>
    <x v="3"/>
    <x v="2"/>
    <x v="0"/>
    <x v="5"/>
    <n v="0"/>
    <n v="5"/>
    <d v="1899-12-30T00:02:00"/>
    <x v="3"/>
    <x v="9"/>
    <x v="6"/>
    <x v="0"/>
    <x v="12"/>
  </r>
  <r>
    <x v="1"/>
    <n v="15"/>
    <x v="4"/>
    <x v="0"/>
    <x v="1"/>
    <x v="5"/>
    <n v="0"/>
    <n v="1"/>
    <d v="1899-12-30T00:02:00"/>
    <x v="3"/>
    <x v="9"/>
    <x v="2"/>
    <x v="1"/>
    <x v="2"/>
  </r>
  <r>
    <x v="1"/>
    <n v="29"/>
    <x v="4"/>
    <x v="2"/>
    <x v="0"/>
    <x v="5"/>
    <n v="0"/>
    <n v="4"/>
    <d v="1899-12-30T00:02:00"/>
    <x v="3"/>
    <x v="9"/>
    <x v="4"/>
    <x v="0"/>
    <x v="10"/>
  </r>
  <r>
    <x v="1"/>
    <n v="11"/>
    <x v="4"/>
    <x v="2"/>
    <x v="1"/>
    <x v="5"/>
    <n v="0"/>
    <n v="3"/>
    <d v="1899-12-30T00:02:00"/>
    <x v="3"/>
    <x v="9"/>
    <x v="3"/>
    <x v="0"/>
    <x v="7"/>
  </r>
  <r>
    <x v="1"/>
    <n v="26"/>
    <x v="4"/>
    <x v="1"/>
    <x v="1"/>
    <x v="5"/>
    <n v="0"/>
    <n v="6"/>
    <d v="1899-12-30T00:02:00"/>
    <x v="3"/>
    <x v="9"/>
    <x v="7"/>
    <x v="1"/>
    <x v="2"/>
  </r>
  <r>
    <x v="1"/>
    <n v="31"/>
    <x v="10"/>
    <x v="3"/>
    <x v="0"/>
    <x v="5"/>
    <n v="0"/>
    <n v="1"/>
    <d v="1899-12-30T00:02:00"/>
    <x v="3"/>
    <x v="9"/>
    <x v="2"/>
    <x v="0"/>
    <x v="10"/>
  </r>
  <r>
    <x v="1"/>
    <n v="30"/>
    <x v="10"/>
    <x v="4"/>
    <x v="2"/>
    <x v="5"/>
    <n v="0"/>
    <n v="4"/>
    <d v="1899-12-30T00:02:00"/>
    <x v="3"/>
    <x v="9"/>
    <x v="4"/>
    <x v="3"/>
    <x v="4"/>
  </r>
  <r>
    <x v="1"/>
    <n v="14"/>
    <x v="10"/>
    <x v="2"/>
    <x v="2"/>
    <x v="5"/>
    <n v="0"/>
    <n v="1"/>
    <d v="1899-12-30T00:02:00"/>
    <x v="3"/>
    <x v="9"/>
    <x v="1"/>
    <x v="0"/>
    <x v="5"/>
  </r>
  <r>
    <x v="1"/>
    <n v="30"/>
    <x v="10"/>
    <x v="2"/>
    <x v="0"/>
    <x v="5"/>
    <n v="0"/>
    <n v="4"/>
    <d v="1899-12-30T00:02:00"/>
    <x v="3"/>
    <x v="9"/>
    <x v="6"/>
    <x v="1"/>
    <x v="6"/>
  </r>
  <r>
    <x v="1"/>
    <n v="8"/>
    <x v="11"/>
    <x v="1"/>
    <x v="0"/>
    <x v="5"/>
    <n v="0"/>
    <n v="3"/>
    <d v="1899-12-30T00:02:00"/>
    <x v="3"/>
    <x v="9"/>
    <x v="2"/>
    <x v="1"/>
    <x v="6"/>
  </r>
  <r>
    <x v="1"/>
    <n v="5"/>
    <x v="11"/>
    <x v="3"/>
    <x v="2"/>
    <x v="5"/>
    <n v="0"/>
    <n v="1"/>
    <d v="1899-12-30T00:02:00"/>
    <x v="3"/>
    <x v="9"/>
    <x v="3"/>
    <x v="0"/>
    <x v="5"/>
  </r>
  <r>
    <x v="0"/>
    <n v="11"/>
    <x v="6"/>
    <x v="5"/>
    <x v="0"/>
    <x v="2"/>
    <n v="38000000"/>
    <n v="3"/>
    <d v="1899-12-30T00:02:00"/>
    <x v="1"/>
    <x v="4"/>
    <x v="3"/>
    <x v="0"/>
    <x v="7"/>
  </r>
  <r>
    <x v="0"/>
    <n v="13"/>
    <x v="2"/>
    <x v="2"/>
    <x v="4"/>
    <x v="0"/>
    <n v="19000000"/>
    <n v="6"/>
    <d v="1899-12-30T00:02:00"/>
    <x v="1"/>
    <x v="3"/>
    <x v="0"/>
    <x v="0"/>
    <x v="9"/>
  </r>
  <r>
    <x v="0"/>
    <n v="25"/>
    <x v="2"/>
    <x v="2"/>
    <x v="2"/>
    <x v="1"/>
    <n v="15000000"/>
    <n v="4"/>
    <d v="1899-12-30T00:02:00"/>
    <x v="0"/>
    <x v="0"/>
    <x v="2"/>
    <x v="3"/>
    <x v="13"/>
  </r>
  <r>
    <x v="0"/>
    <n v="30"/>
    <x v="2"/>
    <x v="5"/>
    <x v="1"/>
    <x v="2"/>
    <n v="12000000"/>
    <n v="4"/>
    <d v="1899-12-30T00:02:00"/>
    <x v="0"/>
    <x v="0"/>
    <x v="2"/>
    <x v="1"/>
    <x v="1"/>
  </r>
  <r>
    <x v="0"/>
    <n v="26"/>
    <x v="3"/>
    <x v="0"/>
    <x v="3"/>
    <x v="3"/>
    <n v="11000000"/>
    <n v="1"/>
    <d v="1899-12-30T00:02:00"/>
    <x v="2"/>
    <x v="1"/>
    <x v="1"/>
    <x v="3"/>
    <x v="13"/>
  </r>
  <r>
    <x v="0"/>
    <n v="28"/>
    <x v="3"/>
    <x v="1"/>
    <x v="1"/>
    <x v="2"/>
    <n v="12000000"/>
    <n v="1"/>
    <d v="1899-12-30T00:02:00"/>
    <x v="0"/>
    <x v="8"/>
    <x v="2"/>
    <x v="3"/>
    <x v="4"/>
  </r>
  <r>
    <x v="0"/>
    <n v="28"/>
    <x v="3"/>
    <x v="4"/>
    <x v="1"/>
    <x v="0"/>
    <n v="7000000"/>
    <n v="3"/>
    <d v="1899-12-30T00:02:00"/>
    <x v="0"/>
    <x v="4"/>
    <x v="7"/>
    <x v="0"/>
    <x v="7"/>
  </r>
  <r>
    <x v="0"/>
    <n v="24"/>
    <x v="4"/>
    <x v="1"/>
    <x v="3"/>
    <x v="3"/>
    <n v="20000000"/>
    <n v="7"/>
    <d v="1899-12-30T00:02:00"/>
    <x v="0"/>
    <x v="2"/>
    <x v="2"/>
    <x v="1"/>
    <x v="15"/>
  </r>
  <r>
    <x v="0"/>
    <n v="26"/>
    <x v="4"/>
    <x v="0"/>
    <x v="2"/>
    <x v="4"/>
    <n v="25000000"/>
    <n v="3"/>
    <d v="1899-12-30T00:02:00"/>
    <x v="0"/>
    <x v="7"/>
    <x v="4"/>
    <x v="0"/>
    <x v="12"/>
  </r>
  <r>
    <x v="0"/>
    <n v="1"/>
    <x v="4"/>
    <x v="0"/>
    <x v="2"/>
    <x v="1"/>
    <n v="15000000"/>
    <n v="2"/>
    <d v="1899-12-30T00:02:00"/>
    <x v="0"/>
    <x v="3"/>
    <x v="5"/>
    <x v="1"/>
    <x v="1"/>
  </r>
  <r>
    <x v="0"/>
    <n v="30"/>
    <x v="4"/>
    <x v="3"/>
    <x v="1"/>
    <x v="4"/>
    <n v="21000000"/>
    <n v="3"/>
    <d v="1899-12-30T00:02:00"/>
    <x v="0"/>
    <x v="7"/>
    <x v="6"/>
    <x v="1"/>
    <x v="6"/>
  </r>
  <r>
    <x v="0"/>
    <n v="11"/>
    <x v="6"/>
    <x v="5"/>
    <x v="0"/>
    <x v="2"/>
    <n v="38000000"/>
    <n v="3"/>
    <d v="1899-12-30T00:02:00"/>
    <x v="1"/>
    <x v="4"/>
    <x v="3"/>
    <x v="0"/>
    <x v="7"/>
  </r>
  <r>
    <x v="1"/>
    <n v="11"/>
    <x v="4"/>
    <x v="4"/>
    <x v="2"/>
    <x v="5"/>
    <n v="0"/>
    <n v="2"/>
    <d v="1899-12-30T00:02:00"/>
    <x v="3"/>
    <x v="9"/>
    <x v="1"/>
    <x v="2"/>
    <x v="3"/>
  </r>
  <r>
    <x v="1"/>
    <n v="29"/>
    <x v="4"/>
    <x v="0"/>
    <x v="2"/>
    <x v="5"/>
    <n v="0"/>
    <n v="3"/>
    <d v="1899-12-30T00:02:00"/>
    <x v="3"/>
    <x v="9"/>
    <x v="6"/>
    <x v="1"/>
    <x v="6"/>
  </r>
  <r>
    <x v="0"/>
    <n v="12"/>
    <x v="6"/>
    <x v="2"/>
    <x v="0"/>
    <x v="0"/>
    <n v="19000000"/>
    <n v="5"/>
    <d v="1899-12-30T00:02:00"/>
    <x v="1"/>
    <x v="3"/>
    <x v="6"/>
    <x v="3"/>
    <x v="13"/>
  </r>
  <r>
    <x v="0"/>
    <n v="11"/>
    <x v="7"/>
    <x v="0"/>
    <x v="2"/>
    <x v="3"/>
    <n v="20000000"/>
    <n v="1"/>
    <d v="1899-12-30T00:02:00"/>
    <x v="0"/>
    <x v="2"/>
    <x v="2"/>
    <x v="1"/>
    <x v="2"/>
  </r>
  <r>
    <x v="0"/>
    <n v="19"/>
    <x v="3"/>
    <x v="4"/>
    <x v="1"/>
    <x v="3"/>
    <n v="11000000"/>
    <n v="1"/>
    <d v="1899-12-30T00:02:00"/>
    <x v="2"/>
    <x v="7"/>
    <x v="3"/>
    <x v="0"/>
    <x v="0"/>
  </r>
  <r>
    <x v="0"/>
    <n v="5"/>
    <x v="3"/>
    <x v="4"/>
    <x v="1"/>
    <x v="4"/>
    <n v="25000000"/>
    <n v="2"/>
    <d v="1899-12-30T00:02:00"/>
    <x v="0"/>
    <x v="7"/>
    <x v="2"/>
    <x v="2"/>
    <x v="8"/>
  </r>
  <r>
    <x v="0"/>
    <n v="22"/>
    <x v="3"/>
    <x v="5"/>
    <x v="1"/>
    <x v="2"/>
    <n v="12000000"/>
    <n v="2"/>
    <d v="1899-12-30T00:02:00"/>
    <x v="0"/>
    <x v="7"/>
    <x v="4"/>
    <x v="0"/>
    <x v="5"/>
  </r>
  <r>
    <x v="0"/>
    <n v="8"/>
    <x v="3"/>
    <x v="4"/>
    <x v="2"/>
    <x v="2"/>
    <n v="12000000"/>
    <n v="3"/>
    <d v="1899-12-30T00:02:00"/>
    <x v="0"/>
    <x v="0"/>
    <x v="5"/>
    <x v="1"/>
    <x v="2"/>
  </r>
  <r>
    <x v="0"/>
    <n v="22"/>
    <x v="4"/>
    <x v="3"/>
    <x v="2"/>
    <x v="1"/>
    <n v="15000000"/>
    <n v="1"/>
    <d v="1899-12-30T00:02:00"/>
    <x v="0"/>
    <x v="6"/>
    <x v="4"/>
    <x v="0"/>
    <x v="9"/>
  </r>
  <r>
    <x v="0"/>
    <n v="11"/>
    <x v="4"/>
    <x v="1"/>
    <x v="3"/>
    <x v="4"/>
    <n v="21000000"/>
    <n v="4"/>
    <d v="1899-12-30T00:02:00"/>
    <x v="0"/>
    <x v="0"/>
    <x v="0"/>
    <x v="1"/>
    <x v="1"/>
  </r>
  <r>
    <x v="0"/>
    <n v="17"/>
    <x v="4"/>
    <x v="0"/>
    <x v="2"/>
    <x v="1"/>
    <n v="15000000"/>
    <n v="1"/>
    <d v="1899-12-30T00:02:00"/>
    <x v="0"/>
    <x v="2"/>
    <x v="6"/>
    <x v="1"/>
    <x v="2"/>
  </r>
  <r>
    <x v="0"/>
    <n v="12"/>
    <x v="6"/>
    <x v="2"/>
    <x v="0"/>
    <x v="0"/>
    <n v="19000000"/>
    <n v="5"/>
    <d v="1899-12-30T00:02:00"/>
    <x v="1"/>
    <x v="3"/>
    <x v="6"/>
    <x v="3"/>
    <x v="13"/>
  </r>
  <r>
    <x v="0"/>
    <n v="11"/>
    <x v="7"/>
    <x v="0"/>
    <x v="2"/>
    <x v="3"/>
    <n v="20000000"/>
    <n v="1"/>
    <d v="1899-12-30T00:02:00"/>
    <x v="0"/>
    <x v="2"/>
    <x v="2"/>
    <x v="1"/>
    <x v="2"/>
  </r>
  <r>
    <x v="1"/>
    <n v="5"/>
    <x v="8"/>
    <x v="0"/>
    <x v="1"/>
    <x v="5"/>
    <n v="0"/>
    <n v="1"/>
    <d v="1899-12-30T00:02:00"/>
    <x v="3"/>
    <x v="9"/>
    <x v="5"/>
    <x v="0"/>
    <x v="10"/>
  </r>
  <r>
    <x v="1"/>
    <n v="29"/>
    <x v="2"/>
    <x v="0"/>
    <x v="2"/>
    <x v="5"/>
    <n v="0"/>
    <n v="4"/>
    <d v="1899-12-30T00:02:00"/>
    <x v="3"/>
    <x v="9"/>
    <x v="6"/>
    <x v="0"/>
    <x v="9"/>
  </r>
  <r>
    <x v="1"/>
    <n v="11"/>
    <x v="3"/>
    <x v="1"/>
    <x v="2"/>
    <x v="5"/>
    <n v="0"/>
    <n v="1"/>
    <d v="1899-12-30T00:02:00"/>
    <x v="3"/>
    <x v="9"/>
    <x v="7"/>
    <x v="2"/>
    <x v="11"/>
  </r>
  <r>
    <x v="1"/>
    <n v="23"/>
    <x v="4"/>
    <x v="3"/>
    <x v="1"/>
    <x v="5"/>
    <n v="0"/>
    <n v="1"/>
    <d v="1899-12-30T00:02:00"/>
    <x v="3"/>
    <x v="9"/>
    <x v="2"/>
    <x v="1"/>
    <x v="2"/>
  </r>
  <r>
    <x v="1"/>
    <n v="5"/>
    <x v="8"/>
    <x v="0"/>
    <x v="1"/>
    <x v="5"/>
    <n v="0"/>
    <n v="1"/>
    <d v="1899-12-30T00:02:00"/>
    <x v="3"/>
    <x v="9"/>
    <x v="5"/>
    <x v="0"/>
    <x v="10"/>
  </r>
  <r>
    <x v="0"/>
    <n v="2"/>
    <x v="5"/>
    <x v="2"/>
    <x v="2"/>
    <x v="3"/>
    <n v="15000000"/>
    <n v="3"/>
    <d v="1899-12-30T00:02:00"/>
    <x v="0"/>
    <x v="1"/>
    <x v="1"/>
    <x v="0"/>
    <x v="5"/>
  </r>
  <r>
    <x v="0"/>
    <n v="11"/>
    <x v="6"/>
    <x v="3"/>
    <x v="2"/>
    <x v="2"/>
    <n v="12000000"/>
    <n v="1"/>
    <d v="1899-12-30T00:02:00"/>
    <x v="0"/>
    <x v="0"/>
    <x v="1"/>
    <x v="0"/>
    <x v="7"/>
  </r>
  <r>
    <x v="0"/>
    <n v="1"/>
    <x v="8"/>
    <x v="2"/>
    <x v="3"/>
    <x v="0"/>
    <n v="19000000"/>
    <n v="2"/>
    <d v="1899-12-30T00:02:00"/>
    <x v="1"/>
    <x v="4"/>
    <x v="2"/>
    <x v="2"/>
    <x v="11"/>
  </r>
  <r>
    <x v="0"/>
    <n v="1"/>
    <x v="9"/>
    <x v="4"/>
    <x v="1"/>
    <x v="1"/>
    <n v="15000000"/>
    <n v="2"/>
    <d v="1899-12-30T00:02:00"/>
    <x v="0"/>
    <x v="7"/>
    <x v="7"/>
    <x v="1"/>
    <x v="2"/>
  </r>
  <r>
    <x v="0"/>
    <n v="12"/>
    <x v="2"/>
    <x v="5"/>
    <x v="2"/>
    <x v="2"/>
    <n v="38000000"/>
    <n v="6"/>
    <d v="1899-12-30T00:02:00"/>
    <x v="1"/>
    <x v="3"/>
    <x v="2"/>
    <x v="0"/>
    <x v="10"/>
  </r>
  <r>
    <x v="0"/>
    <n v="7"/>
    <x v="2"/>
    <x v="0"/>
    <x v="1"/>
    <x v="4"/>
    <n v="21000000"/>
    <n v="5"/>
    <d v="1899-12-30T00:02:00"/>
    <x v="0"/>
    <x v="1"/>
    <x v="5"/>
    <x v="1"/>
    <x v="1"/>
  </r>
  <r>
    <x v="0"/>
    <n v="11"/>
    <x v="2"/>
    <x v="1"/>
    <x v="2"/>
    <x v="4"/>
    <n v="25000000"/>
    <n v="5"/>
    <d v="1899-12-30T00:02:00"/>
    <x v="0"/>
    <x v="4"/>
    <x v="3"/>
    <x v="1"/>
    <x v="2"/>
  </r>
  <r>
    <x v="0"/>
    <n v="29"/>
    <x v="2"/>
    <x v="4"/>
    <x v="2"/>
    <x v="0"/>
    <n v="7000000"/>
    <n v="2"/>
    <d v="1899-12-30T00:02:00"/>
    <x v="0"/>
    <x v="5"/>
    <x v="4"/>
    <x v="3"/>
    <x v="13"/>
  </r>
  <r>
    <x v="0"/>
    <n v="3"/>
    <x v="3"/>
    <x v="3"/>
    <x v="2"/>
    <x v="2"/>
    <n v="38000000"/>
    <n v="3"/>
    <d v="1899-12-30T00:02:00"/>
    <x v="1"/>
    <x v="2"/>
    <x v="2"/>
    <x v="2"/>
    <x v="11"/>
  </r>
  <r>
    <x v="0"/>
    <n v="6"/>
    <x v="3"/>
    <x v="3"/>
    <x v="2"/>
    <x v="0"/>
    <n v="19000000"/>
    <n v="1"/>
    <d v="1899-12-30T00:02:00"/>
    <x v="1"/>
    <x v="0"/>
    <x v="4"/>
    <x v="3"/>
    <x v="4"/>
  </r>
  <r>
    <x v="0"/>
    <n v="26"/>
    <x v="3"/>
    <x v="0"/>
    <x v="1"/>
    <x v="3"/>
    <n v="20000000"/>
    <n v="3"/>
    <d v="1899-12-30T00:02:00"/>
    <x v="2"/>
    <x v="0"/>
    <x v="6"/>
    <x v="0"/>
    <x v="10"/>
  </r>
  <r>
    <x v="0"/>
    <n v="1"/>
    <x v="3"/>
    <x v="0"/>
    <x v="0"/>
    <x v="0"/>
    <n v="7000000"/>
    <n v="4"/>
    <d v="1899-12-30T00:02:00"/>
    <x v="0"/>
    <x v="2"/>
    <x v="2"/>
    <x v="1"/>
    <x v="2"/>
  </r>
  <r>
    <x v="0"/>
    <n v="1"/>
    <x v="3"/>
    <x v="2"/>
    <x v="1"/>
    <x v="2"/>
    <n v="12000000"/>
    <n v="4"/>
    <d v="1899-12-30T00:02:00"/>
    <x v="0"/>
    <x v="7"/>
    <x v="2"/>
    <x v="0"/>
    <x v="12"/>
  </r>
  <r>
    <x v="0"/>
    <n v="30"/>
    <x v="3"/>
    <x v="3"/>
    <x v="2"/>
    <x v="1"/>
    <n v="15000000"/>
    <n v="2"/>
    <d v="1899-12-30T00:02:00"/>
    <x v="0"/>
    <x v="6"/>
    <x v="6"/>
    <x v="1"/>
    <x v="1"/>
  </r>
  <r>
    <x v="0"/>
    <n v="3"/>
    <x v="4"/>
    <x v="2"/>
    <x v="1"/>
    <x v="3"/>
    <n v="20000000"/>
    <n v="6"/>
    <d v="1899-12-30T00:02:00"/>
    <x v="2"/>
    <x v="2"/>
    <x v="3"/>
    <x v="2"/>
    <x v="8"/>
  </r>
  <r>
    <x v="0"/>
    <n v="3"/>
    <x v="4"/>
    <x v="3"/>
    <x v="3"/>
    <x v="4"/>
    <n v="25000000"/>
    <n v="2"/>
    <d v="1899-12-30T00:02:00"/>
    <x v="0"/>
    <x v="8"/>
    <x v="5"/>
    <x v="0"/>
    <x v="7"/>
  </r>
  <r>
    <x v="0"/>
    <n v="10"/>
    <x v="4"/>
    <x v="2"/>
    <x v="2"/>
    <x v="2"/>
    <n v="12000000"/>
    <n v="1"/>
    <d v="1899-12-30T00:02:00"/>
    <x v="0"/>
    <x v="5"/>
    <x v="5"/>
    <x v="0"/>
    <x v="12"/>
  </r>
  <r>
    <x v="0"/>
    <n v="2"/>
    <x v="4"/>
    <x v="1"/>
    <x v="1"/>
    <x v="4"/>
    <n v="25000000"/>
    <n v="1"/>
    <d v="1899-12-30T00:02:00"/>
    <x v="0"/>
    <x v="2"/>
    <x v="6"/>
    <x v="1"/>
    <x v="6"/>
  </r>
  <r>
    <x v="0"/>
    <n v="16"/>
    <x v="10"/>
    <x v="0"/>
    <x v="1"/>
    <x v="1"/>
    <n v="12000000"/>
    <n v="3"/>
    <d v="1899-12-30T00:02:00"/>
    <x v="0"/>
    <x v="3"/>
    <x v="3"/>
    <x v="3"/>
    <x v="4"/>
  </r>
  <r>
    <x v="0"/>
    <n v="1"/>
    <x v="10"/>
    <x v="1"/>
    <x v="2"/>
    <x v="2"/>
    <n v="10000000"/>
    <n v="2"/>
    <d v="1899-12-30T00:02:00"/>
    <x v="0"/>
    <x v="4"/>
    <x v="7"/>
    <x v="2"/>
    <x v="11"/>
  </r>
  <r>
    <x v="0"/>
    <n v="2"/>
    <x v="5"/>
    <x v="2"/>
    <x v="2"/>
    <x v="3"/>
    <n v="15000000"/>
    <n v="3"/>
    <d v="1899-12-30T00:02:00"/>
    <x v="0"/>
    <x v="1"/>
    <x v="1"/>
    <x v="0"/>
    <x v="5"/>
  </r>
  <r>
    <x v="0"/>
    <n v="11"/>
    <x v="6"/>
    <x v="3"/>
    <x v="2"/>
    <x v="2"/>
    <n v="12000000"/>
    <n v="1"/>
    <d v="1899-12-30T00:02:00"/>
    <x v="0"/>
    <x v="0"/>
    <x v="1"/>
    <x v="0"/>
    <x v="7"/>
  </r>
  <r>
    <x v="0"/>
    <n v="1"/>
    <x v="8"/>
    <x v="2"/>
    <x v="3"/>
    <x v="0"/>
    <n v="19000000"/>
    <n v="2"/>
    <d v="1899-12-30T00:02:00"/>
    <x v="1"/>
    <x v="4"/>
    <x v="2"/>
    <x v="2"/>
    <x v="11"/>
  </r>
  <r>
    <x v="0"/>
    <n v="1"/>
    <x v="9"/>
    <x v="4"/>
    <x v="1"/>
    <x v="1"/>
    <n v="15000000"/>
    <n v="2"/>
    <d v="1899-12-30T00:02:00"/>
    <x v="0"/>
    <x v="7"/>
    <x v="7"/>
    <x v="1"/>
    <x v="2"/>
  </r>
  <r>
    <x v="1"/>
    <n v="23"/>
    <x v="2"/>
    <x v="5"/>
    <x v="1"/>
    <x v="5"/>
    <n v="0"/>
    <n v="1"/>
    <d v="1899-12-30T00:02:00"/>
    <x v="3"/>
    <x v="9"/>
    <x v="6"/>
    <x v="2"/>
    <x v="8"/>
  </r>
  <r>
    <x v="1"/>
    <n v="9"/>
    <x v="3"/>
    <x v="2"/>
    <x v="4"/>
    <x v="5"/>
    <n v="0"/>
    <n v="1"/>
    <d v="1899-12-30T00:02:00"/>
    <x v="3"/>
    <x v="9"/>
    <x v="3"/>
    <x v="2"/>
    <x v="8"/>
  </r>
  <r>
    <x v="1"/>
    <n v="23"/>
    <x v="3"/>
    <x v="2"/>
    <x v="3"/>
    <x v="5"/>
    <n v="0"/>
    <n v="1"/>
    <d v="1899-12-30T00:02:00"/>
    <x v="3"/>
    <x v="9"/>
    <x v="0"/>
    <x v="3"/>
    <x v="4"/>
  </r>
  <r>
    <x v="1"/>
    <n v="4"/>
    <x v="3"/>
    <x v="0"/>
    <x v="2"/>
    <x v="5"/>
    <n v="0"/>
    <n v="2"/>
    <d v="1899-12-30T00:02:00"/>
    <x v="3"/>
    <x v="9"/>
    <x v="5"/>
    <x v="1"/>
    <x v="6"/>
  </r>
  <r>
    <x v="1"/>
    <n v="8"/>
    <x v="10"/>
    <x v="0"/>
    <x v="0"/>
    <x v="5"/>
    <n v="0"/>
    <n v="6"/>
    <d v="1899-12-30T00:02:00"/>
    <x v="3"/>
    <x v="9"/>
    <x v="5"/>
    <x v="1"/>
    <x v="15"/>
  </r>
  <r>
    <x v="1"/>
    <n v="10"/>
    <x v="10"/>
    <x v="2"/>
    <x v="2"/>
    <x v="5"/>
    <n v="0"/>
    <n v="1"/>
    <d v="1899-12-30T00:02:00"/>
    <x v="3"/>
    <x v="9"/>
    <x v="7"/>
    <x v="3"/>
    <x v="4"/>
  </r>
  <r>
    <x v="0"/>
    <n v="11"/>
    <x v="6"/>
    <x v="0"/>
    <x v="1"/>
    <x v="3"/>
    <n v="20000000"/>
    <n v="1"/>
    <d v="1899-12-30T00:02:00"/>
    <x v="0"/>
    <x v="5"/>
    <x v="1"/>
    <x v="3"/>
    <x v="13"/>
  </r>
  <r>
    <x v="0"/>
    <n v="1"/>
    <x v="0"/>
    <x v="4"/>
    <x v="2"/>
    <x v="2"/>
    <n v="12000000"/>
    <n v="1"/>
    <d v="1899-12-30T00:02:00"/>
    <x v="0"/>
    <x v="2"/>
    <x v="3"/>
    <x v="1"/>
    <x v="14"/>
  </r>
  <r>
    <x v="0"/>
    <n v="13"/>
    <x v="9"/>
    <x v="0"/>
    <x v="1"/>
    <x v="4"/>
    <n v="21000000"/>
    <n v="4"/>
    <d v="1899-12-30T00:02:00"/>
    <x v="0"/>
    <x v="6"/>
    <x v="4"/>
    <x v="3"/>
    <x v="4"/>
  </r>
  <r>
    <x v="0"/>
    <n v="28"/>
    <x v="1"/>
    <x v="3"/>
    <x v="2"/>
    <x v="3"/>
    <n v="11000000"/>
    <n v="2"/>
    <d v="1899-12-30T00:02:00"/>
    <x v="2"/>
    <x v="0"/>
    <x v="4"/>
    <x v="2"/>
    <x v="8"/>
  </r>
  <r>
    <x v="0"/>
    <n v="27"/>
    <x v="3"/>
    <x v="0"/>
    <x v="2"/>
    <x v="0"/>
    <n v="19000000"/>
    <n v="2"/>
    <d v="1899-12-30T00:02:00"/>
    <x v="1"/>
    <x v="7"/>
    <x v="5"/>
    <x v="0"/>
    <x v="7"/>
  </r>
  <r>
    <x v="0"/>
    <n v="9"/>
    <x v="3"/>
    <x v="0"/>
    <x v="0"/>
    <x v="1"/>
    <n v="15000000"/>
    <n v="1"/>
    <d v="1899-12-30T00:02:00"/>
    <x v="0"/>
    <x v="5"/>
    <x v="7"/>
    <x v="1"/>
    <x v="1"/>
  </r>
  <r>
    <x v="0"/>
    <n v="19"/>
    <x v="3"/>
    <x v="0"/>
    <x v="2"/>
    <x v="4"/>
    <n v="25000000"/>
    <n v="3"/>
    <d v="1899-12-30T00:02:00"/>
    <x v="0"/>
    <x v="0"/>
    <x v="6"/>
    <x v="1"/>
    <x v="1"/>
  </r>
  <r>
    <x v="0"/>
    <n v="3"/>
    <x v="4"/>
    <x v="0"/>
    <x v="2"/>
    <x v="2"/>
    <n v="12000000"/>
    <n v="4"/>
    <d v="1899-12-30T00:02:00"/>
    <x v="0"/>
    <x v="0"/>
    <x v="0"/>
    <x v="2"/>
    <x v="11"/>
  </r>
  <r>
    <x v="0"/>
    <n v="12"/>
    <x v="4"/>
    <x v="4"/>
    <x v="0"/>
    <x v="1"/>
    <n v="15000000"/>
    <n v="2"/>
    <d v="1899-12-30T00:02:00"/>
    <x v="0"/>
    <x v="8"/>
    <x v="5"/>
    <x v="2"/>
    <x v="3"/>
  </r>
  <r>
    <x v="0"/>
    <n v="15"/>
    <x v="10"/>
    <x v="0"/>
    <x v="1"/>
    <x v="2"/>
    <n v="38000000"/>
    <n v="1"/>
    <d v="1899-12-30T00:02:00"/>
    <x v="1"/>
    <x v="2"/>
    <x v="3"/>
    <x v="1"/>
    <x v="14"/>
  </r>
  <r>
    <x v="0"/>
    <n v="11"/>
    <x v="6"/>
    <x v="0"/>
    <x v="1"/>
    <x v="3"/>
    <n v="20000000"/>
    <n v="1"/>
    <d v="1899-12-30T00:02:00"/>
    <x v="0"/>
    <x v="5"/>
    <x v="1"/>
    <x v="3"/>
    <x v="13"/>
  </r>
  <r>
    <x v="0"/>
    <n v="1"/>
    <x v="0"/>
    <x v="4"/>
    <x v="2"/>
    <x v="2"/>
    <n v="12000000"/>
    <n v="1"/>
    <d v="1899-12-30T00:02:00"/>
    <x v="0"/>
    <x v="2"/>
    <x v="3"/>
    <x v="1"/>
    <x v="14"/>
  </r>
  <r>
    <x v="0"/>
    <n v="13"/>
    <x v="9"/>
    <x v="0"/>
    <x v="1"/>
    <x v="4"/>
    <n v="21000000"/>
    <n v="4"/>
    <d v="1899-12-30T00:02:00"/>
    <x v="0"/>
    <x v="6"/>
    <x v="4"/>
    <x v="3"/>
    <x v="4"/>
  </r>
  <r>
    <x v="0"/>
    <n v="28"/>
    <x v="1"/>
    <x v="3"/>
    <x v="2"/>
    <x v="3"/>
    <n v="11000000"/>
    <n v="2"/>
    <d v="1899-12-30T00:02:00"/>
    <x v="2"/>
    <x v="0"/>
    <x v="4"/>
    <x v="2"/>
    <x v="8"/>
  </r>
  <r>
    <x v="1"/>
    <n v="12"/>
    <x v="5"/>
    <x v="0"/>
    <x v="1"/>
    <x v="5"/>
    <n v="0"/>
    <n v="1"/>
    <d v="1899-12-30T00:02:00"/>
    <x v="3"/>
    <x v="9"/>
    <x v="3"/>
    <x v="1"/>
    <x v="15"/>
  </r>
  <r>
    <x v="1"/>
    <n v="30"/>
    <x v="10"/>
    <x v="1"/>
    <x v="3"/>
    <x v="5"/>
    <n v="0"/>
    <n v="5"/>
    <d v="1899-12-30T00:02:00"/>
    <x v="3"/>
    <x v="9"/>
    <x v="2"/>
    <x v="0"/>
    <x v="12"/>
  </r>
  <r>
    <x v="1"/>
    <n v="30"/>
    <x v="10"/>
    <x v="1"/>
    <x v="2"/>
    <x v="5"/>
    <n v="0"/>
    <n v="3"/>
    <d v="1899-12-30T00:02:00"/>
    <x v="3"/>
    <x v="9"/>
    <x v="7"/>
    <x v="0"/>
    <x v="7"/>
  </r>
  <r>
    <x v="1"/>
    <n v="12"/>
    <x v="5"/>
    <x v="0"/>
    <x v="1"/>
    <x v="5"/>
    <n v="0"/>
    <n v="1"/>
    <d v="1899-12-30T00:02:00"/>
    <x v="3"/>
    <x v="9"/>
    <x v="3"/>
    <x v="1"/>
    <x v="15"/>
  </r>
  <r>
    <x v="0"/>
    <n v="11"/>
    <x v="6"/>
    <x v="3"/>
    <x v="2"/>
    <x v="2"/>
    <n v="38000000"/>
    <n v="5"/>
    <d v="1899-12-30T00:02:00"/>
    <x v="1"/>
    <x v="6"/>
    <x v="3"/>
    <x v="1"/>
    <x v="1"/>
  </r>
  <r>
    <x v="0"/>
    <n v="15"/>
    <x v="1"/>
    <x v="0"/>
    <x v="1"/>
    <x v="1"/>
    <n v="15000000"/>
    <n v="2"/>
    <d v="1899-12-30T00:02:00"/>
    <x v="0"/>
    <x v="7"/>
    <x v="5"/>
    <x v="0"/>
    <x v="7"/>
  </r>
  <r>
    <x v="0"/>
    <n v="30"/>
    <x v="2"/>
    <x v="3"/>
    <x v="1"/>
    <x v="0"/>
    <n v="19000000"/>
    <n v="4"/>
    <d v="1899-12-30T00:02:00"/>
    <x v="1"/>
    <x v="2"/>
    <x v="7"/>
    <x v="0"/>
    <x v="0"/>
  </r>
  <r>
    <x v="0"/>
    <n v="23"/>
    <x v="2"/>
    <x v="0"/>
    <x v="1"/>
    <x v="2"/>
    <n v="12000000"/>
    <n v="2"/>
    <d v="1899-12-30T00:02:00"/>
    <x v="0"/>
    <x v="4"/>
    <x v="1"/>
    <x v="2"/>
    <x v="8"/>
  </r>
  <r>
    <x v="0"/>
    <n v="30"/>
    <x v="2"/>
    <x v="3"/>
    <x v="2"/>
    <x v="3"/>
    <n v="20000000"/>
    <n v="4"/>
    <d v="1899-12-30T00:02:00"/>
    <x v="0"/>
    <x v="0"/>
    <x v="2"/>
    <x v="0"/>
    <x v="5"/>
  </r>
  <r>
    <x v="0"/>
    <n v="11"/>
    <x v="2"/>
    <x v="3"/>
    <x v="1"/>
    <x v="1"/>
    <n v="15000000"/>
    <n v="3"/>
    <d v="1899-12-30T00:02:00"/>
    <x v="0"/>
    <x v="2"/>
    <x v="4"/>
    <x v="1"/>
    <x v="6"/>
  </r>
  <r>
    <x v="0"/>
    <n v="4"/>
    <x v="2"/>
    <x v="0"/>
    <x v="0"/>
    <x v="1"/>
    <n v="11000000"/>
    <n v="2"/>
    <d v="1899-12-30T00:02:00"/>
    <x v="0"/>
    <x v="2"/>
    <x v="6"/>
    <x v="3"/>
    <x v="13"/>
  </r>
  <r>
    <x v="0"/>
    <n v="12"/>
    <x v="2"/>
    <x v="0"/>
    <x v="1"/>
    <x v="2"/>
    <n v="12000000"/>
    <n v="1"/>
    <d v="1899-12-30T00:02:00"/>
    <x v="0"/>
    <x v="7"/>
    <x v="6"/>
    <x v="1"/>
    <x v="6"/>
  </r>
  <r>
    <x v="0"/>
    <n v="9"/>
    <x v="2"/>
    <x v="3"/>
    <x v="4"/>
    <x v="4"/>
    <n v="21000000"/>
    <n v="1"/>
    <d v="1899-12-30T00:02:00"/>
    <x v="0"/>
    <x v="3"/>
    <x v="7"/>
    <x v="1"/>
    <x v="6"/>
  </r>
  <r>
    <x v="0"/>
    <n v="26"/>
    <x v="3"/>
    <x v="2"/>
    <x v="2"/>
    <x v="2"/>
    <n v="38000000"/>
    <n v="3"/>
    <d v="1899-12-30T00:02:00"/>
    <x v="1"/>
    <x v="4"/>
    <x v="6"/>
    <x v="0"/>
    <x v="7"/>
  </r>
  <r>
    <x v="0"/>
    <n v="18"/>
    <x v="3"/>
    <x v="4"/>
    <x v="2"/>
    <x v="3"/>
    <n v="11000000"/>
    <n v="2"/>
    <d v="1899-12-30T00:02:00"/>
    <x v="2"/>
    <x v="8"/>
    <x v="0"/>
    <x v="3"/>
    <x v="4"/>
  </r>
  <r>
    <x v="0"/>
    <n v="29"/>
    <x v="3"/>
    <x v="4"/>
    <x v="1"/>
    <x v="1"/>
    <n v="15000000"/>
    <n v="2"/>
    <d v="1899-12-30T00:02:00"/>
    <x v="0"/>
    <x v="0"/>
    <x v="3"/>
    <x v="2"/>
    <x v="3"/>
  </r>
  <r>
    <x v="0"/>
    <n v="27"/>
    <x v="3"/>
    <x v="4"/>
    <x v="2"/>
    <x v="4"/>
    <n v="25000000"/>
    <n v="4"/>
    <d v="1899-12-30T00:02:00"/>
    <x v="0"/>
    <x v="7"/>
    <x v="5"/>
    <x v="1"/>
    <x v="2"/>
  </r>
  <r>
    <x v="0"/>
    <n v="15"/>
    <x v="4"/>
    <x v="3"/>
    <x v="0"/>
    <x v="3"/>
    <n v="15000000"/>
    <n v="1"/>
    <d v="1899-12-30T00:02:00"/>
    <x v="0"/>
    <x v="7"/>
    <x v="2"/>
    <x v="1"/>
    <x v="6"/>
  </r>
  <r>
    <x v="0"/>
    <n v="16"/>
    <x v="4"/>
    <x v="5"/>
    <x v="1"/>
    <x v="2"/>
    <n v="12000000"/>
    <n v="3"/>
    <d v="1899-12-30T00:02:00"/>
    <x v="0"/>
    <x v="6"/>
    <x v="5"/>
    <x v="3"/>
    <x v="4"/>
  </r>
  <r>
    <x v="0"/>
    <n v="27"/>
    <x v="4"/>
    <x v="4"/>
    <x v="0"/>
    <x v="4"/>
    <n v="20000000"/>
    <n v="1"/>
    <d v="1899-12-30T00:02:00"/>
    <x v="0"/>
    <x v="0"/>
    <x v="2"/>
    <x v="0"/>
    <x v="10"/>
  </r>
  <r>
    <x v="0"/>
    <n v="3"/>
    <x v="4"/>
    <x v="2"/>
    <x v="1"/>
    <x v="2"/>
    <n v="12000000"/>
    <n v="4"/>
    <d v="1899-12-30T00:02:00"/>
    <x v="0"/>
    <x v="0"/>
    <x v="5"/>
    <x v="3"/>
    <x v="13"/>
  </r>
  <r>
    <x v="0"/>
    <n v="26"/>
    <x v="4"/>
    <x v="3"/>
    <x v="1"/>
    <x v="1"/>
    <n v="12000000"/>
    <n v="1"/>
    <d v="1899-12-30T00:02:00"/>
    <x v="0"/>
    <x v="0"/>
    <x v="7"/>
    <x v="2"/>
    <x v="11"/>
  </r>
  <r>
    <x v="0"/>
    <n v="22"/>
    <x v="10"/>
    <x v="0"/>
    <x v="2"/>
    <x v="2"/>
    <n v="12000000"/>
    <n v="4"/>
    <d v="1899-12-30T00:02:00"/>
    <x v="0"/>
    <x v="8"/>
    <x v="3"/>
    <x v="0"/>
    <x v="7"/>
  </r>
  <r>
    <x v="0"/>
    <n v="24"/>
    <x v="10"/>
    <x v="0"/>
    <x v="2"/>
    <x v="0"/>
    <n v="7000000"/>
    <n v="2"/>
    <d v="1899-12-30T00:02:00"/>
    <x v="0"/>
    <x v="7"/>
    <x v="3"/>
    <x v="2"/>
    <x v="11"/>
  </r>
  <r>
    <x v="0"/>
    <n v="24"/>
    <x v="10"/>
    <x v="0"/>
    <x v="4"/>
    <x v="4"/>
    <n v="25000000"/>
    <n v="2"/>
    <d v="1899-12-30T00:02:00"/>
    <x v="0"/>
    <x v="0"/>
    <x v="5"/>
    <x v="3"/>
    <x v="4"/>
  </r>
  <r>
    <x v="0"/>
    <n v="11"/>
    <x v="6"/>
    <x v="3"/>
    <x v="2"/>
    <x v="2"/>
    <n v="38000000"/>
    <n v="5"/>
    <d v="1899-12-30T00:02:00"/>
    <x v="1"/>
    <x v="6"/>
    <x v="3"/>
    <x v="1"/>
    <x v="1"/>
  </r>
  <r>
    <x v="0"/>
    <n v="15"/>
    <x v="1"/>
    <x v="0"/>
    <x v="1"/>
    <x v="1"/>
    <n v="15000000"/>
    <n v="2"/>
    <d v="1899-12-30T00:02:00"/>
    <x v="0"/>
    <x v="7"/>
    <x v="5"/>
    <x v="0"/>
    <x v="7"/>
  </r>
  <r>
    <x v="1"/>
    <n v="17"/>
    <x v="7"/>
    <x v="1"/>
    <x v="1"/>
    <x v="5"/>
    <n v="0"/>
    <n v="2"/>
    <d v="1899-12-30T00:02:00"/>
    <x v="3"/>
    <x v="9"/>
    <x v="2"/>
    <x v="1"/>
    <x v="2"/>
  </r>
  <r>
    <x v="1"/>
    <n v="6"/>
    <x v="1"/>
    <x v="0"/>
    <x v="0"/>
    <x v="5"/>
    <n v="0"/>
    <n v="1"/>
    <d v="1899-12-30T00:02:00"/>
    <x v="3"/>
    <x v="9"/>
    <x v="5"/>
    <x v="2"/>
    <x v="11"/>
  </r>
  <r>
    <x v="1"/>
    <n v="18"/>
    <x v="2"/>
    <x v="0"/>
    <x v="1"/>
    <x v="5"/>
    <n v="0"/>
    <n v="1"/>
    <d v="1899-12-30T00:02:00"/>
    <x v="3"/>
    <x v="9"/>
    <x v="7"/>
    <x v="2"/>
    <x v="8"/>
  </r>
  <r>
    <x v="1"/>
    <n v="11"/>
    <x v="4"/>
    <x v="5"/>
    <x v="2"/>
    <x v="5"/>
    <n v="0"/>
    <n v="4"/>
    <d v="1899-12-30T00:02:00"/>
    <x v="3"/>
    <x v="9"/>
    <x v="6"/>
    <x v="1"/>
    <x v="1"/>
  </r>
  <r>
    <x v="1"/>
    <n v="21"/>
    <x v="10"/>
    <x v="4"/>
    <x v="1"/>
    <x v="5"/>
    <n v="0"/>
    <n v="1"/>
    <d v="1899-12-30T00:02:00"/>
    <x v="3"/>
    <x v="9"/>
    <x v="4"/>
    <x v="0"/>
    <x v="10"/>
  </r>
  <r>
    <x v="1"/>
    <n v="17"/>
    <x v="7"/>
    <x v="1"/>
    <x v="1"/>
    <x v="5"/>
    <n v="0"/>
    <n v="2"/>
    <d v="1899-12-30T00:02:00"/>
    <x v="3"/>
    <x v="9"/>
    <x v="2"/>
    <x v="1"/>
    <x v="2"/>
  </r>
  <r>
    <x v="0"/>
    <n v="12"/>
    <x v="5"/>
    <x v="1"/>
    <x v="1"/>
    <x v="2"/>
    <n v="12000000"/>
    <n v="1"/>
    <d v="1899-12-30T00:02:00"/>
    <x v="0"/>
    <x v="2"/>
    <x v="3"/>
    <x v="1"/>
    <x v="14"/>
  </r>
  <r>
    <x v="0"/>
    <n v="1"/>
    <x v="0"/>
    <x v="2"/>
    <x v="2"/>
    <x v="3"/>
    <n v="20000000"/>
    <n v="1"/>
    <d v="1899-12-30T00:02:00"/>
    <x v="0"/>
    <x v="3"/>
    <x v="3"/>
    <x v="1"/>
    <x v="15"/>
  </r>
  <r>
    <x v="0"/>
    <n v="27"/>
    <x v="1"/>
    <x v="0"/>
    <x v="1"/>
    <x v="3"/>
    <n v="11000000"/>
    <n v="1"/>
    <d v="1899-12-30T00:02:00"/>
    <x v="2"/>
    <x v="5"/>
    <x v="1"/>
    <x v="2"/>
    <x v="8"/>
  </r>
  <r>
    <x v="0"/>
    <n v="26"/>
    <x v="1"/>
    <x v="5"/>
    <x v="0"/>
    <x v="1"/>
    <n v="15000000"/>
    <n v="1"/>
    <d v="1899-12-30T00:02:00"/>
    <x v="0"/>
    <x v="8"/>
    <x v="5"/>
    <x v="1"/>
    <x v="2"/>
  </r>
  <r>
    <x v="0"/>
    <n v="30"/>
    <x v="2"/>
    <x v="2"/>
    <x v="2"/>
    <x v="1"/>
    <n v="15000000"/>
    <n v="1"/>
    <d v="1899-12-30T00:02:00"/>
    <x v="0"/>
    <x v="2"/>
    <x v="5"/>
    <x v="2"/>
    <x v="11"/>
  </r>
  <r>
    <x v="0"/>
    <n v="11"/>
    <x v="2"/>
    <x v="2"/>
    <x v="0"/>
    <x v="2"/>
    <n v="12000000"/>
    <n v="5"/>
    <d v="1899-12-30T00:02:00"/>
    <x v="0"/>
    <x v="1"/>
    <x v="6"/>
    <x v="0"/>
    <x v="9"/>
  </r>
  <r>
    <x v="0"/>
    <n v="28"/>
    <x v="3"/>
    <x v="0"/>
    <x v="0"/>
    <x v="4"/>
    <n v="21000000"/>
    <n v="3"/>
    <d v="1899-12-30T00:02:00"/>
    <x v="0"/>
    <x v="4"/>
    <x v="1"/>
    <x v="1"/>
    <x v="6"/>
  </r>
  <r>
    <x v="0"/>
    <n v="8"/>
    <x v="3"/>
    <x v="4"/>
    <x v="0"/>
    <x v="2"/>
    <n v="12000000"/>
    <n v="2"/>
    <d v="1899-12-30T00:02:00"/>
    <x v="0"/>
    <x v="4"/>
    <x v="3"/>
    <x v="0"/>
    <x v="12"/>
  </r>
  <r>
    <x v="0"/>
    <n v="25"/>
    <x v="3"/>
    <x v="0"/>
    <x v="1"/>
    <x v="4"/>
    <n v="25000000"/>
    <n v="1"/>
    <d v="1899-12-30T00:02:00"/>
    <x v="0"/>
    <x v="0"/>
    <x v="6"/>
    <x v="3"/>
    <x v="4"/>
  </r>
  <r>
    <x v="0"/>
    <n v="2"/>
    <x v="3"/>
    <x v="2"/>
    <x v="1"/>
    <x v="1"/>
    <n v="15000000"/>
    <n v="3"/>
    <d v="1899-12-30T00:02:00"/>
    <x v="0"/>
    <x v="0"/>
    <x v="7"/>
    <x v="0"/>
    <x v="12"/>
  </r>
  <r>
    <x v="0"/>
    <n v="29"/>
    <x v="3"/>
    <x v="0"/>
    <x v="1"/>
    <x v="2"/>
    <n v="12000000"/>
    <n v="1"/>
    <d v="1899-12-30T00:02:00"/>
    <x v="0"/>
    <x v="7"/>
    <x v="7"/>
    <x v="1"/>
    <x v="2"/>
  </r>
  <r>
    <x v="0"/>
    <n v="6"/>
    <x v="4"/>
    <x v="1"/>
    <x v="1"/>
    <x v="1"/>
    <n v="15000000"/>
    <n v="1"/>
    <d v="1899-12-30T00:02:00"/>
    <x v="0"/>
    <x v="0"/>
    <x v="2"/>
    <x v="1"/>
    <x v="6"/>
  </r>
  <r>
    <x v="0"/>
    <n v="19"/>
    <x v="4"/>
    <x v="0"/>
    <x v="1"/>
    <x v="1"/>
    <n v="15000000"/>
    <n v="5"/>
    <d v="1899-12-30T00:02:00"/>
    <x v="0"/>
    <x v="7"/>
    <x v="2"/>
    <x v="1"/>
    <x v="6"/>
  </r>
  <r>
    <x v="0"/>
    <n v="22"/>
    <x v="4"/>
    <x v="4"/>
    <x v="1"/>
    <x v="2"/>
    <n v="12000000"/>
    <n v="2"/>
    <d v="1899-12-30T00:02:00"/>
    <x v="0"/>
    <x v="2"/>
    <x v="1"/>
    <x v="0"/>
    <x v="7"/>
  </r>
  <r>
    <x v="0"/>
    <n v="3"/>
    <x v="4"/>
    <x v="1"/>
    <x v="2"/>
    <x v="4"/>
    <n v="25000000"/>
    <n v="3"/>
    <d v="1899-12-30T00:02:00"/>
    <x v="0"/>
    <x v="4"/>
    <x v="4"/>
    <x v="0"/>
    <x v="5"/>
  </r>
  <r>
    <x v="0"/>
    <n v="2"/>
    <x v="4"/>
    <x v="1"/>
    <x v="2"/>
    <x v="4"/>
    <n v="25000000"/>
    <n v="1"/>
    <d v="1899-12-30T00:02:00"/>
    <x v="0"/>
    <x v="7"/>
    <x v="7"/>
    <x v="0"/>
    <x v="12"/>
  </r>
  <r>
    <x v="0"/>
    <n v="1"/>
    <x v="10"/>
    <x v="2"/>
    <x v="2"/>
    <x v="3"/>
    <n v="20000000"/>
    <n v="4"/>
    <d v="1899-12-30T00:02:00"/>
    <x v="0"/>
    <x v="1"/>
    <x v="7"/>
    <x v="1"/>
    <x v="6"/>
  </r>
  <r>
    <x v="0"/>
    <n v="17"/>
    <x v="10"/>
    <x v="5"/>
    <x v="0"/>
    <x v="1"/>
    <n v="15000000"/>
    <n v="5"/>
    <d v="1899-12-30T00:02:00"/>
    <x v="0"/>
    <x v="4"/>
    <x v="7"/>
    <x v="2"/>
    <x v="8"/>
  </r>
  <r>
    <x v="0"/>
    <n v="2"/>
    <x v="10"/>
    <x v="2"/>
    <x v="0"/>
    <x v="2"/>
    <n v="12000000"/>
    <n v="2"/>
    <d v="1899-12-30T00:02:00"/>
    <x v="0"/>
    <x v="7"/>
    <x v="0"/>
    <x v="0"/>
    <x v="5"/>
  </r>
  <r>
    <x v="0"/>
    <n v="12"/>
    <x v="5"/>
    <x v="1"/>
    <x v="1"/>
    <x v="2"/>
    <n v="12000000"/>
    <n v="1"/>
    <d v="1899-12-30T00:02:00"/>
    <x v="0"/>
    <x v="2"/>
    <x v="3"/>
    <x v="1"/>
    <x v="14"/>
  </r>
  <r>
    <x v="0"/>
    <n v="1"/>
    <x v="0"/>
    <x v="2"/>
    <x v="2"/>
    <x v="3"/>
    <n v="20000000"/>
    <n v="1"/>
    <d v="1899-12-30T00:02:00"/>
    <x v="0"/>
    <x v="3"/>
    <x v="3"/>
    <x v="1"/>
    <x v="15"/>
  </r>
  <r>
    <x v="0"/>
    <n v="27"/>
    <x v="1"/>
    <x v="0"/>
    <x v="1"/>
    <x v="3"/>
    <n v="11000000"/>
    <n v="1"/>
    <d v="1899-12-30T00:02:00"/>
    <x v="2"/>
    <x v="5"/>
    <x v="1"/>
    <x v="2"/>
    <x v="8"/>
  </r>
  <r>
    <x v="1"/>
    <n v="6"/>
    <x v="5"/>
    <x v="0"/>
    <x v="0"/>
    <x v="5"/>
    <n v="0"/>
    <n v="4"/>
    <d v="1899-12-30T00:02:00"/>
    <x v="3"/>
    <x v="9"/>
    <x v="7"/>
    <x v="0"/>
    <x v="7"/>
  </r>
  <r>
    <x v="1"/>
    <n v="28"/>
    <x v="8"/>
    <x v="3"/>
    <x v="0"/>
    <x v="5"/>
    <n v="0"/>
    <n v="1"/>
    <d v="1899-12-30T00:02:00"/>
    <x v="3"/>
    <x v="9"/>
    <x v="6"/>
    <x v="0"/>
    <x v="5"/>
  </r>
  <r>
    <x v="1"/>
    <n v="5"/>
    <x v="3"/>
    <x v="2"/>
    <x v="2"/>
    <x v="5"/>
    <n v="0"/>
    <n v="3"/>
    <d v="1899-12-30T00:02:00"/>
    <x v="3"/>
    <x v="9"/>
    <x v="2"/>
    <x v="3"/>
    <x v="4"/>
  </r>
  <r>
    <x v="1"/>
    <n v="4"/>
    <x v="10"/>
    <x v="3"/>
    <x v="4"/>
    <x v="5"/>
    <n v="0"/>
    <n v="4"/>
    <d v="1899-12-30T00:02:00"/>
    <x v="3"/>
    <x v="9"/>
    <x v="3"/>
    <x v="2"/>
    <x v="8"/>
  </r>
  <r>
    <x v="1"/>
    <n v="28"/>
    <x v="10"/>
    <x v="3"/>
    <x v="3"/>
    <x v="5"/>
    <n v="0"/>
    <n v="2"/>
    <d v="1899-12-30T00:02:00"/>
    <x v="3"/>
    <x v="9"/>
    <x v="3"/>
    <x v="1"/>
    <x v="2"/>
  </r>
  <r>
    <x v="1"/>
    <n v="10"/>
    <x v="10"/>
    <x v="0"/>
    <x v="1"/>
    <x v="5"/>
    <n v="0"/>
    <n v="1"/>
    <d v="1899-12-30T00:02:00"/>
    <x v="3"/>
    <x v="9"/>
    <x v="4"/>
    <x v="1"/>
    <x v="1"/>
  </r>
  <r>
    <x v="1"/>
    <n v="30"/>
    <x v="10"/>
    <x v="3"/>
    <x v="1"/>
    <x v="5"/>
    <n v="0"/>
    <n v="2"/>
    <d v="1899-12-30T00:02:00"/>
    <x v="3"/>
    <x v="9"/>
    <x v="0"/>
    <x v="0"/>
    <x v="9"/>
  </r>
  <r>
    <x v="1"/>
    <n v="6"/>
    <x v="5"/>
    <x v="0"/>
    <x v="0"/>
    <x v="5"/>
    <n v="0"/>
    <n v="4"/>
    <d v="1899-12-30T00:02:00"/>
    <x v="3"/>
    <x v="9"/>
    <x v="7"/>
    <x v="0"/>
    <x v="7"/>
  </r>
  <r>
    <x v="1"/>
    <n v="28"/>
    <x v="8"/>
    <x v="3"/>
    <x v="0"/>
    <x v="5"/>
    <n v="0"/>
    <n v="1"/>
    <d v="1899-12-30T00:02:00"/>
    <x v="3"/>
    <x v="9"/>
    <x v="6"/>
    <x v="0"/>
    <x v="5"/>
  </r>
  <r>
    <x v="0"/>
    <n v="4"/>
    <x v="0"/>
    <x v="1"/>
    <x v="2"/>
    <x v="4"/>
    <n v="20000000"/>
    <n v="1"/>
    <d v="1899-12-30T00:02:00"/>
    <x v="0"/>
    <x v="3"/>
    <x v="7"/>
    <x v="2"/>
    <x v="8"/>
  </r>
  <r>
    <x v="0"/>
    <n v="6"/>
    <x v="8"/>
    <x v="1"/>
    <x v="4"/>
    <x v="2"/>
    <n v="12000000"/>
    <n v="1"/>
    <d v="1899-12-30T00:02:00"/>
    <x v="0"/>
    <x v="3"/>
    <x v="3"/>
    <x v="1"/>
    <x v="6"/>
  </r>
  <r>
    <x v="0"/>
    <n v="12"/>
    <x v="9"/>
    <x v="2"/>
    <x v="3"/>
    <x v="2"/>
    <n v="12000000"/>
    <n v="5"/>
    <d v="1899-12-30T00:02:00"/>
    <x v="0"/>
    <x v="4"/>
    <x v="2"/>
    <x v="3"/>
    <x v="13"/>
  </r>
  <r>
    <x v="0"/>
    <n v="11"/>
    <x v="1"/>
    <x v="3"/>
    <x v="2"/>
    <x v="2"/>
    <n v="12000000"/>
    <n v="1"/>
    <d v="1899-12-30T00:02:00"/>
    <x v="0"/>
    <x v="1"/>
    <x v="5"/>
    <x v="1"/>
    <x v="1"/>
  </r>
  <r>
    <x v="0"/>
    <n v="2"/>
    <x v="3"/>
    <x v="0"/>
    <x v="1"/>
    <x v="1"/>
    <n v="15000000"/>
    <n v="1"/>
    <d v="1899-12-30T00:02:00"/>
    <x v="0"/>
    <x v="4"/>
    <x v="0"/>
    <x v="0"/>
    <x v="12"/>
  </r>
  <r>
    <x v="0"/>
    <n v="8"/>
    <x v="3"/>
    <x v="0"/>
    <x v="2"/>
    <x v="1"/>
    <n v="15000000"/>
    <n v="4"/>
    <d v="1899-12-30T00:02:00"/>
    <x v="0"/>
    <x v="5"/>
    <x v="7"/>
    <x v="2"/>
    <x v="8"/>
  </r>
  <r>
    <x v="0"/>
    <n v="17"/>
    <x v="4"/>
    <x v="2"/>
    <x v="1"/>
    <x v="3"/>
    <n v="11000000"/>
    <n v="2"/>
    <d v="1899-12-30T00:02:00"/>
    <x v="2"/>
    <x v="0"/>
    <x v="7"/>
    <x v="0"/>
    <x v="0"/>
  </r>
  <r>
    <x v="0"/>
    <n v="10"/>
    <x v="10"/>
    <x v="2"/>
    <x v="1"/>
    <x v="3"/>
    <n v="20000000"/>
    <n v="1"/>
    <d v="1899-12-30T00:02:00"/>
    <x v="0"/>
    <x v="0"/>
    <x v="6"/>
    <x v="3"/>
    <x v="13"/>
  </r>
  <r>
    <x v="0"/>
    <n v="17"/>
    <x v="10"/>
    <x v="4"/>
    <x v="0"/>
    <x v="0"/>
    <n v="7000000"/>
    <n v="5"/>
    <d v="1899-12-30T00:02:00"/>
    <x v="0"/>
    <x v="8"/>
    <x v="6"/>
    <x v="3"/>
    <x v="4"/>
  </r>
  <r>
    <x v="0"/>
    <n v="4"/>
    <x v="0"/>
    <x v="1"/>
    <x v="2"/>
    <x v="4"/>
    <n v="20000000"/>
    <n v="1"/>
    <d v="1899-12-30T00:02:00"/>
    <x v="0"/>
    <x v="3"/>
    <x v="7"/>
    <x v="2"/>
    <x v="8"/>
  </r>
  <r>
    <x v="0"/>
    <n v="6"/>
    <x v="8"/>
    <x v="1"/>
    <x v="4"/>
    <x v="2"/>
    <n v="12000000"/>
    <n v="1"/>
    <d v="1899-12-30T00:02:00"/>
    <x v="0"/>
    <x v="3"/>
    <x v="3"/>
    <x v="1"/>
    <x v="6"/>
  </r>
  <r>
    <x v="0"/>
    <n v="12"/>
    <x v="9"/>
    <x v="2"/>
    <x v="3"/>
    <x v="2"/>
    <n v="12000000"/>
    <n v="5"/>
    <d v="1899-12-30T00:02:00"/>
    <x v="0"/>
    <x v="4"/>
    <x v="2"/>
    <x v="3"/>
    <x v="13"/>
  </r>
  <r>
    <x v="1"/>
    <n v="2"/>
    <x v="8"/>
    <x v="0"/>
    <x v="2"/>
    <x v="5"/>
    <n v="0"/>
    <n v="1"/>
    <d v="1899-12-30T00:02:00"/>
    <x v="3"/>
    <x v="9"/>
    <x v="1"/>
    <x v="2"/>
    <x v="11"/>
  </r>
  <r>
    <x v="1"/>
    <n v="30"/>
    <x v="2"/>
    <x v="0"/>
    <x v="1"/>
    <x v="5"/>
    <n v="0"/>
    <n v="2"/>
    <d v="1899-12-30T00:02:00"/>
    <x v="3"/>
    <x v="9"/>
    <x v="5"/>
    <x v="1"/>
    <x v="2"/>
  </r>
  <r>
    <x v="1"/>
    <n v="8"/>
    <x v="3"/>
    <x v="3"/>
    <x v="1"/>
    <x v="5"/>
    <n v="0"/>
    <n v="1"/>
    <d v="1899-12-30T00:02:00"/>
    <x v="3"/>
    <x v="9"/>
    <x v="2"/>
    <x v="0"/>
    <x v="9"/>
  </r>
  <r>
    <x v="1"/>
    <n v="20"/>
    <x v="4"/>
    <x v="2"/>
    <x v="0"/>
    <x v="5"/>
    <n v="0"/>
    <n v="2"/>
    <d v="1899-12-30T00:02:00"/>
    <x v="3"/>
    <x v="9"/>
    <x v="3"/>
    <x v="0"/>
    <x v="9"/>
  </r>
  <r>
    <x v="1"/>
    <n v="2"/>
    <x v="8"/>
    <x v="0"/>
    <x v="2"/>
    <x v="5"/>
    <n v="0"/>
    <n v="1"/>
    <d v="1899-12-30T00:02:00"/>
    <x v="3"/>
    <x v="9"/>
    <x v="1"/>
    <x v="2"/>
    <x v="11"/>
  </r>
  <r>
    <x v="0"/>
    <n v="10"/>
    <x v="5"/>
    <x v="2"/>
    <x v="2"/>
    <x v="2"/>
    <n v="12000000"/>
    <n v="1"/>
    <d v="1899-12-30T00:02:00"/>
    <x v="0"/>
    <x v="0"/>
    <x v="0"/>
    <x v="2"/>
    <x v="3"/>
  </r>
  <r>
    <x v="0"/>
    <n v="1"/>
    <x v="5"/>
    <x v="2"/>
    <x v="2"/>
    <x v="1"/>
    <n v="11000000"/>
    <n v="2"/>
    <d v="1899-12-30T00:02:00"/>
    <x v="0"/>
    <x v="8"/>
    <x v="0"/>
    <x v="0"/>
    <x v="10"/>
  </r>
  <r>
    <x v="0"/>
    <n v="11"/>
    <x v="6"/>
    <x v="0"/>
    <x v="0"/>
    <x v="2"/>
    <n v="10000000"/>
    <n v="2"/>
    <d v="1899-12-30T00:02:00"/>
    <x v="0"/>
    <x v="7"/>
    <x v="6"/>
    <x v="3"/>
    <x v="4"/>
  </r>
  <r>
    <x v="0"/>
    <n v="3"/>
    <x v="8"/>
    <x v="4"/>
    <x v="2"/>
    <x v="2"/>
    <n v="38000000"/>
    <n v="1"/>
    <d v="1899-12-30T00:02:00"/>
    <x v="1"/>
    <x v="0"/>
    <x v="2"/>
    <x v="2"/>
    <x v="11"/>
  </r>
  <r>
    <x v="0"/>
    <n v="20"/>
    <x v="11"/>
    <x v="1"/>
    <x v="2"/>
    <x v="0"/>
    <n v="19000000"/>
    <n v="5"/>
    <d v="1899-12-30T00:02:00"/>
    <x v="1"/>
    <x v="2"/>
    <x v="5"/>
    <x v="3"/>
    <x v="13"/>
  </r>
  <r>
    <x v="0"/>
    <n v="11"/>
    <x v="1"/>
    <x v="0"/>
    <x v="2"/>
    <x v="1"/>
    <n v="15000000"/>
    <n v="4"/>
    <d v="1899-12-30T00:02:00"/>
    <x v="0"/>
    <x v="2"/>
    <x v="7"/>
    <x v="3"/>
    <x v="13"/>
  </r>
  <r>
    <x v="0"/>
    <n v="28"/>
    <x v="2"/>
    <x v="2"/>
    <x v="1"/>
    <x v="0"/>
    <n v="19000000"/>
    <n v="4"/>
    <d v="1899-12-30T00:02:00"/>
    <x v="4"/>
    <x v="3"/>
    <x v="5"/>
    <x v="3"/>
    <x v="4"/>
  </r>
  <r>
    <x v="0"/>
    <n v="30"/>
    <x v="2"/>
    <x v="2"/>
    <x v="2"/>
    <x v="2"/>
    <n v="38000000"/>
    <n v="1"/>
    <d v="1899-12-30T00:02:00"/>
    <x v="1"/>
    <x v="4"/>
    <x v="2"/>
    <x v="2"/>
    <x v="8"/>
  </r>
  <r>
    <x v="0"/>
    <n v="11"/>
    <x v="2"/>
    <x v="2"/>
    <x v="2"/>
    <x v="4"/>
    <n v="25000000"/>
    <n v="2"/>
    <d v="1899-12-30T00:02:00"/>
    <x v="0"/>
    <x v="2"/>
    <x v="2"/>
    <x v="1"/>
    <x v="15"/>
  </r>
  <r>
    <x v="0"/>
    <n v="12"/>
    <x v="2"/>
    <x v="2"/>
    <x v="2"/>
    <x v="4"/>
    <n v="25000000"/>
    <n v="5"/>
    <d v="1899-12-30T00:02:00"/>
    <x v="0"/>
    <x v="7"/>
    <x v="2"/>
    <x v="0"/>
    <x v="10"/>
  </r>
  <r>
    <x v="0"/>
    <n v="17"/>
    <x v="2"/>
    <x v="1"/>
    <x v="2"/>
    <x v="2"/>
    <n v="12000000"/>
    <n v="4"/>
    <d v="1899-12-30T00:02:00"/>
    <x v="0"/>
    <x v="4"/>
    <x v="6"/>
    <x v="2"/>
    <x v="8"/>
  </r>
  <r>
    <x v="0"/>
    <n v="29"/>
    <x v="2"/>
    <x v="2"/>
    <x v="1"/>
    <x v="3"/>
    <n v="15000000"/>
    <n v="3"/>
    <d v="1899-12-30T00:02:00"/>
    <x v="0"/>
    <x v="1"/>
    <x v="7"/>
    <x v="0"/>
    <x v="7"/>
  </r>
  <r>
    <x v="0"/>
    <n v="8"/>
    <x v="3"/>
    <x v="1"/>
    <x v="1"/>
    <x v="0"/>
    <n v="7000000"/>
    <n v="1"/>
    <d v="1899-12-30T00:02:00"/>
    <x v="0"/>
    <x v="7"/>
    <x v="6"/>
    <x v="0"/>
    <x v="5"/>
  </r>
  <r>
    <x v="0"/>
    <n v="27"/>
    <x v="3"/>
    <x v="3"/>
    <x v="1"/>
    <x v="0"/>
    <n v="7000000"/>
    <n v="1"/>
    <d v="1899-12-30T00:02:00"/>
    <x v="0"/>
    <x v="0"/>
    <x v="1"/>
    <x v="2"/>
    <x v="8"/>
  </r>
  <r>
    <x v="0"/>
    <n v="2"/>
    <x v="4"/>
    <x v="3"/>
    <x v="1"/>
    <x v="3"/>
    <n v="20000000"/>
    <n v="1"/>
    <d v="1899-12-30T00:02:00"/>
    <x v="2"/>
    <x v="1"/>
    <x v="4"/>
    <x v="1"/>
    <x v="6"/>
  </r>
  <r>
    <x v="0"/>
    <n v="1"/>
    <x v="4"/>
    <x v="1"/>
    <x v="3"/>
    <x v="3"/>
    <n v="20000000"/>
    <n v="1"/>
    <d v="1899-12-30T00:02:00"/>
    <x v="0"/>
    <x v="5"/>
    <x v="7"/>
    <x v="0"/>
    <x v="5"/>
  </r>
  <r>
    <x v="0"/>
    <n v="31"/>
    <x v="10"/>
    <x v="4"/>
    <x v="2"/>
    <x v="1"/>
    <n v="12000000"/>
    <n v="1"/>
    <d v="1899-12-30T00:02:00"/>
    <x v="0"/>
    <x v="0"/>
    <x v="3"/>
    <x v="0"/>
    <x v="7"/>
  </r>
  <r>
    <x v="0"/>
    <n v="30"/>
    <x v="10"/>
    <x v="1"/>
    <x v="1"/>
    <x v="2"/>
    <n v="12000000"/>
    <n v="1"/>
    <d v="1899-12-30T00:02:00"/>
    <x v="0"/>
    <x v="0"/>
    <x v="7"/>
    <x v="0"/>
    <x v="10"/>
  </r>
  <r>
    <x v="0"/>
    <n v="10"/>
    <x v="5"/>
    <x v="2"/>
    <x v="2"/>
    <x v="2"/>
    <n v="12000000"/>
    <n v="1"/>
    <d v="1899-12-30T00:02:00"/>
    <x v="0"/>
    <x v="0"/>
    <x v="0"/>
    <x v="2"/>
    <x v="3"/>
  </r>
  <r>
    <x v="0"/>
    <n v="1"/>
    <x v="5"/>
    <x v="2"/>
    <x v="2"/>
    <x v="1"/>
    <n v="11000000"/>
    <n v="2"/>
    <d v="1899-12-30T00:02:00"/>
    <x v="0"/>
    <x v="8"/>
    <x v="0"/>
    <x v="0"/>
    <x v="10"/>
  </r>
  <r>
    <x v="0"/>
    <n v="11"/>
    <x v="6"/>
    <x v="0"/>
    <x v="0"/>
    <x v="2"/>
    <n v="10000000"/>
    <n v="2"/>
    <d v="1899-12-30T00:02:00"/>
    <x v="0"/>
    <x v="7"/>
    <x v="6"/>
    <x v="3"/>
    <x v="4"/>
  </r>
  <r>
    <x v="0"/>
    <n v="3"/>
    <x v="8"/>
    <x v="4"/>
    <x v="2"/>
    <x v="2"/>
    <n v="38000000"/>
    <n v="1"/>
    <d v="1899-12-30T00:02:00"/>
    <x v="1"/>
    <x v="0"/>
    <x v="2"/>
    <x v="2"/>
    <x v="11"/>
  </r>
  <r>
    <x v="0"/>
    <n v="20"/>
    <x v="11"/>
    <x v="1"/>
    <x v="2"/>
    <x v="0"/>
    <n v="19000000"/>
    <n v="5"/>
    <d v="1899-12-30T00:02:00"/>
    <x v="1"/>
    <x v="2"/>
    <x v="5"/>
    <x v="3"/>
    <x v="13"/>
  </r>
  <r>
    <x v="0"/>
    <n v="11"/>
    <x v="1"/>
    <x v="0"/>
    <x v="2"/>
    <x v="1"/>
    <n v="15000000"/>
    <n v="4"/>
    <d v="1899-12-30T00:02:00"/>
    <x v="0"/>
    <x v="2"/>
    <x v="7"/>
    <x v="3"/>
    <x v="13"/>
  </r>
  <r>
    <x v="1"/>
    <n v="5"/>
    <x v="0"/>
    <x v="2"/>
    <x v="0"/>
    <x v="5"/>
    <n v="0"/>
    <n v="2"/>
    <d v="1899-12-30T00:02:00"/>
    <x v="3"/>
    <x v="9"/>
    <x v="6"/>
    <x v="1"/>
    <x v="6"/>
  </r>
  <r>
    <x v="1"/>
    <n v="22"/>
    <x v="3"/>
    <x v="2"/>
    <x v="0"/>
    <x v="5"/>
    <n v="0"/>
    <n v="1"/>
    <d v="1899-12-30T00:02:00"/>
    <x v="3"/>
    <x v="9"/>
    <x v="5"/>
    <x v="1"/>
    <x v="2"/>
  </r>
  <r>
    <x v="1"/>
    <n v="26"/>
    <x v="3"/>
    <x v="1"/>
    <x v="2"/>
    <x v="5"/>
    <n v="0"/>
    <n v="1"/>
    <d v="1899-12-30T00:02:00"/>
    <x v="3"/>
    <x v="9"/>
    <x v="4"/>
    <x v="0"/>
    <x v="5"/>
  </r>
  <r>
    <x v="1"/>
    <n v="8"/>
    <x v="3"/>
    <x v="2"/>
    <x v="1"/>
    <x v="5"/>
    <n v="0"/>
    <n v="5"/>
    <d v="1899-12-30T00:02:00"/>
    <x v="3"/>
    <x v="9"/>
    <x v="6"/>
    <x v="0"/>
    <x v="10"/>
  </r>
  <r>
    <x v="1"/>
    <n v="17"/>
    <x v="4"/>
    <x v="0"/>
    <x v="2"/>
    <x v="5"/>
    <n v="0"/>
    <n v="4"/>
    <d v="1899-12-30T00:02:00"/>
    <x v="3"/>
    <x v="9"/>
    <x v="6"/>
    <x v="3"/>
    <x v="13"/>
  </r>
  <r>
    <x v="1"/>
    <n v="11"/>
    <x v="10"/>
    <x v="1"/>
    <x v="1"/>
    <x v="5"/>
    <n v="0"/>
    <n v="2"/>
    <d v="1899-12-30T00:02:00"/>
    <x v="3"/>
    <x v="9"/>
    <x v="7"/>
    <x v="1"/>
    <x v="6"/>
  </r>
  <r>
    <x v="1"/>
    <n v="22"/>
    <x v="10"/>
    <x v="0"/>
    <x v="3"/>
    <x v="5"/>
    <n v="0"/>
    <n v="2"/>
    <d v="1899-12-30T00:02:00"/>
    <x v="3"/>
    <x v="9"/>
    <x v="3"/>
    <x v="1"/>
    <x v="15"/>
  </r>
  <r>
    <x v="1"/>
    <n v="1"/>
    <x v="10"/>
    <x v="1"/>
    <x v="1"/>
    <x v="5"/>
    <n v="0"/>
    <n v="3"/>
    <d v="1899-12-30T00:02:00"/>
    <x v="3"/>
    <x v="9"/>
    <x v="0"/>
    <x v="0"/>
    <x v="7"/>
  </r>
  <r>
    <x v="1"/>
    <n v="5"/>
    <x v="0"/>
    <x v="2"/>
    <x v="0"/>
    <x v="5"/>
    <n v="0"/>
    <n v="2"/>
    <d v="1899-12-30T00:02:00"/>
    <x v="3"/>
    <x v="9"/>
    <x v="6"/>
    <x v="1"/>
    <x v="6"/>
  </r>
  <r>
    <x v="0"/>
    <n v="11"/>
    <x v="6"/>
    <x v="0"/>
    <x v="0"/>
    <x v="2"/>
    <n v="12000000"/>
    <n v="3"/>
    <d v="1899-12-30T00:02:10"/>
    <x v="0"/>
    <x v="7"/>
    <x v="6"/>
    <x v="0"/>
    <x v="10"/>
  </r>
  <r>
    <x v="0"/>
    <n v="28"/>
    <x v="11"/>
    <x v="4"/>
    <x v="2"/>
    <x v="2"/>
    <n v="12000000"/>
    <n v="1"/>
    <d v="1899-12-30T00:02:10"/>
    <x v="0"/>
    <x v="0"/>
    <x v="6"/>
    <x v="2"/>
    <x v="8"/>
  </r>
  <r>
    <x v="0"/>
    <n v="12"/>
    <x v="1"/>
    <x v="1"/>
    <x v="1"/>
    <x v="2"/>
    <n v="38000000"/>
    <n v="4"/>
    <d v="1899-12-30T00:02:10"/>
    <x v="1"/>
    <x v="3"/>
    <x v="3"/>
    <x v="1"/>
    <x v="6"/>
  </r>
  <r>
    <x v="0"/>
    <n v="30"/>
    <x v="2"/>
    <x v="5"/>
    <x v="2"/>
    <x v="2"/>
    <n v="12000000"/>
    <n v="5"/>
    <d v="1899-12-30T00:02:10"/>
    <x v="0"/>
    <x v="4"/>
    <x v="2"/>
    <x v="1"/>
    <x v="6"/>
  </r>
  <r>
    <x v="0"/>
    <n v="14"/>
    <x v="2"/>
    <x v="5"/>
    <x v="2"/>
    <x v="0"/>
    <n v="7000000"/>
    <n v="1"/>
    <d v="1899-12-30T00:02:10"/>
    <x v="0"/>
    <x v="5"/>
    <x v="1"/>
    <x v="1"/>
    <x v="2"/>
  </r>
  <r>
    <x v="0"/>
    <n v="26"/>
    <x v="2"/>
    <x v="4"/>
    <x v="1"/>
    <x v="3"/>
    <n v="20000000"/>
    <n v="2"/>
    <d v="1899-12-30T00:02:10"/>
    <x v="0"/>
    <x v="7"/>
    <x v="7"/>
    <x v="0"/>
    <x v="10"/>
  </r>
  <r>
    <x v="0"/>
    <n v="5"/>
    <x v="3"/>
    <x v="1"/>
    <x v="2"/>
    <x v="0"/>
    <n v="19000000"/>
    <n v="1"/>
    <d v="1899-12-30T00:02:10"/>
    <x v="1"/>
    <x v="4"/>
    <x v="5"/>
    <x v="0"/>
    <x v="10"/>
  </r>
  <r>
    <x v="0"/>
    <n v="29"/>
    <x v="3"/>
    <x v="1"/>
    <x v="1"/>
    <x v="1"/>
    <n v="15000000"/>
    <n v="3"/>
    <d v="1899-12-30T00:02:10"/>
    <x v="0"/>
    <x v="8"/>
    <x v="4"/>
    <x v="3"/>
    <x v="13"/>
  </r>
  <r>
    <x v="0"/>
    <n v="2"/>
    <x v="4"/>
    <x v="0"/>
    <x v="2"/>
    <x v="3"/>
    <n v="20000000"/>
    <n v="4"/>
    <d v="1899-12-30T00:02:10"/>
    <x v="2"/>
    <x v="5"/>
    <x v="4"/>
    <x v="1"/>
    <x v="6"/>
  </r>
  <r>
    <x v="0"/>
    <n v="25"/>
    <x v="4"/>
    <x v="0"/>
    <x v="0"/>
    <x v="4"/>
    <n v="25000000"/>
    <n v="4"/>
    <d v="1899-12-30T00:02:10"/>
    <x v="0"/>
    <x v="0"/>
    <x v="6"/>
    <x v="0"/>
    <x v="7"/>
  </r>
  <r>
    <x v="0"/>
    <n v="17"/>
    <x v="4"/>
    <x v="2"/>
    <x v="0"/>
    <x v="4"/>
    <n v="21000000"/>
    <n v="1"/>
    <d v="1899-12-30T00:02:10"/>
    <x v="0"/>
    <x v="8"/>
    <x v="7"/>
    <x v="3"/>
    <x v="4"/>
  </r>
  <r>
    <x v="0"/>
    <n v="11"/>
    <x v="6"/>
    <x v="0"/>
    <x v="0"/>
    <x v="2"/>
    <n v="12000000"/>
    <n v="3"/>
    <d v="1899-12-30T00:02:10"/>
    <x v="0"/>
    <x v="7"/>
    <x v="6"/>
    <x v="0"/>
    <x v="10"/>
  </r>
  <r>
    <x v="0"/>
    <n v="28"/>
    <x v="11"/>
    <x v="4"/>
    <x v="2"/>
    <x v="2"/>
    <n v="12000000"/>
    <n v="1"/>
    <d v="1899-12-30T00:02:10"/>
    <x v="0"/>
    <x v="0"/>
    <x v="6"/>
    <x v="2"/>
    <x v="8"/>
  </r>
  <r>
    <x v="0"/>
    <n v="12"/>
    <x v="1"/>
    <x v="1"/>
    <x v="1"/>
    <x v="2"/>
    <n v="38000000"/>
    <n v="4"/>
    <d v="1899-12-30T00:02:10"/>
    <x v="1"/>
    <x v="3"/>
    <x v="3"/>
    <x v="1"/>
    <x v="6"/>
  </r>
  <r>
    <x v="1"/>
    <n v="30"/>
    <x v="4"/>
    <x v="0"/>
    <x v="3"/>
    <x v="5"/>
    <n v="0"/>
    <n v="2"/>
    <d v="1899-12-30T00:02:10"/>
    <x v="3"/>
    <x v="9"/>
    <x v="3"/>
    <x v="3"/>
    <x v="4"/>
  </r>
  <r>
    <x v="1"/>
    <n v="11"/>
    <x v="4"/>
    <x v="3"/>
    <x v="1"/>
    <x v="5"/>
    <n v="0"/>
    <n v="3"/>
    <d v="1899-12-30T00:02:10"/>
    <x v="3"/>
    <x v="9"/>
    <x v="0"/>
    <x v="1"/>
    <x v="6"/>
  </r>
  <r>
    <x v="0"/>
    <n v="11"/>
    <x v="5"/>
    <x v="4"/>
    <x v="0"/>
    <x v="4"/>
    <n v="25000000"/>
    <n v="3"/>
    <d v="1899-12-30T00:02:12"/>
    <x v="0"/>
    <x v="5"/>
    <x v="0"/>
    <x v="3"/>
    <x v="4"/>
  </r>
  <r>
    <x v="0"/>
    <n v="15"/>
    <x v="5"/>
    <x v="2"/>
    <x v="2"/>
    <x v="2"/>
    <n v="12000000"/>
    <n v="1"/>
    <d v="1899-12-30T00:02:12"/>
    <x v="0"/>
    <x v="2"/>
    <x v="5"/>
    <x v="1"/>
    <x v="2"/>
  </r>
  <r>
    <x v="0"/>
    <n v="14"/>
    <x v="6"/>
    <x v="1"/>
    <x v="1"/>
    <x v="2"/>
    <n v="12000000"/>
    <n v="1"/>
    <d v="1899-12-30T00:02:12"/>
    <x v="0"/>
    <x v="5"/>
    <x v="2"/>
    <x v="2"/>
    <x v="11"/>
  </r>
  <r>
    <x v="0"/>
    <n v="11"/>
    <x v="6"/>
    <x v="0"/>
    <x v="2"/>
    <x v="0"/>
    <n v="7000000"/>
    <n v="1"/>
    <d v="1899-12-30T00:02:12"/>
    <x v="0"/>
    <x v="4"/>
    <x v="3"/>
    <x v="1"/>
    <x v="2"/>
  </r>
  <r>
    <x v="0"/>
    <n v="1"/>
    <x v="8"/>
    <x v="1"/>
    <x v="0"/>
    <x v="3"/>
    <n v="20000000"/>
    <n v="2"/>
    <d v="1899-12-30T00:02:12"/>
    <x v="2"/>
    <x v="2"/>
    <x v="1"/>
    <x v="0"/>
    <x v="7"/>
  </r>
  <r>
    <x v="0"/>
    <n v="7"/>
    <x v="8"/>
    <x v="1"/>
    <x v="2"/>
    <x v="1"/>
    <n v="15000000"/>
    <n v="1"/>
    <d v="1899-12-30T00:02:12"/>
    <x v="0"/>
    <x v="5"/>
    <x v="5"/>
    <x v="0"/>
    <x v="5"/>
  </r>
  <r>
    <x v="0"/>
    <n v="1"/>
    <x v="8"/>
    <x v="2"/>
    <x v="1"/>
    <x v="1"/>
    <n v="15000000"/>
    <n v="2"/>
    <d v="1899-12-30T00:02:12"/>
    <x v="0"/>
    <x v="0"/>
    <x v="7"/>
    <x v="1"/>
    <x v="6"/>
  </r>
  <r>
    <x v="0"/>
    <n v="6"/>
    <x v="11"/>
    <x v="4"/>
    <x v="2"/>
    <x v="2"/>
    <n v="38000000"/>
    <n v="1"/>
    <d v="1899-12-30T00:02:12"/>
    <x v="1"/>
    <x v="2"/>
    <x v="0"/>
    <x v="0"/>
    <x v="9"/>
  </r>
  <r>
    <x v="0"/>
    <n v="31"/>
    <x v="1"/>
    <x v="1"/>
    <x v="1"/>
    <x v="0"/>
    <n v="19000000"/>
    <n v="2"/>
    <d v="1899-12-30T00:02:12"/>
    <x v="1"/>
    <x v="0"/>
    <x v="2"/>
    <x v="1"/>
    <x v="6"/>
  </r>
  <r>
    <x v="0"/>
    <n v="12"/>
    <x v="1"/>
    <x v="1"/>
    <x v="2"/>
    <x v="2"/>
    <n v="10000000"/>
    <n v="4"/>
    <d v="1899-12-30T00:02:12"/>
    <x v="0"/>
    <x v="1"/>
    <x v="4"/>
    <x v="3"/>
    <x v="4"/>
  </r>
  <r>
    <x v="0"/>
    <n v="28"/>
    <x v="2"/>
    <x v="5"/>
    <x v="4"/>
    <x v="4"/>
    <n v="21000000"/>
    <n v="3"/>
    <d v="1899-12-30T00:02:12"/>
    <x v="0"/>
    <x v="7"/>
    <x v="4"/>
    <x v="1"/>
    <x v="15"/>
  </r>
  <r>
    <x v="0"/>
    <n v="2"/>
    <x v="2"/>
    <x v="0"/>
    <x v="3"/>
    <x v="2"/>
    <n v="10000000"/>
    <n v="2"/>
    <d v="1899-12-30T00:02:12"/>
    <x v="0"/>
    <x v="5"/>
    <x v="2"/>
    <x v="1"/>
    <x v="2"/>
  </r>
  <r>
    <x v="0"/>
    <n v="21"/>
    <x v="2"/>
    <x v="2"/>
    <x v="1"/>
    <x v="2"/>
    <n v="12000000"/>
    <n v="3"/>
    <d v="1899-12-30T00:02:12"/>
    <x v="0"/>
    <x v="0"/>
    <x v="2"/>
    <x v="2"/>
    <x v="8"/>
  </r>
  <r>
    <x v="0"/>
    <n v="30"/>
    <x v="2"/>
    <x v="1"/>
    <x v="0"/>
    <x v="3"/>
    <n v="15000000"/>
    <n v="1"/>
    <d v="1899-12-30T00:02:12"/>
    <x v="0"/>
    <x v="4"/>
    <x v="1"/>
    <x v="1"/>
    <x v="15"/>
  </r>
  <r>
    <x v="0"/>
    <n v="24"/>
    <x v="2"/>
    <x v="5"/>
    <x v="2"/>
    <x v="4"/>
    <n v="25000000"/>
    <n v="2"/>
    <d v="1899-12-30T00:02:12"/>
    <x v="0"/>
    <x v="0"/>
    <x v="3"/>
    <x v="3"/>
    <x v="4"/>
  </r>
  <r>
    <x v="0"/>
    <n v="24"/>
    <x v="2"/>
    <x v="3"/>
    <x v="1"/>
    <x v="1"/>
    <n v="15000000"/>
    <n v="2"/>
    <d v="1899-12-30T00:02:12"/>
    <x v="0"/>
    <x v="6"/>
    <x v="4"/>
    <x v="1"/>
    <x v="1"/>
  </r>
  <r>
    <x v="0"/>
    <n v="30"/>
    <x v="2"/>
    <x v="4"/>
    <x v="0"/>
    <x v="2"/>
    <n v="12000000"/>
    <n v="2"/>
    <d v="1899-12-30T00:02:12"/>
    <x v="0"/>
    <x v="5"/>
    <x v="0"/>
    <x v="2"/>
    <x v="11"/>
  </r>
  <r>
    <x v="0"/>
    <n v="22"/>
    <x v="2"/>
    <x v="4"/>
    <x v="0"/>
    <x v="1"/>
    <n v="12000000"/>
    <n v="2"/>
    <d v="1899-12-30T00:02:12"/>
    <x v="0"/>
    <x v="0"/>
    <x v="5"/>
    <x v="2"/>
    <x v="8"/>
  </r>
  <r>
    <x v="0"/>
    <n v="26"/>
    <x v="2"/>
    <x v="2"/>
    <x v="4"/>
    <x v="4"/>
    <n v="25000000"/>
    <n v="3"/>
    <d v="1899-12-30T00:02:12"/>
    <x v="0"/>
    <x v="7"/>
    <x v="6"/>
    <x v="1"/>
    <x v="6"/>
  </r>
  <r>
    <x v="0"/>
    <n v="29"/>
    <x v="3"/>
    <x v="2"/>
    <x v="2"/>
    <x v="0"/>
    <n v="19000000"/>
    <n v="4"/>
    <d v="1899-12-30T00:02:12"/>
    <x v="1"/>
    <x v="3"/>
    <x v="6"/>
    <x v="0"/>
    <x v="7"/>
  </r>
  <r>
    <x v="0"/>
    <n v="20"/>
    <x v="3"/>
    <x v="1"/>
    <x v="2"/>
    <x v="2"/>
    <n v="38000000"/>
    <n v="5"/>
    <d v="1899-12-30T00:02:12"/>
    <x v="1"/>
    <x v="0"/>
    <x v="7"/>
    <x v="0"/>
    <x v="5"/>
  </r>
  <r>
    <x v="0"/>
    <n v="4"/>
    <x v="3"/>
    <x v="2"/>
    <x v="0"/>
    <x v="4"/>
    <n v="20000000"/>
    <n v="2"/>
    <d v="1899-12-30T00:02:12"/>
    <x v="0"/>
    <x v="1"/>
    <x v="2"/>
    <x v="0"/>
    <x v="10"/>
  </r>
  <r>
    <x v="0"/>
    <n v="20"/>
    <x v="3"/>
    <x v="2"/>
    <x v="1"/>
    <x v="2"/>
    <n v="12000000"/>
    <n v="2"/>
    <d v="1899-12-30T00:02:12"/>
    <x v="0"/>
    <x v="0"/>
    <x v="2"/>
    <x v="3"/>
    <x v="13"/>
  </r>
  <r>
    <x v="0"/>
    <n v="22"/>
    <x v="3"/>
    <x v="4"/>
    <x v="2"/>
    <x v="0"/>
    <n v="7000000"/>
    <n v="1"/>
    <d v="1899-12-30T00:02:12"/>
    <x v="0"/>
    <x v="4"/>
    <x v="3"/>
    <x v="0"/>
    <x v="5"/>
  </r>
  <r>
    <x v="0"/>
    <n v="30"/>
    <x v="3"/>
    <x v="3"/>
    <x v="1"/>
    <x v="1"/>
    <n v="15000000"/>
    <n v="2"/>
    <d v="1899-12-30T00:02:12"/>
    <x v="0"/>
    <x v="7"/>
    <x v="6"/>
    <x v="1"/>
    <x v="1"/>
  </r>
  <r>
    <x v="0"/>
    <n v="3"/>
    <x v="3"/>
    <x v="0"/>
    <x v="0"/>
    <x v="1"/>
    <n v="15000000"/>
    <n v="2"/>
    <d v="1899-12-30T00:02:12"/>
    <x v="0"/>
    <x v="0"/>
    <x v="1"/>
    <x v="0"/>
    <x v="9"/>
  </r>
  <r>
    <x v="0"/>
    <n v="8"/>
    <x v="3"/>
    <x v="0"/>
    <x v="3"/>
    <x v="3"/>
    <n v="20000000"/>
    <n v="3"/>
    <d v="1899-12-30T00:02:12"/>
    <x v="0"/>
    <x v="2"/>
    <x v="6"/>
    <x v="2"/>
    <x v="8"/>
  </r>
  <r>
    <x v="0"/>
    <n v="23"/>
    <x v="3"/>
    <x v="0"/>
    <x v="2"/>
    <x v="1"/>
    <n v="15000000"/>
    <n v="1"/>
    <d v="1899-12-30T00:02:12"/>
    <x v="0"/>
    <x v="2"/>
    <x v="7"/>
    <x v="3"/>
    <x v="13"/>
  </r>
  <r>
    <x v="0"/>
    <n v="22"/>
    <x v="4"/>
    <x v="2"/>
    <x v="2"/>
    <x v="2"/>
    <n v="38000000"/>
    <n v="3"/>
    <d v="1899-12-30T00:02:12"/>
    <x v="1"/>
    <x v="8"/>
    <x v="1"/>
    <x v="0"/>
    <x v="9"/>
  </r>
  <r>
    <x v="0"/>
    <n v="3"/>
    <x v="4"/>
    <x v="2"/>
    <x v="1"/>
    <x v="0"/>
    <n v="19000000"/>
    <n v="3"/>
    <d v="1899-12-30T00:02:12"/>
    <x v="1"/>
    <x v="2"/>
    <x v="6"/>
    <x v="1"/>
    <x v="2"/>
  </r>
  <r>
    <x v="0"/>
    <n v="6"/>
    <x v="4"/>
    <x v="2"/>
    <x v="1"/>
    <x v="1"/>
    <n v="11000000"/>
    <n v="5"/>
    <d v="1899-12-30T00:02:12"/>
    <x v="0"/>
    <x v="6"/>
    <x v="2"/>
    <x v="3"/>
    <x v="13"/>
  </r>
  <r>
    <x v="0"/>
    <n v="22"/>
    <x v="4"/>
    <x v="2"/>
    <x v="2"/>
    <x v="4"/>
    <n v="25000000"/>
    <n v="2"/>
    <d v="1899-12-30T00:02:12"/>
    <x v="0"/>
    <x v="4"/>
    <x v="5"/>
    <x v="0"/>
    <x v="5"/>
  </r>
  <r>
    <x v="0"/>
    <n v="22"/>
    <x v="4"/>
    <x v="4"/>
    <x v="0"/>
    <x v="2"/>
    <n v="12000000"/>
    <n v="1"/>
    <d v="1899-12-30T00:02:12"/>
    <x v="0"/>
    <x v="8"/>
    <x v="3"/>
    <x v="0"/>
    <x v="9"/>
  </r>
  <r>
    <x v="0"/>
    <n v="11"/>
    <x v="4"/>
    <x v="1"/>
    <x v="2"/>
    <x v="1"/>
    <n v="15000000"/>
    <n v="1"/>
    <d v="1899-12-30T00:02:12"/>
    <x v="0"/>
    <x v="6"/>
    <x v="6"/>
    <x v="0"/>
    <x v="5"/>
  </r>
  <r>
    <x v="0"/>
    <n v="17"/>
    <x v="4"/>
    <x v="0"/>
    <x v="1"/>
    <x v="1"/>
    <n v="15000000"/>
    <n v="5"/>
    <d v="1899-12-30T00:02:12"/>
    <x v="0"/>
    <x v="4"/>
    <x v="6"/>
    <x v="1"/>
    <x v="1"/>
  </r>
  <r>
    <x v="0"/>
    <n v="1"/>
    <x v="4"/>
    <x v="1"/>
    <x v="2"/>
    <x v="3"/>
    <n v="20000000"/>
    <n v="1"/>
    <d v="1899-12-30T00:02:12"/>
    <x v="0"/>
    <x v="2"/>
    <x v="7"/>
    <x v="1"/>
    <x v="6"/>
  </r>
  <r>
    <x v="0"/>
    <n v="11"/>
    <x v="10"/>
    <x v="4"/>
    <x v="1"/>
    <x v="3"/>
    <n v="20000000"/>
    <n v="3"/>
    <d v="1899-12-30T00:02:12"/>
    <x v="2"/>
    <x v="8"/>
    <x v="3"/>
    <x v="2"/>
    <x v="11"/>
  </r>
  <r>
    <x v="0"/>
    <n v="25"/>
    <x v="10"/>
    <x v="4"/>
    <x v="2"/>
    <x v="2"/>
    <n v="12000000"/>
    <n v="2"/>
    <d v="1899-12-30T00:02:12"/>
    <x v="0"/>
    <x v="2"/>
    <x v="3"/>
    <x v="2"/>
    <x v="11"/>
  </r>
  <r>
    <x v="0"/>
    <n v="24"/>
    <x v="10"/>
    <x v="0"/>
    <x v="0"/>
    <x v="1"/>
    <n v="15000000"/>
    <n v="3"/>
    <d v="1899-12-30T00:02:12"/>
    <x v="0"/>
    <x v="0"/>
    <x v="5"/>
    <x v="3"/>
    <x v="13"/>
  </r>
  <r>
    <x v="0"/>
    <n v="31"/>
    <x v="10"/>
    <x v="0"/>
    <x v="1"/>
    <x v="2"/>
    <n v="12000000"/>
    <n v="2"/>
    <d v="1899-12-30T00:02:12"/>
    <x v="0"/>
    <x v="1"/>
    <x v="7"/>
    <x v="1"/>
    <x v="1"/>
  </r>
  <r>
    <x v="0"/>
    <n v="11"/>
    <x v="5"/>
    <x v="4"/>
    <x v="0"/>
    <x v="4"/>
    <n v="25000000"/>
    <n v="3"/>
    <d v="1899-12-30T00:02:12"/>
    <x v="0"/>
    <x v="5"/>
    <x v="0"/>
    <x v="3"/>
    <x v="4"/>
  </r>
  <r>
    <x v="0"/>
    <n v="15"/>
    <x v="5"/>
    <x v="2"/>
    <x v="2"/>
    <x v="2"/>
    <n v="12000000"/>
    <n v="1"/>
    <d v="1899-12-30T00:02:12"/>
    <x v="0"/>
    <x v="2"/>
    <x v="5"/>
    <x v="1"/>
    <x v="2"/>
  </r>
  <r>
    <x v="0"/>
    <n v="14"/>
    <x v="6"/>
    <x v="1"/>
    <x v="1"/>
    <x v="2"/>
    <n v="12000000"/>
    <n v="1"/>
    <d v="1899-12-30T00:02:12"/>
    <x v="0"/>
    <x v="5"/>
    <x v="2"/>
    <x v="2"/>
    <x v="11"/>
  </r>
  <r>
    <x v="0"/>
    <n v="11"/>
    <x v="6"/>
    <x v="0"/>
    <x v="2"/>
    <x v="0"/>
    <n v="7000000"/>
    <n v="1"/>
    <d v="1899-12-30T00:02:12"/>
    <x v="0"/>
    <x v="4"/>
    <x v="3"/>
    <x v="1"/>
    <x v="2"/>
  </r>
  <r>
    <x v="0"/>
    <n v="1"/>
    <x v="8"/>
    <x v="1"/>
    <x v="0"/>
    <x v="3"/>
    <n v="20000000"/>
    <n v="2"/>
    <d v="1899-12-30T00:02:12"/>
    <x v="2"/>
    <x v="2"/>
    <x v="1"/>
    <x v="0"/>
    <x v="7"/>
  </r>
  <r>
    <x v="0"/>
    <n v="7"/>
    <x v="8"/>
    <x v="1"/>
    <x v="2"/>
    <x v="1"/>
    <n v="15000000"/>
    <n v="1"/>
    <d v="1899-12-30T00:02:12"/>
    <x v="0"/>
    <x v="5"/>
    <x v="5"/>
    <x v="0"/>
    <x v="5"/>
  </r>
  <r>
    <x v="0"/>
    <n v="1"/>
    <x v="8"/>
    <x v="2"/>
    <x v="1"/>
    <x v="1"/>
    <n v="15000000"/>
    <n v="2"/>
    <d v="1899-12-30T00:02:12"/>
    <x v="0"/>
    <x v="0"/>
    <x v="7"/>
    <x v="1"/>
    <x v="6"/>
  </r>
  <r>
    <x v="0"/>
    <n v="6"/>
    <x v="11"/>
    <x v="4"/>
    <x v="2"/>
    <x v="2"/>
    <n v="38000000"/>
    <n v="1"/>
    <d v="1899-12-30T00:02:12"/>
    <x v="1"/>
    <x v="2"/>
    <x v="0"/>
    <x v="0"/>
    <x v="9"/>
  </r>
  <r>
    <x v="0"/>
    <n v="31"/>
    <x v="1"/>
    <x v="1"/>
    <x v="1"/>
    <x v="0"/>
    <n v="19000000"/>
    <n v="2"/>
    <d v="1899-12-30T00:02:12"/>
    <x v="1"/>
    <x v="0"/>
    <x v="2"/>
    <x v="1"/>
    <x v="6"/>
  </r>
  <r>
    <x v="1"/>
    <n v="14"/>
    <x v="7"/>
    <x v="3"/>
    <x v="2"/>
    <x v="5"/>
    <n v="0"/>
    <n v="4"/>
    <d v="1899-12-30T00:02:12"/>
    <x v="3"/>
    <x v="9"/>
    <x v="3"/>
    <x v="1"/>
    <x v="6"/>
  </r>
  <r>
    <x v="1"/>
    <n v="3"/>
    <x v="8"/>
    <x v="0"/>
    <x v="3"/>
    <x v="5"/>
    <n v="0"/>
    <n v="1"/>
    <d v="1899-12-30T00:02:12"/>
    <x v="3"/>
    <x v="9"/>
    <x v="7"/>
    <x v="1"/>
    <x v="1"/>
  </r>
  <r>
    <x v="1"/>
    <n v="8"/>
    <x v="9"/>
    <x v="0"/>
    <x v="3"/>
    <x v="5"/>
    <n v="0"/>
    <n v="2"/>
    <d v="1899-12-30T00:02:12"/>
    <x v="3"/>
    <x v="9"/>
    <x v="3"/>
    <x v="0"/>
    <x v="10"/>
  </r>
  <r>
    <x v="1"/>
    <n v="30"/>
    <x v="1"/>
    <x v="2"/>
    <x v="2"/>
    <x v="5"/>
    <n v="0"/>
    <n v="1"/>
    <d v="1899-12-30T00:02:12"/>
    <x v="3"/>
    <x v="9"/>
    <x v="5"/>
    <x v="0"/>
    <x v="7"/>
  </r>
  <r>
    <x v="1"/>
    <n v="27"/>
    <x v="2"/>
    <x v="0"/>
    <x v="2"/>
    <x v="5"/>
    <n v="0"/>
    <n v="3"/>
    <d v="1899-12-30T00:02:12"/>
    <x v="3"/>
    <x v="9"/>
    <x v="5"/>
    <x v="3"/>
    <x v="13"/>
  </r>
  <r>
    <x v="1"/>
    <n v="16"/>
    <x v="2"/>
    <x v="1"/>
    <x v="3"/>
    <x v="5"/>
    <n v="0"/>
    <n v="5"/>
    <d v="1899-12-30T00:02:12"/>
    <x v="3"/>
    <x v="9"/>
    <x v="1"/>
    <x v="0"/>
    <x v="10"/>
  </r>
  <r>
    <x v="1"/>
    <n v="9"/>
    <x v="3"/>
    <x v="1"/>
    <x v="1"/>
    <x v="5"/>
    <n v="0"/>
    <n v="5"/>
    <d v="1899-12-30T00:02:12"/>
    <x v="3"/>
    <x v="9"/>
    <x v="2"/>
    <x v="2"/>
    <x v="11"/>
  </r>
  <r>
    <x v="1"/>
    <n v="9"/>
    <x v="3"/>
    <x v="3"/>
    <x v="1"/>
    <x v="5"/>
    <n v="0"/>
    <n v="2"/>
    <d v="1899-12-30T00:02:12"/>
    <x v="3"/>
    <x v="9"/>
    <x v="2"/>
    <x v="0"/>
    <x v="7"/>
  </r>
  <r>
    <x v="1"/>
    <n v="29"/>
    <x v="3"/>
    <x v="0"/>
    <x v="0"/>
    <x v="5"/>
    <n v="0"/>
    <n v="4"/>
    <d v="1899-12-30T00:02:12"/>
    <x v="3"/>
    <x v="9"/>
    <x v="5"/>
    <x v="0"/>
    <x v="5"/>
  </r>
  <r>
    <x v="1"/>
    <n v="29"/>
    <x v="3"/>
    <x v="5"/>
    <x v="2"/>
    <x v="5"/>
    <n v="0"/>
    <n v="2"/>
    <d v="1899-12-30T00:02:12"/>
    <x v="3"/>
    <x v="9"/>
    <x v="5"/>
    <x v="0"/>
    <x v="12"/>
  </r>
  <r>
    <x v="1"/>
    <n v="21"/>
    <x v="4"/>
    <x v="4"/>
    <x v="2"/>
    <x v="5"/>
    <n v="0"/>
    <n v="2"/>
    <d v="1899-12-30T00:02:12"/>
    <x v="3"/>
    <x v="9"/>
    <x v="5"/>
    <x v="2"/>
    <x v="8"/>
  </r>
  <r>
    <x v="1"/>
    <n v="21"/>
    <x v="10"/>
    <x v="0"/>
    <x v="2"/>
    <x v="5"/>
    <n v="0"/>
    <n v="1"/>
    <d v="1899-12-30T00:02:12"/>
    <x v="3"/>
    <x v="9"/>
    <x v="5"/>
    <x v="0"/>
    <x v="7"/>
  </r>
  <r>
    <x v="1"/>
    <n v="14"/>
    <x v="7"/>
    <x v="3"/>
    <x v="2"/>
    <x v="5"/>
    <n v="0"/>
    <n v="4"/>
    <d v="1899-12-30T00:02:12"/>
    <x v="3"/>
    <x v="9"/>
    <x v="3"/>
    <x v="1"/>
    <x v="6"/>
  </r>
  <r>
    <x v="1"/>
    <n v="3"/>
    <x v="8"/>
    <x v="0"/>
    <x v="3"/>
    <x v="5"/>
    <n v="0"/>
    <n v="1"/>
    <d v="1899-12-30T00:02:12"/>
    <x v="3"/>
    <x v="9"/>
    <x v="7"/>
    <x v="1"/>
    <x v="1"/>
  </r>
  <r>
    <x v="1"/>
    <n v="8"/>
    <x v="9"/>
    <x v="0"/>
    <x v="3"/>
    <x v="5"/>
    <n v="0"/>
    <n v="2"/>
    <d v="1899-12-30T00:02:12"/>
    <x v="3"/>
    <x v="9"/>
    <x v="3"/>
    <x v="0"/>
    <x v="10"/>
  </r>
  <r>
    <x v="0"/>
    <n v="11"/>
    <x v="5"/>
    <x v="3"/>
    <x v="4"/>
    <x v="1"/>
    <n v="15000000"/>
    <n v="2"/>
    <d v="1899-12-30T00:02:18"/>
    <x v="0"/>
    <x v="0"/>
    <x v="7"/>
    <x v="2"/>
    <x v="8"/>
  </r>
  <r>
    <x v="0"/>
    <n v="30"/>
    <x v="2"/>
    <x v="4"/>
    <x v="2"/>
    <x v="4"/>
    <n v="25000000"/>
    <n v="2"/>
    <d v="1899-12-30T00:02:18"/>
    <x v="0"/>
    <x v="4"/>
    <x v="2"/>
    <x v="1"/>
    <x v="2"/>
  </r>
  <r>
    <x v="0"/>
    <n v="1"/>
    <x v="3"/>
    <x v="4"/>
    <x v="2"/>
    <x v="3"/>
    <n v="11000000"/>
    <n v="2"/>
    <d v="1899-12-30T00:02:18"/>
    <x v="2"/>
    <x v="3"/>
    <x v="7"/>
    <x v="0"/>
    <x v="10"/>
  </r>
  <r>
    <x v="0"/>
    <n v="28"/>
    <x v="3"/>
    <x v="4"/>
    <x v="2"/>
    <x v="2"/>
    <n v="12000000"/>
    <n v="1"/>
    <d v="1899-12-30T00:02:18"/>
    <x v="0"/>
    <x v="8"/>
    <x v="2"/>
    <x v="0"/>
    <x v="9"/>
  </r>
  <r>
    <x v="0"/>
    <n v="4"/>
    <x v="4"/>
    <x v="0"/>
    <x v="2"/>
    <x v="2"/>
    <n v="12000000"/>
    <n v="5"/>
    <d v="1899-12-30T00:02:18"/>
    <x v="0"/>
    <x v="5"/>
    <x v="7"/>
    <x v="0"/>
    <x v="0"/>
  </r>
  <r>
    <x v="0"/>
    <n v="19"/>
    <x v="4"/>
    <x v="4"/>
    <x v="2"/>
    <x v="4"/>
    <n v="21000000"/>
    <n v="1"/>
    <d v="1899-12-30T00:02:18"/>
    <x v="0"/>
    <x v="4"/>
    <x v="3"/>
    <x v="1"/>
    <x v="6"/>
  </r>
  <r>
    <x v="0"/>
    <n v="8"/>
    <x v="4"/>
    <x v="0"/>
    <x v="0"/>
    <x v="3"/>
    <n v="20000000"/>
    <n v="1"/>
    <d v="1899-12-30T00:02:18"/>
    <x v="0"/>
    <x v="7"/>
    <x v="6"/>
    <x v="3"/>
    <x v="4"/>
  </r>
  <r>
    <x v="0"/>
    <n v="13"/>
    <x v="10"/>
    <x v="2"/>
    <x v="2"/>
    <x v="0"/>
    <n v="19000000"/>
    <n v="3"/>
    <d v="1899-12-30T00:02:18"/>
    <x v="1"/>
    <x v="0"/>
    <x v="1"/>
    <x v="3"/>
    <x v="4"/>
  </r>
  <r>
    <x v="0"/>
    <n v="16"/>
    <x v="10"/>
    <x v="0"/>
    <x v="0"/>
    <x v="1"/>
    <n v="15000000"/>
    <n v="3"/>
    <d v="1899-12-30T00:02:18"/>
    <x v="0"/>
    <x v="8"/>
    <x v="4"/>
    <x v="0"/>
    <x v="0"/>
  </r>
  <r>
    <x v="0"/>
    <n v="11"/>
    <x v="5"/>
    <x v="3"/>
    <x v="4"/>
    <x v="1"/>
    <n v="15000000"/>
    <n v="2"/>
    <d v="1899-12-30T00:02:18"/>
    <x v="0"/>
    <x v="0"/>
    <x v="7"/>
    <x v="2"/>
    <x v="8"/>
  </r>
  <r>
    <x v="1"/>
    <n v="11"/>
    <x v="5"/>
    <x v="5"/>
    <x v="2"/>
    <x v="5"/>
    <n v="0"/>
    <n v="4"/>
    <d v="1899-12-30T00:02:18"/>
    <x v="3"/>
    <x v="9"/>
    <x v="3"/>
    <x v="0"/>
    <x v="10"/>
  </r>
  <r>
    <x v="1"/>
    <n v="12"/>
    <x v="7"/>
    <x v="0"/>
    <x v="4"/>
    <x v="5"/>
    <n v="0"/>
    <n v="4"/>
    <d v="1899-12-30T00:02:18"/>
    <x v="3"/>
    <x v="9"/>
    <x v="0"/>
    <x v="1"/>
    <x v="6"/>
  </r>
  <r>
    <x v="1"/>
    <n v="30"/>
    <x v="8"/>
    <x v="1"/>
    <x v="2"/>
    <x v="5"/>
    <n v="0"/>
    <n v="3"/>
    <d v="1899-12-30T00:02:18"/>
    <x v="3"/>
    <x v="9"/>
    <x v="5"/>
    <x v="2"/>
    <x v="11"/>
  </r>
  <r>
    <x v="1"/>
    <n v="6"/>
    <x v="10"/>
    <x v="1"/>
    <x v="2"/>
    <x v="5"/>
    <n v="0"/>
    <n v="2"/>
    <d v="1899-12-30T00:02:18"/>
    <x v="3"/>
    <x v="9"/>
    <x v="6"/>
    <x v="1"/>
    <x v="14"/>
  </r>
  <r>
    <x v="1"/>
    <n v="11"/>
    <x v="5"/>
    <x v="5"/>
    <x v="2"/>
    <x v="5"/>
    <n v="0"/>
    <n v="4"/>
    <d v="1899-12-30T00:02:18"/>
    <x v="3"/>
    <x v="9"/>
    <x v="3"/>
    <x v="0"/>
    <x v="10"/>
  </r>
  <r>
    <x v="1"/>
    <n v="12"/>
    <x v="7"/>
    <x v="0"/>
    <x v="4"/>
    <x v="5"/>
    <n v="0"/>
    <n v="4"/>
    <d v="1899-12-30T00:02:18"/>
    <x v="3"/>
    <x v="9"/>
    <x v="0"/>
    <x v="1"/>
    <x v="6"/>
  </r>
  <r>
    <x v="1"/>
    <n v="30"/>
    <x v="8"/>
    <x v="1"/>
    <x v="2"/>
    <x v="5"/>
    <n v="0"/>
    <n v="3"/>
    <d v="1899-12-30T00:02:18"/>
    <x v="3"/>
    <x v="9"/>
    <x v="5"/>
    <x v="2"/>
    <x v="11"/>
  </r>
  <r>
    <x v="0"/>
    <n v="15"/>
    <x v="5"/>
    <x v="3"/>
    <x v="2"/>
    <x v="3"/>
    <n v="20000000"/>
    <n v="3"/>
    <d v="1899-12-30T00:02:25"/>
    <x v="2"/>
    <x v="3"/>
    <x v="7"/>
    <x v="0"/>
    <x v="5"/>
  </r>
  <r>
    <x v="0"/>
    <n v="1"/>
    <x v="8"/>
    <x v="3"/>
    <x v="2"/>
    <x v="2"/>
    <n v="38000000"/>
    <n v="2"/>
    <d v="1899-12-30T00:02:25"/>
    <x v="1"/>
    <x v="1"/>
    <x v="2"/>
    <x v="2"/>
    <x v="3"/>
  </r>
  <r>
    <x v="0"/>
    <n v="1"/>
    <x v="8"/>
    <x v="2"/>
    <x v="1"/>
    <x v="2"/>
    <n v="12000000"/>
    <n v="3"/>
    <d v="1899-12-30T00:02:25"/>
    <x v="0"/>
    <x v="2"/>
    <x v="6"/>
    <x v="0"/>
    <x v="7"/>
  </r>
  <r>
    <x v="0"/>
    <n v="20"/>
    <x v="8"/>
    <x v="2"/>
    <x v="3"/>
    <x v="1"/>
    <n v="15000000"/>
    <n v="2"/>
    <d v="1899-12-30T00:02:25"/>
    <x v="0"/>
    <x v="4"/>
    <x v="7"/>
    <x v="0"/>
    <x v="5"/>
  </r>
  <r>
    <x v="0"/>
    <n v="10"/>
    <x v="2"/>
    <x v="2"/>
    <x v="2"/>
    <x v="0"/>
    <n v="19000000"/>
    <n v="3"/>
    <d v="1899-12-30T00:02:25"/>
    <x v="1"/>
    <x v="7"/>
    <x v="1"/>
    <x v="1"/>
    <x v="6"/>
  </r>
  <r>
    <x v="0"/>
    <n v="14"/>
    <x v="2"/>
    <x v="3"/>
    <x v="0"/>
    <x v="1"/>
    <n v="11000000"/>
    <n v="2"/>
    <d v="1899-12-30T00:02:25"/>
    <x v="0"/>
    <x v="2"/>
    <x v="3"/>
    <x v="0"/>
    <x v="12"/>
  </r>
  <r>
    <x v="0"/>
    <n v="1"/>
    <x v="3"/>
    <x v="2"/>
    <x v="1"/>
    <x v="0"/>
    <n v="19000000"/>
    <n v="1"/>
    <d v="1899-12-30T00:02:25"/>
    <x v="1"/>
    <x v="4"/>
    <x v="2"/>
    <x v="1"/>
    <x v="14"/>
  </r>
  <r>
    <x v="0"/>
    <n v="11"/>
    <x v="3"/>
    <x v="0"/>
    <x v="1"/>
    <x v="4"/>
    <n v="21000000"/>
    <n v="1"/>
    <d v="1899-12-30T00:02:25"/>
    <x v="0"/>
    <x v="0"/>
    <x v="2"/>
    <x v="0"/>
    <x v="12"/>
  </r>
  <r>
    <x v="0"/>
    <n v="15"/>
    <x v="3"/>
    <x v="0"/>
    <x v="2"/>
    <x v="2"/>
    <n v="10000000"/>
    <n v="4"/>
    <d v="1899-12-30T00:02:25"/>
    <x v="0"/>
    <x v="5"/>
    <x v="7"/>
    <x v="3"/>
    <x v="13"/>
  </r>
  <r>
    <x v="0"/>
    <n v="29"/>
    <x v="3"/>
    <x v="0"/>
    <x v="2"/>
    <x v="1"/>
    <n v="15000000"/>
    <n v="1"/>
    <d v="1899-12-30T00:02:25"/>
    <x v="0"/>
    <x v="4"/>
    <x v="0"/>
    <x v="0"/>
    <x v="12"/>
  </r>
  <r>
    <x v="0"/>
    <n v="8"/>
    <x v="3"/>
    <x v="2"/>
    <x v="2"/>
    <x v="2"/>
    <n v="12000000"/>
    <n v="5"/>
    <d v="1899-12-30T00:02:25"/>
    <x v="0"/>
    <x v="6"/>
    <x v="1"/>
    <x v="1"/>
    <x v="6"/>
  </r>
  <r>
    <x v="0"/>
    <n v="8"/>
    <x v="3"/>
    <x v="3"/>
    <x v="0"/>
    <x v="4"/>
    <n v="25000000"/>
    <n v="3"/>
    <d v="1899-12-30T00:02:25"/>
    <x v="0"/>
    <x v="4"/>
    <x v="6"/>
    <x v="1"/>
    <x v="6"/>
  </r>
  <r>
    <x v="0"/>
    <n v="10"/>
    <x v="4"/>
    <x v="3"/>
    <x v="1"/>
    <x v="0"/>
    <n v="7000000"/>
    <n v="6"/>
    <d v="1899-12-30T00:02:25"/>
    <x v="0"/>
    <x v="0"/>
    <x v="5"/>
    <x v="2"/>
    <x v="11"/>
  </r>
  <r>
    <x v="0"/>
    <n v="11"/>
    <x v="4"/>
    <x v="1"/>
    <x v="1"/>
    <x v="3"/>
    <n v="20000000"/>
    <n v="2"/>
    <d v="1899-12-30T00:02:25"/>
    <x v="0"/>
    <x v="5"/>
    <x v="3"/>
    <x v="1"/>
    <x v="2"/>
  </r>
  <r>
    <x v="0"/>
    <n v="22"/>
    <x v="4"/>
    <x v="5"/>
    <x v="0"/>
    <x v="2"/>
    <n v="12000000"/>
    <n v="2"/>
    <d v="1899-12-30T00:02:25"/>
    <x v="0"/>
    <x v="7"/>
    <x v="3"/>
    <x v="1"/>
    <x v="1"/>
  </r>
  <r>
    <x v="0"/>
    <n v="18"/>
    <x v="4"/>
    <x v="2"/>
    <x v="4"/>
    <x v="4"/>
    <n v="25000000"/>
    <n v="4"/>
    <d v="1899-12-30T00:02:25"/>
    <x v="0"/>
    <x v="0"/>
    <x v="5"/>
    <x v="2"/>
    <x v="8"/>
  </r>
  <r>
    <x v="0"/>
    <n v="15"/>
    <x v="5"/>
    <x v="3"/>
    <x v="2"/>
    <x v="3"/>
    <n v="20000000"/>
    <n v="3"/>
    <d v="1899-12-30T00:02:25"/>
    <x v="2"/>
    <x v="3"/>
    <x v="7"/>
    <x v="0"/>
    <x v="5"/>
  </r>
  <r>
    <x v="0"/>
    <n v="1"/>
    <x v="8"/>
    <x v="3"/>
    <x v="2"/>
    <x v="2"/>
    <n v="38000000"/>
    <n v="2"/>
    <d v="1899-12-30T00:02:25"/>
    <x v="1"/>
    <x v="1"/>
    <x v="2"/>
    <x v="2"/>
    <x v="3"/>
  </r>
  <r>
    <x v="0"/>
    <n v="1"/>
    <x v="8"/>
    <x v="2"/>
    <x v="1"/>
    <x v="2"/>
    <n v="12000000"/>
    <n v="3"/>
    <d v="1899-12-30T00:02:25"/>
    <x v="0"/>
    <x v="2"/>
    <x v="6"/>
    <x v="0"/>
    <x v="7"/>
  </r>
  <r>
    <x v="0"/>
    <n v="20"/>
    <x v="8"/>
    <x v="2"/>
    <x v="3"/>
    <x v="1"/>
    <n v="15000000"/>
    <n v="2"/>
    <d v="1899-12-30T00:02:25"/>
    <x v="0"/>
    <x v="4"/>
    <x v="7"/>
    <x v="0"/>
    <x v="5"/>
  </r>
  <r>
    <x v="1"/>
    <n v="12"/>
    <x v="8"/>
    <x v="0"/>
    <x v="1"/>
    <x v="5"/>
    <n v="0"/>
    <n v="2"/>
    <d v="1899-12-30T00:02:25"/>
    <x v="3"/>
    <x v="9"/>
    <x v="5"/>
    <x v="3"/>
    <x v="13"/>
  </r>
  <r>
    <x v="1"/>
    <n v="14"/>
    <x v="9"/>
    <x v="0"/>
    <x v="2"/>
    <x v="5"/>
    <n v="0"/>
    <n v="1"/>
    <d v="1899-12-30T00:02:25"/>
    <x v="3"/>
    <x v="9"/>
    <x v="7"/>
    <x v="1"/>
    <x v="2"/>
  </r>
  <r>
    <x v="1"/>
    <n v="15"/>
    <x v="1"/>
    <x v="0"/>
    <x v="1"/>
    <x v="5"/>
    <n v="0"/>
    <n v="2"/>
    <d v="1899-12-30T00:02:25"/>
    <x v="3"/>
    <x v="9"/>
    <x v="4"/>
    <x v="0"/>
    <x v="9"/>
  </r>
  <r>
    <x v="1"/>
    <n v="20"/>
    <x v="2"/>
    <x v="4"/>
    <x v="1"/>
    <x v="5"/>
    <n v="0"/>
    <n v="1"/>
    <d v="1899-12-30T00:02:25"/>
    <x v="3"/>
    <x v="9"/>
    <x v="1"/>
    <x v="2"/>
    <x v="8"/>
  </r>
  <r>
    <x v="1"/>
    <n v="2"/>
    <x v="3"/>
    <x v="0"/>
    <x v="1"/>
    <x v="5"/>
    <n v="0"/>
    <n v="2"/>
    <d v="1899-12-30T00:02:25"/>
    <x v="3"/>
    <x v="9"/>
    <x v="2"/>
    <x v="1"/>
    <x v="15"/>
  </r>
  <r>
    <x v="1"/>
    <n v="21"/>
    <x v="3"/>
    <x v="2"/>
    <x v="2"/>
    <x v="5"/>
    <n v="0"/>
    <n v="3"/>
    <d v="1899-12-30T00:02:25"/>
    <x v="3"/>
    <x v="9"/>
    <x v="2"/>
    <x v="0"/>
    <x v="9"/>
  </r>
  <r>
    <x v="1"/>
    <n v="23"/>
    <x v="3"/>
    <x v="4"/>
    <x v="2"/>
    <x v="5"/>
    <n v="0"/>
    <n v="3"/>
    <d v="1899-12-30T00:02:25"/>
    <x v="3"/>
    <x v="9"/>
    <x v="6"/>
    <x v="3"/>
    <x v="13"/>
  </r>
  <r>
    <x v="1"/>
    <n v="14"/>
    <x v="4"/>
    <x v="0"/>
    <x v="2"/>
    <x v="5"/>
    <n v="0"/>
    <n v="2"/>
    <d v="1899-12-30T00:02:25"/>
    <x v="3"/>
    <x v="9"/>
    <x v="5"/>
    <x v="1"/>
    <x v="6"/>
  </r>
  <r>
    <x v="1"/>
    <n v="16"/>
    <x v="4"/>
    <x v="3"/>
    <x v="2"/>
    <x v="5"/>
    <n v="0"/>
    <n v="3"/>
    <d v="1899-12-30T00:02:25"/>
    <x v="3"/>
    <x v="9"/>
    <x v="5"/>
    <x v="2"/>
    <x v="11"/>
  </r>
  <r>
    <x v="1"/>
    <n v="12"/>
    <x v="8"/>
    <x v="0"/>
    <x v="1"/>
    <x v="5"/>
    <n v="0"/>
    <n v="2"/>
    <d v="1899-12-30T00:02:25"/>
    <x v="3"/>
    <x v="9"/>
    <x v="5"/>
    <x v="3"/>
    <x v="13"/>
  </r>
  <r>
    <x v="1"/>
    <n v="14"/>
    <x v="9"/>
    <x v="0"/>
    <x v="2"/>
    <x v="5"/>
    <n v="0"/>
    <n v="1"/>
    <d v="1899-12-30T00:02:25"/>
    <x v="3"/>
    <x v="9"/>
    <x v="7"/>
    <x v="1"/>
    <x v="2"/>
  </r>
  <r>
    <x v="0"/>
    <n v="11"/>
    <x v="5"/>
    <x v="3"/>
    <x v="2"/>
    <x v="4"/>
    <n v="20000000"/>
    <n v="1"/>
    <d v="1899-12-30T00:02:30"/>
    <x v="0"/>
    <x v="2"/>
    <x v="6"/>
    <x v="2"/>
    <x v="8"/>
  </r>
  <r>
    <x v="0"/>
    <n v="14"/>
    <x v="6"/>
    <x v="4"/>
    <x v="2"/>
    <x v="2"/>
    <n v="10000000"/>
    <n v="7"/>
    <d v="1899-12-30T00:02:30"/>
    <x v="0"/>
    <x v="2"/>
    <x v="5"/>
    <x v="0"/>
    <x v="7"/>
  </r>
  <r>
    <x v="0"/>
    <n v="10"/>
    <x v="11"/>
    <x v="2"/>
    <x v="1"/>
    <x v="0"/>
    <n v="7000000"/>
    <n v="1"/>
    <d v="1899-12-30T00:02:30"/>
    <x v="0"/>
    <x v="5"/>
    <x v="2"/>
    <x v="0"/>
    <x v="7"/>
  </r>
  <r>
    <x v="0"/>
    <n v="12"/>
    <x v="11"/>
    <x v="1"/>
    <x v="1"/>
    <x v="4"/>
    <n v="25000000"/>
    <n v="2"/>
    <d v="1899-12-30T00:02:30"/>
    <x v="0"/>
    <x v="0"/>
    <x v="0"/>
    <x v="2"/>
    <x v="11"/>
  </r>
  <r>
    <x v="0"/>
    <n v="22"/>
    <x v="2"/>
    <x v="2"/>
    <x v="2"/>
    <x v="0"/>
    <n v="19000000"/>
    <n v="2"/>
    <d v="1899-12-30T00:02:30"/>
    <x v="1"/>
    <x v="4"/>
    <x v="7"/>
    <x v="3"/>
    <x v="13"/>
  </r>
  <r>
    <x v="0"/>
    <n v="27"/>
    <x v="2"/>
    <x v="0"/>
    <x v="2"/>
    <x v="4"/>
    <n v="21000000"/>
    <n v="3"/>
    <d v="1899-12-30T00:02:30"/>
    <x v="0"/>
    <x v="4"/>
    <x v="5"/>
    <x v="1"/>
    <x v="6"/>
  </r>
  <r>
    <x v="0"/>
    <n v="21"/>
    <x v="3"/>
    <x v="3"/>
    <x v="0"/>
    <x v="2"/>
    <n v="38000000"/>
    <n v="3"/>
    <d v="1899-12-30T00:02:30"/>
    <x v="1"/>
    <x v="3"/>
    <x v="2"/>
    <x v="2"/>
    <x v="8"/>
  </r>
  <r>
    <x v="0"/>
    <n v="24"/>
    <x v="3"/>
    <x v="0"/>
    <x v="1"/>
    <x v="3"/>
    <n v="20000000"/>
    <n v="2"/>
    <d v="1899-12-30T00:02:30"/>
    <x v="2"/>
    <x v="5"/>
    <x v="2"/>
    <x v="2"/>
    <x v="8"/>
  </r>
  <r>
    <x v="0"/>
    <n v="5"/>
    <x v="3"/>
    <x v="0"/>
    <x v="0"/>
    <x v="3"/>
    <n v="11000000"/>
    <n v="4"/>
    <d v="1899-12-30T00:02:30"/>
    <x v="2"/>
    <x v="0"/>
    <x v="4"/>
    <x v="1"/>
    <x v="1"/>
  </r>
  <r>
    <x v="0"/>
    <n v="1"/>
    <x v="3"/>
    <x v="2"/>
    <x v="1"/>
    <x v="2"/>
    <n v="12000000"/>
    <n v="1"/>
    <d v="1899-12-30T00:02:30"/>
    <x v="0"/>
    <x v="2"/>
    <x v="2"/>
    <x v="1"/>
    <x v="2"/>
  </r>
  <r>
    <x v="0"/>
    <n v="8"/>
    <x v="3"/>
    <x v="3"/>
    <x v="2"/>
    <x v="1"/>
    <n v="15000000"/>
    <n v="1"/>
    <d v="1899-12-30T00:02:30"/>
    <x v="0"/>
    <x v="4"/>
    <x v="3"/>
    <x v="1"/>
    <x v="1"/>
  </r>
  <r>
    <x v="0"/>
    <n v="28"/>
    <x v="3"/>
    <x v="2"/>
    <x v="2"/>
    <x v="1"/>
    <n v="15000000"/>
    <n v="2"/>
    <d v="1899-12-30T00:02:30"/>
    <x v="0"/>
    <x v="6"/>
    <x v="3"/>
    <x v="0"/>
    <x v="7"/>
  </r>
  <r>
    <x v="0"/>
    <n v="7"/>
    <x v="3"/>
    <x v="3"/>
    <x v="4"/>
    <x v="2"/>
    <n v="12000000"/>
    <n v="1"/>
    <d v="1899-12-30T00:02:30"/>
    <x v="0"/>
    <x v="3"/>
    <x v="6"/>
    <x v="1"/>
    <x v="2"/>
  </r>
  <r>
    <x v="0"/>
    <n v="30"/>
    <x v="4"/>
    <x v="2"/>
    <x v="0"/>
    <x v="1"/>
    <n v="15000000"/>
    <n v="1"/>
    <d v="1899-12-30T00:02:30"/>
    <x v="0"/>
    <x v="2"/>
    <x v="5"/>
    <x v="2"/>
    <x v="8"/>
  </r>
  <r>
    <x v="0"/>
    <n v="1"/>
    <x v="4"/>
    <x v="1"/>
    <x v="2"/>
    <x v="3"/>
    <n v="20000000"/>
    <n v="3"/>
    <d v="1899-12-30T00:02:30"/>
    <x v="0"/>
    <x v="7"/>
    <x v="1"/>
    <x v="3"/>
    <x v="4"/>
  </r>
  <r>
    <x v="0"/>
    <n v="5"/>
    <x v="4"/>
    <x v="3"/>
    <x v="0"/>
    <x v="2"/>
    <n v="12000000"/>
    <n v="3"/>
    <d v="1899-12-30T00:02:30"/>
    <x v="0"/>
    <x v="0"/>
    <x v="7"/>
    <x v="0"/>
    <x v="7"/>
  </r>
  <r>
    <x v="0"/>
    <n v="1"/>
    <x v="10"/>
    <x v="2"/>
    <x v="1"/>
    <x v="2"/>
    <n v="12000000"/>
    <n v="4"/>
    <d v="1899-12-30T00:02:30"/>
    <x v="0"/>
    <x v="0"/>
    <x v="0"/>
    <x v="3"/>
    <x v="13"/>
  </r>
  <r>
    <x v="0"/>
    <n v="2"/>
    <x v="10"/>
    <x v="0"/>
    <x v="2"/>
    <x v="2"/>
    <n v="12000000"/>
    <n v="1"/>
    <d v="1899-12-30T00:02:30"/>
    <x v="0"/>
    <x v="8"/>
    <x v="7"/>
    <x v="3"/>
    <x v="13"/>
  </r>
  <r>
    <x v="0"/>
    <n v="11"/>
    <x v="5"/>
    <x v="3"/>
    <x v="2"/>
    <x v="4"/>
    <n v="20000000"/>
    <n v="1"/>
    <d v="1899-12-30T00:02:30"/>
    <x v="0"/>
    <x v="2"/>
    <x v="6"/>
    <x v="2"/>
    <x v="8"/>
  </r>
  <r>
    <x v="0"/>
    <n v="14"/>
    <x v="6"/>
    <x v="4"/>
    <x v="2"/>
    <x v="2"/>
    <n v="10000000"/>
    <n v="7"/>
    <d v="1899-12-30T00:02:30"/>
    <x v="0"/>
    <x v="2"/>
    <x v="5"/>
    <x v="0"/>
    <x v="7"/>
  </r>
  <r>
    <x v="0"/>
    <n v="10"/>
    <x v="11"/>
    <x v="2"/>
    <x v="1"/>
    <x v="0"/>
    <n v="7000000"/>
    <n v="1"/>
    <d v="1899-12-30T00:02:30"/>
    <x v="0"/>
    <x v="5"/>
    <x v="2"/>
    <x v="0"/>
    <x v="7"/>
  </r>
  <r>
    <x v="0"/>
    <n v="12"/>
    <x v="11"/>
    <x v="1"/>
    <x v="1"/>
    <x v="4"/>
    <n v="25000000"/>
    <n v="2"/>
    <d v="1899-12-30T00:02:30"/>
    <x v="0"/>
    <x v="0"/>
    <x v="0"/>
    <x v="2"/>
    <x v="11"/>
  </r>
  <r>
    <x v="1"/>
    <n v="11"/>
    <x v="8"/>
    <x v="0"/>
    <x v="1"/>
    <x v="5"/>
    <n v="0"/>
    <n v="2"/>
    <d v="1899-12-30T00:02:30"/>
    <x v="3"/>
    <x v="9"/>
    <x v="6"/>
    <x v="3"/>
    <x v="13"/>
  </r>
  <r>
    <x v="1"/>
    <n v="27"/>
    <x v="8"/>
    <x v="3"/>
    <x v="2"/>
    <x v="5"/>
    <n v="0"/>
    <n v="3"/>
    <d v="1899-12-30T00:02:30"/>
    <x v="3"/>
    <x v="9"/>
    <x v="2"/>
    <x v="0"/>
    <x v="5"/>
  </r>
  <r>
    <x v="1"/>
    <n v="20"/>
    <x v="2"/>
    <x v="0"/>
    <x v="1"/>
    <x v="5"/>
    <n v="0"/>
    <n v="2"/>
    <d v="1899-12-30T00:02:30"/>
    <x v="3"/>
    <x v="9"/>
    <x v="5"/>
    <x v="1"/>
    <x v="1"/>
  </r>
  <r>
    <x v="1"/>
    <n v="1"/>
    <x v="3"/>
    <x v="2"/>
    <x v="1"/>
    <x v="5"/>
    <n v="0"/>
    <n v="4"/>
    <d v="1899-12-30T00:02:30"/>
    <x v="3"/>
    <x v="9"/>
    <x v="6"/>
    <x v="0"/>
    <x v="7"/>
  </r>
  <r>
    <x v="1"/>
    <n v="1"/>
    <x v="4"/>
    <x v="0"/>
    <x v="2"/>
    <x v="5"/>
    <n v="0"/>
    <n v="4"/>
    <d v="1899-12-30T00:02:30"/>
    <x v="3"/>
    <x v="9"/>
    <x v="3"/>
    <x v="1"/>
    <x v="2"/>
  </r>
  <r>
    <x v="1"/>
    <n v="25"/>
    <x v="4"/>
    <x v="1"/>
    <x v="0"/>
    <x v="5"/>
    <n v="0"/>
    <n v="3"/>
    <d v="1899-12-30T00:02:30"/>
    <x v="3"/>
    <x v="9"/>
    <x v="1"/>
    <x v="0"/>
    <x v="7"/>
  </r>
  <r>
    <x v="1"/>
    <n v="3"/>
    <x v="10"/>
    <x v="3"/>
    <x v="1"/>
    <x v="5"/>
    <n v="0"/>
    <n v="1"/>
    <d v="1899-12-30T00:02:30"/>
    <x v="3"/>
    <x v="9"/>
    <x v="2"/>
    <x v="2"/>
    <x v="11"/>
  </r>
  <r>
    <x v="1"/>
    <n v="10"/>
    <x v="10"/>
    <x v="2"/>
    <x v="1"/>
    <x v="5"/>
    <n v="0"/>
    <n v="1"/>
    <d v="1899-12-30T00:02:30"/>
    <x v="3"/>
    <x v="9"/>
    <x v="3"/>
    <x v="1"/>
    <x v="2"/>
  </r>
  <r>
    <x v="1"/>
    <n v="11"/>
    <x v="8"/>
    <x v="0"/>
    <x v="1"/>
    <x v="5"/>
    <n v="0"/>
    <n v="2"/>
    <d v="1899-12-30T00:02:30"/>
    <x v="3"/>
    <x v="9"/>
    <x v="6"/>
    <x v="3"/>
    <x v="13"/>
  </r>
  <r>
    <x v="1"/>
    <n v="27"/>
    <x v="8"/>
    <x v="3"/>
    <x v="2"/>
    <x v="5"/>
    <n v="0"/>
    <n v="3"/>
    <d v="1899-12-30T00:02:30"/>
    <x v="3"/>
    <x v="9"/>
    <x v="2"/>
    <x v="0"/>
    <x v="5"/>
  </r>
  <r>
    <x v="0"/>
    <n v="11"/>
    <x v="6"/>
    <x v="0"/>
    <x v="2"/>
    <x v="3"/>
    <n v="20000000"/>
    <n v="2"/>
    <d v="1899-12-30T00:02:50"/>
    <x v="0"/>
    <x v="0"/>
    <x v="5"/>
    <x v="0"/>
    <x v="10"/>
  </r>
  <r>
    <x v="0"/>
    <n v="12"/>
    <x v="2"/>
    <x v="2"/>
    <x v="3"/>
    <x v="2"/>
    <n v="38000000"/>
    <n v="1"/>
    <d v="1899-12-30T00:02:50"/>
    <x v="1"/>
    <x v="7"/>
    <x v="2"/>
    <x v="1"/>
    <x v="14"/>
  </r>
  <r>
    <x v="0"/>
    <n v="30"/>
    <x v="2"/>
    <x v="2"/>
    <x v="1"/>
    <x v="4"/>
    <n v="25000000"/>
    <n v="2"/>
    <d v="1899-12-30T00:02:50"/>
    <x v="0"/>
    <x v="2"/>
    <x v="2"/>
    <x v="0"/>
    <x v="12"/>
  </r>
  <r>
    <x v="0"/>
    <n v="27"/>
    <x v="3"/>
    <x v="2"/>
    <x v="2"/>
    <x v="0"/>
    <n v="19000000"/>
    <n v="1"/>
    <d v="1899-12-30T00:02:50"/>
    <x v="1"/>
    <x v="4"/>
    <x v="3"/>
    <x v="0"/>
    <x v="5"/>
  </r>
  <r>
    <x v="0"/>
    <n v="31"/>
    <x v="3"/>
    <x v="1"/>
    <x v="1"/>
    <x v="2"/>
    <n v="12000000"/>
    <n v="2"/>
    <d v="1899-12-30T00:02:50"/>
    <x v="0"/>
    <x v="7"/>
    <x v="3"/>
    <x v="2"/>
    <x v="3"/>
  </r>
  <r>
    <x v="0"/>
    <n v="25"/>
    <x v="3"/>
    <x v="0"/>
    <x v="2"/>
    <x v="1"/>
    <n v="15000000"/>
    <n v="2"/>
    <d v="1899-12-30T00:02:50"/>
    <x v="0"/>
    <x v="2"/>
    <x v="0"/>
    <x v="1"/>
    <x v="6"/>
  </r>
  <r>
    <x v="0"/>
    <n v="27"/>
    <x v="3"/>
    <x v="3"/>
    <x v="0"/>
    <x v="2"/>
    <n v="12000000"/>
    <n v="2"/>
    <d v="1899-12-30T00:02:50"/>
    <x v="0"/>
    <x v="1"/>
    <x v="7"/>
    <x v="1"/>
    <x v="2"/>
  </r>
  <r>
    <x v="0"/>
    <n v="29"/>
    <x v="4"/>
    <x v="3"/>
    <x v="4"/>
    <x v="3"/>
    <n v="11000000"/>
    <n v="3"/>
    <d v="1899-12-30T00:02:50"/>
    <x v="2"/>
    <x v="7"/>
    <x v="7"/>
    <x v="2"/>
    <x v="8"/>
  </r>
  <r>
    <x v="0"/>
    <n v="18"/>
    <x v="4"/>
    <x v="2"/>
    <x v="0"/>
    <x v="4"/>
    <n v="21000000"/>
    <n v="1"/>
    <d v="1899-12-30T00:02:50"/>
    <x v="0"/>
    <x v="0"/>
    <x v="6"/>
    <x v="3"/>
    <x v="4"/>
  </r>
  <r>
    <x v="0"/>
    <n v="16"/>
    <x v="10"/>
    <x v="1"/>
    <x v="2"/>
    <x v="1"/>
    <n v="15000000"/>
    <n v="6"/>
    <d v="1899-12-30T00:02:50"/>
    <x v="0"/>
    <x v="2"/>
    <x v="6"/>
    <x v="1"/>
    <x v="6"/>
  </r>
  <r>
    <x v="0"/>
    <n v="11"/>
    <x v="6"/>
    <x v="0"/>
    <x v="2"/>
    <x v="3"/>
    <n v="20000000"/>
    <n v="2"/>
    <d v="1899-12-30T00:02:50"/>
    <x v="0"/>
    <x v="0"/>
    <x v="5"/>
    <x v="0"/>
    <x v="10"/>
  </r>
  <r>
    <x v="1"/>
    <n v="24"/>
    <x v="2"/>
    <x v="2"/>
    <x v="2"/>
    <x v="5"/>
    <n v="0"/>
    <n v="2"/>
    <d v="1899-12-30T00:02:50"/>
    <x v="3"/>
    <x v="9"/>
    <x v="7"/>
    <x v="3"/>
    <x v="4"/>
  </r>
  <r>
    <x v="1"/>
    <n v="28"/>
    <x v="4"/>
    <x v="0"/>
    <x v="2"/>
    <x v="5"/>
    <n v="0"/>
    <n v="2"/>
    <d v="1899-12-30T00:02:50"/>
    <x v="3"/>
    <x v="9"/>
    <x v="3"/>
    <x v="1"/>
    <x v="2"/>
  </r>
  <r>
    <x v="1"/>
    <n v="11"/>
    <x v="4"/>
    <x v="4"/>
    <x v="1"/>
    <x v="5"/>
    <n v="0"/>
    <n v="3"/>
    <d v="1899-12-30T00:02:50"/>
    <x v="3"/>
    <x v="9"/>
    <x v="4"/>
    <x v="2"/>
    <x v="11"/>
  </r>
  <r>
    <x v="0"/>
    <n v="12"/>
    <x v="5"/>
    <x v="0"/>
    <x v="1"/>
    <x v="2"/>
    <n v="12000000"/>
    <n v="3"/>
    <d v="1899-12-30T00:02:56"/>
    <x v="0"/>
    <x v="4"/>
    <x v="3"/>
    <x v="1"/>
    <x v="14"/>
  </r>
  <r>
    <x v="0"/>
    <n v="17"/>
    <x v="9"/>
    <x v="0"/>
    <x v="2"/>
    <x v="3"/>
    <n v="20000000"/>
    <n v="1"/>
    <d v="1899-12-30T00:02:56"/>
    <x v="2"/>
    <x v="1"/>
    <x v="6"/>
    <x v="0"/>
    <x v="12"/>
  </r>
  <r>
    <x v="0"/>
    <n v="27"/>
    <x v="2"/>
    <x v="4"/>
    <x v="1"/>
    <x v="4"/>
    <n v="25000000"/>
    <n v="1"/>
    <d v="1899-12-30T00:02:56"/>
    <x v="0"/>
    <x v="7"/>
    <x v="6"/>
    <x v="0"/>
    <x v="9"/>
  </r>
  <r>
    <x v="0"/>
    <n v="15"/>
    <x v="2"/>
    <x v="5"/>
    <x v="0"/>
    <x v="2"/>
    <n v="10000000"/>
    <n v="2"/>
    <d v="1899-12-30T00:02:56"/>
    <x v="0"/>
    <x v="2"/>
    <x v="7"/>
    <x v="1"/>
    <x v="1"/>
  </r>
  <r>
    <x v="0"/>
    <n v="30"/>
    <x v="2"/>
    <x v="5"/>
    <x v="0"/>
    <x v="1"/>
    <n v="15000000"/>
    <n v="4"/>
    <d v="1899-12-30T00:02:56"/>
    <x v="0"/>
    <x v="4"/>
    <x v="7"/>
    <x v="3"/>
    <x v="13"/>
  </r>
  <r>
    <x v="0"/>
    <n v="8"/>
    <x v="3"/>
    <x v="1"/>
    <x v="0"/>
    <x v="0"/>
    <n v="19000000"/>
    <n v="2"/>
    <d v="1899-12-30T00:02:56"/>
    <x v="1"/>
    <x v="5"/>
    <x v="5"/>
    <x v="0"/>
    <x v="7"/>
  </r>
  <r>
    <x v="0"/>
    <n v="6"/>
    <x v="3"/>
    <x v="0"/>
    <x v="1"/>
    <x v="0"/>
    <n v="7000000"/>
    <n v="2"/>
    <d v="1899-12-30T00:02:56"/>
    <x v="0"/>
    <x v="0"/>
    <x v="2"/>
    <x v="0"/>
    <x v="10"/>
  </r>
  <r>
    <x v="0"/>
    <n v="29"/>
    <x v="3"/>
    <x v="4"/>
    <x v="1"/>
    <x v="2"/>
    <n v="12000000"/>
    <n v="1"/>
    <d v="1899-12-30T00:02:56"/>
    <x v="0"/>
    <x v="3"/>
    <x v="0"/>
    <x v="2"/>
    <x v="8"/>
  </r>
  <r>
    <x v="0"/>
    <n v="3"/>
    <x v="4"/>
    <x v="0"/>
    <x v="1"/>
    <x v="4"/>
    <n v="25000000"/>
    <n v="2"/>
    <d v="1899-12-30T00:02:56"/>
    <x v="0"/>
    <x v="2"/>
    <x v="0"/>
    <x v="0"/>
    <x v="7"/>
  </r>
  <r>
    <x v="0"/>
    <n v="30"/>
    <x v="10"/>
    <x v="2"/>
    <x v="2"/>
    <x v="2"/>
    <n v="38000000"/>
    <n v="2"/>
    <d v="1899-12-30T00:02:56"/>
    <x v="1"/>
    <x v="8"/>
    <x v="2"/>
    <x v="0"/>
    <x v="10"/>
  </r>
  <r>
    <x v="0"/>
    <n v="21"/>
    <x v="10"/>
    <x v="3"/>
    <x v="1"/>
    <x v="1"/>
    <n v="15000000"/>
    <n v="3"/>
    <d v="1899-12-30T00:02:56"/>
    <x v="0"/>
    <x v="0"/>
    <x v="3"/>
    <x v="2"/>
    <x v="11"/>
  </r>
  <r>
    <x v="0"/>
    <n v="12"/>
    <x v="5"/>
    <x v="0"/>
    <x v="1"/>
    <x v="2"/>
    <n v="12000000"/>
    <n v="3"/>
    <d v="1899-12-30T00:02:56"/>
    <x v="0"/>
    <x v="4"/>
    <x v="3"/>
    <x v="1"/>
    <x v="14"/>
  </r>
  <r>
    <x v="0"/>
    <n v="17"/>
    <x v="9"/>
    <x v="0"/>
    <x v="2"/>
    <x v="3"/>
    <n v="20000000"/>
    <n v="1"/>
    <d v="1899-12-30T00:02:56"/>
    <x v="2"/>
    <x v="1"/>
    <x v="6"/>
    <x v="0"/>
    <x v="12"/>
  </r>
  <r>
    <x v="1"/>
    <n v="11"/>
    <x v="4"/>
    <x v="3"/>
    <x v="1"/>
    <x v="5"/>
    <n v="0"/>
    <n v="2"/>
    <d v="1899-12-30T00:02:56"/>
    <x v="3"/>
    <x v="9"/>
    <x v="1"/>
    <x v="1"/>
    <x v="2"/>
  </r>
  <r>
    <x v="1"/>
    <n v="1"/>
    <x v="10"/>
    <x v="0"/>
    <x v="1"/>
    <x v="5"/>
    <n v="0"/>
    <n v="2"/>
    <d v="1899-12-30T00:02:56"/>
    <x v="3"/>
    <x v="9"/>
    <x v="5"/>
    <x v="3"/>
    <x v="13"/>
  </r>
  <r>
    <x v="0"/>
    <n v="15"/>
    <x v="6"/>
    <x v="0"/>
    <x v="1"/>
    <x v="2"/>
    <n v="12000000"/>
    <n v="2"/>
    <d v="1899-12-30T00:03:00"/>
    <x v="0"/>
    <x v="2"/>
    <x v="7"/>
    <x v="1"/>
    <x v="1"/>
  </r>
  <r>
    <x v="0"/>
    <n v="8"/>
    <x v="8"/>
    <x v="0"/>
    <x v="2"/>
    <x v="1"/>
    <n v="15000000"/>
    <n v="3"/>
    <d v="1899-12-30T00:03:00"/>
    <x v="0"/>
    <x v="2"/>
    <x v="4"/>
    <x v="1"/>
    <x v="1"/>
  </r>
  <r>
    <x v="0"/>
    <n v="16"/>
    <x v="1"/>
    <x v="1"/>
    <x v="1"/>
    <x v="3"/>
    <n v="11000000"/>
    <n v="3"/>
    <d v="1899-12-30T00:03:00"/>
    <x v="2"/>
    <x v="2"/>
    <x v="3"/>
    <x v="0"/>
    <x v="7"/>
  </r>
  <r>
    <x v="0"/>
    <n v="8"/>
    <x v="3"/>
    <x v="0"/>
    <x v="0"/>
    <x v="4"/>
    <n v="25000000"/>
    <n v="2"/>
    <d v="1899-12-30T00:03:00"/>
    <x v="0"/>
    <x v="2"/>
    <x v="3"/>
    <x v="1"/>
    <x v="6"/>
  </r>
  <r>
    <x v="0"/>
    <n v="21"/>
    <x v="3"/>
    <x v="5"/>
    <x v="2"/>
    <x v="2"/>
    <n v="12000000"/>
    <n v="4"/>
    <d v="1899-12-30T00:03:00"/>
    <x v="0"/>
    <x v="7"/>
    <x v="5"/>
    <x v="0"/>
    <x v="5"/>
  </r>
  <r>
    <x v="0"/>
    <n v="20"/>
    <x v="3"/>
    <x v="4"/>
    <x v="0"/>
    <x v="1"/>
    <n v="15000000"/>
    <n v="6"/>
    <d v="1899-12-30T00:03:00"/>
    <x v="0"/>
    <x v="0"/>
    <x v="6"/>
    <x v="0"/>
    <x v="12"/>
  </r>
  <r>
    <x v="0"/>
    <n v="4"/>
    <x v="3"/>
    <x v="0"/>
    <x v="4"/>
    <x v="3"/>
    <n v="20000000"/>
    <n v="3"/>
    <d v="1899-12-30T00:03:00"/>
    <x v="0"/>
    <x v="0"/>
    <x v="7"/>
    <x v="2"/>
    <x v="11"/>
  </r>
  <r>
    <x v="0"/>
    <n v="22"/>
    <x v="4"/>
    <x v="3"/>
    <x v="2"/>
    <x v="1"/>
    <n v="15000000"/>
    <n v="6"/>
    <d v="1899-12-30T00:03:00"/>
    <x v="0"/>
    <x v="1"/>
    <x v="5"/>
    <x v="0"/>
    <x v="12"/>
  </r>
  <r>
    <x v="0"/>
    <n v="31"/>
    <x v="10"/>
    <x v="2"/>
    <x v="4"/>
    <x v="2"/>
    <n v="38000000"/>
    <n v="4"/>
    <d v="1899-12-30T00:03:00"/>
    <x v="1"/>
    <x v="7"/>
    <x v="2"/>
    <x v="1"/>
    <x v="14"/>
  </r>
  <r>
    <x v="0"/>
    <n v="15"/>
    <x v="6"/>
    <x v="0"/>
    <x v="1"/>
    <x v="2"/>
    <n v="12000000"/>
    <n v="2"/>
    <d v="1899-12-30T00:03:00"/>
    <x v="0"/>
    <x v="2"/>
    <x v="7"/>
    <x v="1"/>
    <x v="1"/>
  </r>
  <r>
    <x v="0"/>
    <n v="8"/>
    <x v="8"/>
    <x v="0"/>
    <x v="2"/>
    <x v="1"/>
    <n v="15000000"/>
    <n v="3"/>
    <d v="1899-12-30T00:03:00"/>
    <x v="0"/>
    <x v="2"/>
    <x v="4"/>
    <x v="1"/>
    <x v="1"/>
  </r>
  <r>
    <x v="0"/>
    <n v="16"/>
    <x v="1"/>
    <x v="1"/>
    <x v="1"/>
    <x v="3"/>
    <n v="11000000"/>
    <n v="3"/>
    <d v="1899-12-30T00:03:00"/>
    <x v="2"/>
    <x v="2"/>
    <x v="3"/>
    <x v="0"/>
    <x v="7"/>
  </r>
  <r>
    <x v="1"/>
    <n v="4"/>
    <x v="8"/>
    <x v="0"/>
    <x v="0"/>
    <x v="5"/>
    <n v="0"/>
    <n v="3"/>
    <d v="1899-12-30T00:03:00"/>
    <x v="3"/>
    <x v="9"/>
    <x v="2"/>
    <x v="1"/>
    <x v="1"/>
  </r>
  <r>
    <x v="1"/>
    <n v="28"/>
    <x v="2"/>
    <x v="0"/>
    <x v="0"/>
    <x v="5"/>
    <n v="0"/>
    <n v="3"/>
    <d v="1899-12-30T00:03:00"/>
    <x v="3"/>
    <x v="9"/>
    <x v="7"/>
    <x v="3"/>
    <x v="4"/>
  </r>
  <r>
    <x v="1"/>
    <n v="10"/>
    <x v="3"/>
    <x v="1"/>
    <x v="2"/>
    <x v="5"/>
    <n v="0"/>
    <n v="3"/>
    <d v="1899-12-30T00:03:00"/>
    <x v="3"/>
    <x v="9"/>
    <x v="2"/>
    <x v="0"/>
    <x v="12"/>
  </r>
  <r>
    <x v="1"/>
    <n v="22"/>
    <x v="4"/>
    <x v="4"/>
    <x v="1"/>
    <x v="5"/>
    <n v="0"/>
    <n v="1"/>
    <d v="1899-12-30T00:03:00"/>
    <x v="3"/>
    <x v="9"/>
    <x v="4"/>
    <x v="2"/>
    <x v="8"/>
  </r>
  <r>
    <x v="1"/>
    <n v="4"/>
    <x v="8"/>
    <x v="0"/>
    <x v="0"/>
    <x v="5"/>
    <n v="0"/>
    <n v="3"/>
    <d v="1899-12-30T00:03:00"/>
    <x v="3"/>
    <x v="9"/>
    <x v="2"/>
    <x v="1"/>
    <x v="1"/>
  </r>
  <r>
    <x v="0"/>
    <n v="4"/>
    <x v="8"/>
    <x v="3"/>
    <x v="2"/>
    <x v="0"/>
    <n v="19000000"/>
    <n v="1"/>
    <d v="1899-12-30T00:03:10"/>
    <x v="1"/>
    <x v="7"/>
    <x v="3"/>
    <x v="2"/>
    <x v="3"/>
  </r>
  <r>
    <x v="0"/>
    <n v="17"/>
    <x v="1"/>
    <x v="0"/>
    <x v="2"/>
    <x v="1"/>
    <n v="15000000"/>
    <n v="2"/>
    <d v="1899-12-30T00:03:10"/>
    <x v="0"/>
    <x v="4"/>
    <x v="5"/>
    <x v="1"/>
    <x v="15"/>
  </r>
  <r>
    <x v="0"/>
    <n v="30"/>
    <x v="2"/>
    <x v="0"/>
    <x v="0"/>
    <x v="0"/>
    <n v="7000000"/>
    <n v="2"/>
    <d v="1899-12-30T00:03:10"/>
    <x v="0"/>
    <x v="0"/>
    <x v="4"/>
    <x v="3"/>
    <x v="4"/>
  </r>
  <r>
    <x v="0"/>
    <n v="18"/>
    <x v="2"/>
    <x v="0"/>
    <x v="2"/>
    <x v="2"/>
    <n v="12000000"/>
    <n v="2"/>
    <d v="1899-12-30T00:03:10"/>
    <x v="0"/>
    <x v="4"/>
    <x v="0"/>
    <x v="1"/>
    <x v="6"/>
  </r>
  <r>
    <x v="0"/>
    <n v="27"/>
    <x v="2"/>
    <x v="3"/>
    <x v="2"/>
    <x v="1"/>
    <n v="11000000"/>
    <n v="4"/>
    <d v="1899-12-30T00:03:10"/>
    <x v="0"/>
    <x v="7"/>
    <x v="5"/>
    <x v="0"/>
    <x v="7"/>
  </r>
  <r>
    <x v="0"/>
    <n v="12"/>
    <x v="3"/>
    <x v="2"/>
    <x v="0"/>
    <x v="2"/>
    <n v="38000000"/>
    <n v="4"/>
    <d v="1899-12-30T00:03:10"/>
    <x v="1"/>
    <x v="2"/>
    <x v="6"/>
    <x v="1"/>
    <x v="14"/>
  </r>
  <r>
    <x v="0"/>
    <n v="8"/>
    <x v="3"/>
    <x v="0"/>
    <x v="1"/>
    <x v="2"/>
    <n v="12000000"/>
    <n v="2"/>
    <d v="1899-12-30T00:03:10"/>
    <x v="0"/>
    <x v="7"/>
    <x v="1"/>
    <x v="0"/>
    <x v="12"/>
  </r>
  <r>
    <x v="0"/>
    <n v="11"/>
    <x v="4"/>
    <x v="4"/>
    <x v="2"/>
    <x v="4"/>
    <n v="20000000"/>
    <n v="4"/>
    <d v="1899-12-30T00:03:10"/>
    <x v="0"/>
    <x v="8"/>
    <x v="6"/>
    <x v="2"/>
    <x v="8"/>
  </r>
  <r>
    <x v="0"/>
    <n v="2"/>
    <x v="10"/>
    <x v="0"/>
    <x v="0"/>
    <x v="3"/>
    <n v="15000000"/>
    <n v="1"/>
    <d v="1899-12-30T00:03:10"/>
    <x v="0"/>
    <x v="0"/>
    <x v="1"/>
    <x v="1"/>
    <x v="2"/>
  </r>
  <r>
    <x v="0"/>
    <n v="4"/>
    <x v="8"/>
    <x v="3"/>
    <x v="2"/>
    <x v="0"/>
    <n v="19000000"/>
    <n v="1"/>
    <d v="1899-12-30T00:03:10"/>
    <x v="1"/>
    <x v="7"/>
    <x v="3"/>
    <x v="2"/>
    <x v="3"/>
  </r>
  <r>
    <x v="0"/>
    <n v="17"/>
    <x v="1"/>
    <x v="0"/>
    <x v="2"/>
    <x v="1"/>
    <n v="15000000"/>
    <n v="2"/>
    <d v="1899-12-30T00:03:10"/>
    <x v="0"/>
    <x v="4"/>
    <x v="5"/>
    <x v="1"/>
    <x v="15"/>
  </r>
  <r>
    <x v="1"/>
    <n v="13"/>
    <x v="0"/>
    <x v="1"/>
    <x v="2"/>
    <x v="5"/>
    <n v="0"/>
    <n v="4"/>
    <d v="1899-12-30T00:03:10"/>
    <x v="3"/>
    <x v="9"/>
    <x v="6"/>
    <x v="0"/>
    <x v="12"/>
  </r>
  <r>
    <x v="1"/>
    <n v="27"/>
    <x v="3"/>
    <x v="1"/>
    <x v="2"/>
    <x v="5"/>
    <n v="0"/>
    <n v="2"/>
    <d v="1899-12-30T00:03:10"/>
    <x v="3"/>
    <x v="9"/>
    <x v="5"/>
    <x v="0"/>
    <x v="9"/>
  </r>
  <r>
    <x v="1"/>
    <n v="20"/>
    <x v="3"/>
    <x v="4"/>
    <x v="2"/>
    <x v="5"/>
    <n v="0"/>
    <n v="1"/>
    <d v="1899-12-30T00:03:10"/>
    <x v="3"/>
    <x v="9"/>
    <x v="3"/>
    <x v="3"/>
    <x v="13"/>
  </r>
  <r>
    <x v="1"/>
    <n v="18"/>
    <x v="4"/>
    <x v="2"/>
    <x v="2"/>
    <x v="5"/>
    <n v="0"/>
    <n v="5"/>
    <d v="1899-12-30T00:03:10"/>
    <x v="3"/>
    <x v="9"/>
    <x v="7"/>
    <x v="0"/>
    <x v="9"/>
  </r>
  <r>
    <x v="1"/>
    <n v="13"/>
    <x v="0"/>
    <x v="1"/>
    <x v="2"/>
    <x v="5"/>
    <n v="0"/>
    <n v="4"/>
    <d v="1899-12-30T00:03:10"/>
    <x v="3"/>
    <x v="9"/>
    <x v="6"/>
    <x v="0"/>
    <x v="12"/>
  </r>
  <r>
    <x v="0"/>
    <n v="17"/>
    <x v="5"/>
    <x v="4"/>
    <x v="4"/>
    <x v="1"/>
    <n v="15000000"/>
    <n v="1"/>
    <d v="1899-12-30T00:03:12"/>
    <x v="0"/>
    <x v="1"/>
    <x v="2"/>
    <x v="3"/>
    <x v="13"/>
  </r>
  <r>
    <x v="0"/>
    <n v="11"/>
    <x v="6"/>
    <x v="0"/>
    <x v="2"/>
    <x v="1"/>
    <n v="15000000"/>
    <n v="5"/>
    <d v="1899-12-30T00:03:12"/>
    <x v="0"/>
    <x v="0"/>
    <x v="7"/>
    <x v="3"/>
    <x v="4"/>
  </r>
  <r>
    <x v="0"/>
    <n v="1"/>
    <x v="8"/>
    <x v="4"/>
    <x v="2"/>
    <x v="3"/>
    <n v="20000000"/>
    <n v="3"/>
    <d v="1899-12-30T00:03:12"/>
    <x v="0"/>
    <x v="7"/>
    <x v="3"/>
    <x v="1"/>
    <x v="6"/>
  </r>
  <r>
    <x v="0"/>
    <n v="10"/>
    <x v="11"/>
    <x v="2"/>
    <x v="2"/>
    <x v="0"/>
    <n v="7000000"/>
    <n v="4"/>
    <d v="1899-12-30T00:03:12"/>
    <x v="0"/>
    <x v="0"/>
    <x v="7"/>
    <x v="0"/>
    <x v="7"/>
  </r>
  <r>
    <x v="0"/>
    <n v="30"/>
    <x v="2"/>
    <x v="0"/>
    <x v="2"/>
    <x v="0"/>
    <n v="19000000"/>
    <n v="1"/>
    <d v="1899-12-30T00:03:12"/>
    <x v="1"/>
    <x v="2"/>
    <x v="0"/>
    <x v="1"/>
    <x v="2"/>
  </r>
  <r>
    <x v="0"/>
    <n v="28"/>
    <x v="2"/>
    <x v="4"/>
    <x v="3"/>
    <x v="3"/>
    <n v="11000000"/>
    <n v="2"/>
    <d v="1899-12-30T00:03:12"/>
    <x v="2"/>
    <x v="7"/>
    <x v="0"/>
    <x v="1"/>
    <x v="1"/>
  </r>
  <r>
    <x v="0"/>
    <n v="22"/>
    <x v="2"/>
    <x v="0"/>
    <x v="2"/>
    <x v="4"/>
    <n v="25000000"/>
    <n v="3"/>
    <d v="1899-12-30T00:03:12"/>
    <x v="0"/>
    <x v="0"/>
    <x v="5"/>
    <x v="2"/>
    <x v="11"/>
  </r>
  <r>
    <x v="0"/>
    <n v="11"/>
    <x v="2"/>
    <x v="0"/>
    <x v="0"/>
    <x v="2"/>
    <n v="12000000"/>
    <n v="3"/>
    <d v="1899-12-30T00:03:12"/>
    <x v="0"/>
    <x v="0"/>
    <x v="7"/>
    <x v="1"/>
    <x v="14"/>
  </r>
  <r>
    <x v="0"/>
    <n v="30"/>
    <x v="2"/>
    <x v="3"/>
    <x v="1"/>
    <x v="1"/>
    <n v="15000000"/>
    <n v="5"/>
    <d v="1899-12-30T00:03:12"/>
    <x v="0"/>
    <x v="2"/>
    <x v="7"/>
    <x v="1"/>
    <x v="6"/>
  </r>
  <r>
    <x v="0"/>
    <n v="2"/>
    <x v="3"/>
    <x v="4"/>
    <x v="2"/>
    <x v="4"/>
    <n v="21000000"/>
    <n v="1"/>
    <d v="1899-12-30T00:03:12"/>
    <x v="0"/>
    <x v="5"/>
    <x v="2"/>
    <x v="2"/>
    <x v="8"/>
  </r>
  <r>
    <x v="0"/>
    <n v="25"/>
    <x v="3"/>
    <x v="2"/>
    <x v="0"/>
    <x v="4"/>
    <n v="25000000"/>
    <n v="2"/>
    <d v="1899-12-30T00:03:12"/>
    <x v="0"/>
    <x v="4"/>
    <x v="2"/>
    <x v="0"/>
    <x v="10"/>
  </r>
  <r>
    <x v="0"/>
    <n v="28"/>
    <x v="3"/>
    <x v="5"/>
    <x v="1"/>
    <x v="0"/>
    <n v="7000000"/>
    <n v="2"/>
    <d v="1899-12-30T00:03:12"/>
    <x v="0"/>
    <x v="1"/>
    <x v="7"/>
    <x v="1"/>
    <x v="1"/>
  </r>
  <r>
    <x v="0"/>
    <n v="22"/>
    <x v="3"/>
    <x v="2"/>
    <x v="1"/>
    <x v="1"/>
    <n v="15000000"/>
    <n v="2"/>
    <d v="1899-12-30T00:03:12"/>
    <x v="0"/>
    <x v="2"/>
    <x v="6"/>
    <x v="2"/>
    <x v="8"/>
  </r>
  <r>
    <x v="0"/>
    <n v="25"/>
    <x v="3"/>
    <x v="4"/>
    <x v="2"/>
    <x v="2"/>
    <n v="12000000"/>
    <n v="1"/>
    <d v="1899-12-30T00:03:12"/>
    <x v="0"/>
    <x v="2"/>
    <x v="6"/>
    <x v="2"/>
    <x v="11"/>
  </r>
  <r>
    <x v="0"/>
    <n v="29"/>
    <x v="3"/>
    <x v="4"/>
    <x v="2"/>
    <x v="2"/>
    <n v="12000000"/>
    <n v="1"/>
    <d v="1899-12-30T00:03:12"/>
    <x v="0"/>
    <x v="1"/>
    <x v="7"/>
    <x v="1"/>
    <x v="1"/>
  </r>
  <r>
    <x v="0"/>
    <n v="20"/>
    <x v="4"/>
    <x v="3"/>
    <x v="2"/>
    <x v="2"/>
    <n v="38000000"/>
    <n v="4"/>
    <d v="1899-12-30T00:03:12"/>
    <x v="4"/>
    <x v="0"/>
    <x v="5"/>
    <x v="3"/>
    <x v="13"/>
  </r>
  <r>
    <x v="0"/>
    <n v="9"/>
    <x v="4"/>
    <x v="2"/>
    <x v="2"/>
    <x v="4"/>
    <n v="25000000"/>
    <n v="2"/>
    <d v="1899-12-30T00:03:12"/>
    <x v="0"/>
    <x v="3"/>
    <x v="3"/>
    <x v="3"/>
    <x v="4"/>
  </r>
  <r>
    <x v="0"/>
    <n v="17"/>
    <x v="10"/>
    <x v="0"/>
    <x v="1"/>
    <x v="3"/>
    <n v="11000000"/>
    <n v="1"/>
    <d v="1899-12-30T00:03:12"/>
    <x v="2"/>
    <x v="8"/>
    <x v="0"/>
    <x v="1"/>
    <x v="1"/>
  </r>
  <r>
    <x v="0"/>
    <n v="10"/>
    <x v="10"/>
    <x v="4"/>
    <x v="2"/>
    <x v="2"/>
    <n v="12000000"/>
    <n v="4"/>
    <d v="1899-12-30T00:03:12"/>
    <x v="0"/>
    <x v="4"/>
    <x v="0"/>
    <x v="1"/>
    <x v="6"/>
  </r>
  <r>
    <x v="0"/>
    <n v="24"/>
    <x v="10"/>
    <x v="4"/>
    <x v="2"/>
    <x v="2"/>
    <n v="12000000"/>
    <n v="2"/>
    <d v="1899-12-30T00:03:12"/>
    <x v="0"/>
    <x v="2"/>
    <x v="5"/>
    <x v="2"/>
    <x v="8"/>
  </r>
  <r>
    <x v="0"/>
    <n v="20"/>
    <x v="10"/>
    <x v="3"/>
    <x v="1"/>
    <x v="3"/>
    <n v="20000000"/>
    <n v="4"/>
    <d v="1899-12-30T00:03:12"/>
    <x v="0"/>
    <x v="4"/>
    <x v="6"/>
    <x v="2"/>
    <x v="11"/>
  </r>
  <r>
    <x v="0"/>
    <n v="17"/>
    <x v="5"/>
    <x v="4"/>
    <x v="4"/>
    <x v="1"/>
    <n v="15000000"/>
    <n v="1"/>
    <d v="1899-12-30T00:03:12"/>
    <x v="0"/>
    <x v="1"/>
    <x v="2"/>
    <x v="3"/>
    <x v="13"/>
  </r>
  <r>
    <x v="0"/>
    <n v="11"/>
    <x v="6"/>
    <x v="0"/>
    <x v="2"/>
    <x v="1"/>
    <n v="15000000"/>
    <n v="5"/>
    <d v="1899-12-30T00:03:12"/>
    <x v="0"/>
    <x v="0"/>
    <x v="7"/>
    <x v="3"/>
    <x v="4"/>
  </r>
  <r>
    <x v="0"/>
    <n v="1"/>
    <x v="8"/>
    <x v="4"/>
    <x v="2"/>
    <x v="3"/>
    <n v="20000000"/>
    <n v="3"/>
    <d v="1899-12-30T00:03:12"/>
    <x v="0"/>
    <x v="7"/>
    <x v="3"/>
    <x v="1"/>
    <x v="6"/>
  </r>
  <r>
    <x v="0"/>
    <n v="10"/>
    <x v="11"/>
    <x v="2"/>
    <x v="2"/>
    <x v="0"/>
    <n v="7000000"/>
    <n v="4"/>
    <d v="1899-12-30T00:03:12"/>
    <x v="0"/>
    <x v="0"/>
    <x v="7"/>
    <x v="0"/>
    <x v="7"/>
  </r>
  <r>
    <x v="1"/>
    <n v="21"/>
    <x v="6"/>
    <x v="5"/>
    <x v="2"/>
    <x v="5"/>
    <n v="0"/>
    <n v="2"/>
    <d v="1899-12-30T00:03:12"/>
    <x v="3"/>
    <x v="9"/>
    <x v="5"/>
    <x v="0"/>
    <x v="7"/>
  </r>
  <r>
    <x v="1"/>
    <n v="16"/>
    <x v="7"/>
    <x v="1"/>
    <x v="0"/>
    <x v="5"/>
    <n v="0"/>
    <n v="5"/>
    <d v="1899-12-30T00:03:12"/>
    <x v="3"/>
    <x v="9"/>
    <x v="4"/>
    <x v="0"/>
    <x v="7"/>
  </r>
  <r>
    <x v="1"/>
    <n v="25"/>
    <x v="2"/>
    <x v="1"/>
    <x v="2"/>
    <x v="5"/>
    <n v="0"/>
    <n v="1"/>
    <d v="1899-12-30T00:03:12"/>
    <x v="3"/>
    <x v="9"/>
    <x v="2"/>
    <x v="0"/>
    <x v="10"/>
  </r>
  <r>
    <x v="1"/>
    <n v="7"/>
    <x v="10"/>
    <x v="0"/>
    <x v="0"/>
    <x v="5"/>
    <n v="0"/>
    <n v="1"/>
    <d v="1899-12-30T00:03:12"/>
    <x v="3"/>
    <x v="9"/>
    <x v="3"/>
    <x v="0"/>
    <x v="5"/>
  </r>
  <r>
    <x v="1"/>
    <n v="23"/>
    <x v="10"/>
    <x v="2"/>
    <x v="2"/>
    <x v="5"/>
    <n v="0"/>
    <n v="5"/>
    <d v="1899-12-30T00:03:12"/>
    <x v="3"/>
    <x v="9"/>
    <x v="1"/>
    <x v="1"/>
    <x v="2"/>
  </r>
  <r>
    <x v="1"/>
    <n v="21"/>
    <x v="6"/>
    <x v="5"/>
    <x v="2"/>
    <x v="5"/>
    <n v="0"/>
    <n v="2"/>
    <d v="1899-12-30T00:03:12"/>
    <x v="3"/>
    <x v="9"/>
    <x v="5"/>
    <x v="0"/>
    <x v="7"/>
  </r>
  <r>
    <x v="1"/>
    <n v="16"/>
    <x v="7"/>
    <x v="1"/>
    <x v="0"/>
    <x v="5"/>
    <n v="0"/>
    <n v="5"/>
    <d v="1899-12-30T00:03:12"/>
    <x v="3"/>
    <x v="9"/>
    <x v="4"/>
    <x v="0"/>
    <x v="7"/>
  </r>
  <r>
    <x v="0"/>
    <n v="30"/>
    <x v="1"/>
    <x v="1"/>
    <x v="1"/>
    <x v="4"/>
    <n v="25000000"/>
    <n v="1"/>
    <d v="1899-12-30T00:03:14"/>
    <x v="0"/>
    <x v="8"/>
    <x v="1"/>
    <x v="1"/>
    <x v="1"/>
  </r>
  <r>
    <x v="0"/>
    <n v="25"/>
    <x v="2"/>
    <x v="0"/>
    <x v="1"/>
    <x v="3"/>
    <n v="20000000"/>
    <n v="2"/>
    <d v="1899-12-30T00:03:14"/>
    <x v="2"/>
    <x v="0"/>
    <x v="7"/>
    <x v="0"/>
    <x v="10"/>
  </r>
  <r>
    <x v="0"/>
    <n v="9"/>
    <x v="2"/>
    <x v="1"/>
    <x v="1"/>
    <x v="0"/>
    <n v="7000000"/>
    <n v="2"/>
    <d v="1899-12-30T00:03:14"/>
    <x v="0"/>
    <x v="2"/>
    <x v="5"/>
    <x v="1"/>
    <x v="1"/>
  </r>
  <r>
    <x v="0"/>
    <n v="29"/>
    <x v="3"/>
    <x v="4"/>
    <x v="2"/>
    <x v="2"/>
    <n v="12000000"/>
    <n v="1"/>
    <d v="1899-12-30T00:03:14"/>
    <x v="0"/>
    <x v="7"/>
    <x v="2"/>
    <x v="2"/>
    <x v="3"/>
  </r>
  <r>
    <x v="0"/>
    <n v="13"/>
    <x v="3"/>
    <x v="1"/>
    <x v="1"/>
    <x v="2"/>
    <n v="12000000"/>
    <n v="2"/>
    <d v="1899-12-30T00:03:14"/>
    <x v="0"/>
    <x v="0"/>
    <x v="3"/>
    <x v="3"/>
    <x v="4"/>
  </r>
  <r>
    <x v="0"/>
    <n v="29"/>
    <x v="3"/>
    <x v="2"/>
    <x v="4"/>
    <x v="2"/>
    <n v="12000000"/>
    <n v="1"/>
    <d v="1899-12-30T00:03:14"/>
    <x v="0"/>
    <x v="5"/>
    <x v="6"/>
    <x v="2"/>
    <x v="8"/>
  </r>
  <r>
    <x v="0"/>
    <n v="1"/>
    <x v="4"/>
    <x v="1"/>
    <x v="1"/>
    <x v="2"/>
    <n v="38000000"/>
    <n v="4"/>
    <d v="1899-12-30T00:03:14"/>
    <x v="1"/>
    <x v="0"/>
    <x v="2"/>
    <x v="0"/>
    <x v="5"/>
  </r>
  <r>
    <x v="0"/>
    <n v="22"/>
    <x v="4"/>
    <x v="0"/>
    <x v="3"/>
    <x v="3"/>
    <n v="20000000"/>
    <n v="5"/>
    <d v="1899-12-30T00:03:14"/>
    <x v="0"/>
    <x v="4"/>
    <x v="5"/>
    <x v="0"/>
    <x v="7"/>
  </r>
  <r>
    <x v="0"/>
    <n v="1"/>
    <x v="10"/>
    <x v="0"/>
    <x v="1"/>
    <x v="4"/>
    <n v="21000000"/>
    <n v="2"/>
    <d v="1899-12-30T00:03:14"/>
    <x v="0"/>
    <x v="5"/>
    <x v="4"/>
    <x v="0"/>
    <x v="12"/>
  </r>
  <r>
    <x v="0"/>
    <n v="15"/>
    <x v="10"/>
    <x v="1"/>
    <x v="2"/>
    <x v="1"/>
    <n v="15000000"/>
    <n v="2"/>
    <d v="1899-12-30T00:03:14"/>
    <x v="0"/>
    <x v="2"/>
    <x v="0"/>
    <x v="0"/>
    <x v="9"/>
  </r>
  <r>
    <x v="1"/>
    <n v="20"/>
    <x v="7"/>
    <x v="0"/>
    <x v="1"/>
    <x v="5"/>
    <n v="0"/>
    <n v="2"/>
    <d v="1899-12-30T00:03:14"/>
    <x v="3"/>
    <x v="9"/>
    <x v="7"/>
    <x v="3"/>
    <x v="4"/>
  </r>
  <r>
    <x v="1"/>
    <n v="10"/>
    <x v="10"/>
    <x v="1"/>
    <x v="2"/>
    <x v="5"/>
    <n v="0"/>
    <n v="4"/>
    <d v="1899-12-30T00:03:14"/>
    <x v="3"/>
    <x v="9"/>
    <x v="5"/>
    <x v="0"/>
    <x v="12"/>
  </r>
  <r>
    <x v="1"/>
    <n v="20"/>
    <x v="10"/>
    <x v="0"/>
    <x v="1"/>
    <x v="5"/>
    <n v="0"/>
    <n v="1"/>
    <d v="1899-12-30T00:03:14"/>
    <x v="3"/>
    <x v="9"/>
    <x v="3"/>
    <x v="1"/>
    <x v="14"/>
  </r>
  <r>
    <x v="1"/>
    <n v="20"/>
    <x v="7"/>
    <x v="0"/>
    <x v="1"/>
    <x v="5"/>
    <n v="0"/>
    <n v="2"/>
    <d v="1899-12-30T00:03:14"/>
    <x v="3"/>
    <x v="9"/>
    <x v="7"/>
    <x v="3"/>
    <x v="4"/>
  </r>
  <r>
    <x v="0"/>
    <n v="12"/>
    <x v="5"/>
    <x v="0"/>
    <x v="1"/>
    <x v="4"/>
    <n v="25000000"/>
    <n v="1"/>
    <d v="1899-12-30T00:03:16"/>
    <x v="0"/>
    <x v="1"/>
    <x v="2"/>
    <x v="1"/>
    <x v="6"/>
  </r>
  <r>
    <x v="0"/>
    <n v="1"/>
    <x v="9"/>
    <x v="0"/>
    <x v="1"/>
    <x v="3"/>
    <n v="20000000"/>
    <n v="4"/>
    <d v="1899-12-30T00:03:16"/>
    <x v="2"/>
    <x v="4"/>
    <x v="3"/>
    <x v="3"/>
    <x v="13"/>
  </r>
  <r>
    <x v="0"/>
    <n v="28"/>
    <x v="9"/>
    <x v="4"/>
    <x v="0"/>
    <x v="3"/>
    <n v="15000000"/>
    <n v="2"/>
    <d v="1899-12-30T00:03:16"/>
    <x v="0"/>
    <x v="2"/>
    <x v="6"/>
    <x v="3"/>
    <x v="13"/>
  </r>
  <r>
    <x v="0"/>
    <n v="3"/>
    <x v="2"/>
    <x v="0"/>
    <x v="0"/>
    <x v="1"/>
    <n v="12000000"/>
    <n v="1"/>
    <d v="1899-12-30T00:03:16"/>
    <x v="0"/>
    <x v="2"/>
    <x v="2"/>
    <x v="1"/>
    <x v="1"/>
  </r>
  <r>
    <x v="0"/>
    <n v="28"/>
    <x v="3"/>
    <x v="3"/>
    <x v="3"/>
    <x v="2"/>
    <n v="38000000"/>
    <n v="2"/>
    <d v="1899-12-30T00:03:16"/>
    <x v="1"/>
    <x v="2"/>
    <x v="1"/>
    <x v="0"/>
    <x v="9"/>
  </r>
  <r>
    <x v="0"/>
    <n v="28"/>
    <x v="3"/>
    <x v="0"/>
    <x v="0"/>
    <x v="0"/>
    <n v="19000000"/>
    <n v="1"/>
    <d v="1899-12-30T00:03:16"/>
    <x v="1"/>
    <x v="0"/>
    <x v="6"/>
    <x v="0"/>
    <x v="7"/>
  </r>
  <r>
    <x v="0"/>
    <n v="23"/>
    <x v="3"/>
    <x v="4"/>
    <x v="2"/>
    <x v="2"/>
    <n v="10000000"/>
    <n v="2"/>
    <d v="1899-12-30T00:03:16"/>
    <x v="0"/>
    <x v="0"/>
    <x v="1"/>
    <x v="0"/>
    <x v="7"/>
  </r>
  <r>
    <x v="0"/>
    <n v="26"/>
    <x v="3"/>
    <x v="2"/>
    <x v="1"/>
    <x v="0"/>
    <n v="7000000"/>
    <n v="2"/>
    <d v="1899-12-30T00:03:16"/>
    <x v="0"/>
    <x v="2"/>
    <x v="3"/>
    <x v="1"/>
    <x v="2"/>
  </r>
  <r>
    <x v="0"/>
    <n v="1"/>
    <x v="3"/>
    <x v="3"/>
    <x v="4"/>
    <x v="1"/>
    <n v="11000000"/>
    <n v="3"/>
    <d v="1899-12-30T00:03:16"/>
    <x v="0"/>
    <x v="0"/>
    <x v="4"/>
    <x v="2"/>
    <x v="11"/>
  </r>
  <r>
    <x v="0"/>
    <n v="12"/>
    <x v="4"/>
    <x v="4"/>
    <x v="0"/>
    <x v="4"/>
    <n v="25000000"/>
    <n v="4"/>
    <d v="1899-12-30T00:03:16"/>
    <x v="0"/>
    <x v="1"/>
    <x v="5"/>
    <x v="1"/>
    <x v="2"/>
  </r>
  <r>
    <x v="0"/>
    <n v="12"/>
    <x v="5"/>
    <x v="0"/>
    <x v="1"/>
    <x v="4"/>
    <n v="25000000"/>
    <n v="1"/>
    <d v="1899-12-30T00:03:16"/>
    <x v="0"/>
    <x v="1"/>
    <x v="2"/>
    <x v="1"/>
    <x v="6"/>
  </r>
  <r>
    <x v="0"/>
    <n v="1"/>
    <x v="9"/>
    <x v="0"/>
    <x v="1"/>
    <x v="3"/>
    <n v="20000000"/>
    <n v="4"/>
    <d v="1899-12-30T00:03:16"/>
    <x v="2"/>
    <x v="4"/>
    <x v="3"/>
    <x v="3"/>
    <x v="13"/>
  </r>
  <r>
    <x v="0"/>
    <n v="28"/>
    <x v="9"/>
    <x v="4"/>
    <x v="0"/>
    <x v="3"/>
    <n v="15000000"/>
    <n v="2"/>
    <d v="1899-12-30T00:03:16"/>
    <x v="0"/>
    <x v="2"/>
    <x v="6"/>
    <x v="3"/>
    <x v="13"/>
  </r>
  <r>
    <x v="1"/>
    <n v="9"/>
    <x v="9"/>
    <x v="0"/>
    <x v="0"/>
    <x v="5"/>
    <n v="0"/>
    <n v="3"/>
    <d v="1899-12-30T00:03:16"/>
    <x v="3"/>
    <x v="9"/>
    <x v="5"/>
    <x v="0"/>
    <x v="12"/>
  </r>
  <r>
    <x v="1"/>
    <n v="17"/>
    <x v="2"/>
    <x v="1"/>
    <x v="0"/>
    <x v="5"/>
    <n v="0"/>
    <n v="2"/>
    <d v="1899-12-30T00:03:16"/>
    <x v="3"/>
    <x v="9"/>
    <x v="7"/>
    <x v="2"/>
    <x v="8"/>
  </r>
  <r>
    <x v="1"/>
    <n v="11"/>
    <x v="4"/>
    <x v="5"/>
    <x v="2"/>
    <x v="5"/>
    <n v="0"/>
    <n v="3"/>
    <d v="1899-12-30T00:03:16"/>
    <x v="3"/>
    <x v="9"/>
    <x v="4"/>
    <x v="1"/>
    <x v="1"/>
  </r>
  <r>
    <x v="1"/>
    <n v="9"/>
    <x v="9"/>
    <x v="0"/>
    <x v="0"/>
    <x v="5"/>
    <n v="0"/>
    <n v="3"/>
    <d v="1899-12-30T00:03:16"/>
    <x v="3"/>
    <x v="9"/>
    <x v="5"/>
    <x v="0"/>
    <x v="12"/>
  </r>
  <r>
    <x v="0"/>
    <n v="3"/>
    <x v="1"/>
    <x v="2"/>
    <x v="2"/>
    <x v="0"/>
    <n v="19000000"/>
    <n v="2"/>
    <d v="1899-12-30T00:03:17"/>
    <x v="1"/>
    <x v="3"/>
    <x v="5"/>
    <x v="3"/>
    <x v="4"/>
  </r>
  <r>
    <x v="0"/>
    <n v="30"/>
    <x v="1"/>
    <x v="2"/>
    <x v="1"/>
    <x v="2"/>
    <n v="12000000"/>
    <n v="2"/>
    <d v="1899-12-30T00:03:17"/>
    <x v="0"/>
    <x v="2"/>
    <x v="2"/>
    <x v="1"/>
    <x v="2"/>
  </r>
  <r>
    <x v="0"/>
    <n v="21"/>
    <x v="2"/>
    <x v="0"/>
    <x v="3"/>
    <x v="1"/>
    <n v="15000000"/>
    <n v="1"/>
    <d v="1899-12-30T00:03:17"/>
    <x v="0"/>
    <x v="2"/>
    <x v="3"/>
    <x v="2"/>
    <x v="11"/>
  </r>
  <r>
    <x v="0"/>
    <n v="31"/>
    <x v="3"/>
    <x v="3"/>
    <x v="1"/>
    <x v="1"/>
    <n v="15000000"/>
    <n v="2"/>
    <d v="1899-12-30T00:03:17"/>
    <x v="0"/>
    <x v="0"/>
    <x v="0"/>
    <x v="3"/>
    <x v="13"/>
  </r>
  <r>
    <x v="0"/>
    <n v="27"/>
    <x v="3"/>
    <x v="0"/>
    <x v="1"/>
    <x v="2"/>
    <n v="12000000"/>
    <n v="5"/>
    <d v="1899-12-30T00:03:17"/>
    <x v="0"/>
    <x v="1"/>
    <x v="6"/>
    <x v="0"/>
    <x v="0"/>
  </r>
  <r>
    <x v="0"/>
    <n v="30"/>
    <x v="4"/>
    <x v="0"/>
    <x v="1"/>
    <x v="4"/>
    <n v="20000000"/>
    <n v="2"/>
    <d v="1899-12-30T00:03:17"/>
    <x v="0"/>
    <x v="0"/>
    <x v="4"/>
    <x v="3"/>
    <x v="4"/>
  </r>
  <r>
    <x v="0"/>
    <n v="20"/>
    <x v="4"/>
    <x v="0"/>
    <x v="0"/>
    <x v="1"/>
    <n v="15000000"/>
    <n v="5"/>
    <d v="1899-12-30T00:03:17"/>
    <x v="0"/>
    <x v="2"/>
    <x v="5"/>
    <x v="0"/>
    <x v="10"/>
  </r>
  <r>
    <x v="0"/>
    <n v="4"/>
    <x v="4"/>
    <x v="3"/>
    <x v="1"/>
    <x v="0"/>
    <n v="7000000"/>
    <n v="2"/>
    <d v="1899-12-30T00:03:17"/>
    <x v="0"/>
    <x v="4"/>
    <x v="1"/>
    <x v="1"/>
    <x v="1"/>
  </r>
  <r>
    <x v="0"/>
    <n v="3"/>
    <x v="1"/>
    <x v="2"/>
    <x v="2"/>
    <x v="0"/>
    <n v="19000000"/>
    <n v="2"/>
    <d v="1899-12-30T00:03:17"/>
    <x v="1"/>
    <x v="3"/>
    <x v="5"/>
    <x v="3"/>
    <x v="4"/>
  </r>
  <r>
    <x v="0"/>
    <n v="30"/>
    <x v="1"/>
    <x v="2"/>
    <x v="1"/>
    <x v="2"/>
    <n v="12000000"/>
    <n v="2"/>
    <d v="1899-12-30T00:03:17"/>
    <x v="0"/>
    <x v="2"/>
    <x v="2"/>
    <x v="1"/>
    <x v="2"/>
  </r>
  <r>
    <x v="1"/>
    <n v="14"/>
    <x v="3"/>
    <x v="4"/>
    <x v="2"/>
    <x v="5"/>
    <n v="0"/>
    <n v="4"/>
    <d v="1899-12-30T00:03:17"/>
    <x v="3"/>
    <x v="9"/>
    <x v="1"/>
    <x v="0"/>
    <x v="7"/>
  </r>
  <r>
    <x v="1"/>
    <n v="5"/>
    <x v="3"/>
    <x v="1"/>
    <x v="1"/>
    <x v="5"/>
    <n v="0"/>
    <n v="1"/>
    <d v="1899-12-30T00:03:17"/>
    <x v="3"/>
    <x v="9"/>
    <x v="7"/>
    <x v="1"/>
    <x v="14"/>
  </r>
  <r>
    <x v="1"/>
    <n v="2"/>
    <x v="10"/>
    <x v="4"/>
    <x v="2"/>
    <x v="5"/>
    <n v="0"/>
    <n v="3"/>
    <d v="1899-12-30T00:03:17"/>
    <x v="3"/>
    <x v="9"/>
    <x v="2"/>
    <x v="0"/>
    <x v="7"/>
  </r>
  <r>
    <x v="1"/>
    <n v="30"/>
    <x v="10"/>
    <x v="3"/>
    <x v="1"/>
    <x v="5"/>
    <n v="0"/>
    <n v="2"/>
    <d v="1899-12-30T00:03:17"/>
    <x v="3"/>
    <x v="9"/>
    <x v="2"/>
    <x v="2"/>
    <x v="8"/>
  </r>
  <r>
    <x v="1"/>
    <n v="10"/>
    <x v="10"/>
    <x v="1"/>
    <x v="2"/>
    <x v="5"/>
    <n v="0"/>
    <n v="1"/>
    <d v="1899-12-30T00:03:17"/>
    <x v="3"/>
    <x v="9"/>
    <x v="3"/>
    <x v="2"/>
    <x v="3"/>
  </r>
  <r>
    <x v="0"/>
    <n v="1"/>
    <x v="5"/>
    <x v="4"/>
    <x v="1"/>
    <x v="0"/>
    <n v="7000000"/>
    <n v="3"/>
    <d v="1899-12-30T00:03:30"/>
    <x v="0"/>
    <x v="6"/>
    <x v="6"/>
    <x v="0"/>
    <x v="5"/>
  </r>
  <r>
    <x v="0"/>
    <n v="11"/>
    <x v="6"/>
    <x v="3"/>
    <x v="1"/>
    <x v="3"/>
    <n v="20000000"/>
    <n v="2"/>
    <d v="1899-12-30T00:03:30"/>
    <x v="2"/>
    <x v="2"/>
    <x v="7"/>
    <x v="1"/>
    <x v="14"/>
  </r>
  <r>
    <x v="0"/>
    <n v="25"/>
    <x v="1"/>
    <x v="0"/>
    <x v="0"/>
    <x v="1"/>
    <n v="15000000"/>
    <n v="1"/>
    <d v="1899-12-30T00:03:30"/>
    <x v="0"/>
    <x v="0"/>
    <x v="1"/>
    <x v="3"/>
    <x v="13"/>
  </r>
  <r>
    <x v="0"/>
    <n v="17"/>
    <x v="2"/>
    <x v="5"/>
    <x v="0"/>
    <x v="1"/>
    <n v="11000000"/>
    <n v="4"/>
    <d v="1899-12-30T00:03:30"/>
    <x v="0"/>
    <x v="0"/>
    <x v="1"/>
    <x v="3"/>
    <x v="13"/>
  </r>
  <r>
    <x v="0"/>
    <n v="30"/>
    <x v="2"/>
    <x v="0"/>
    <x v="1"/>
    <x v="4"/>
    <n v="25000000"/>
    <n v="3"/>
    <d v="1899-12-30T00:03:30"/>
    <x v="0"/>
    <x v="0"/>
    <x v="3"/>
    <x v="0"/>
    <x v="5"/>
  </r>
  <r>
    <x v="0"/>
    <n v="22"/>
    <x v="3"/>
    <x v="0"/>
    <x v="2"/>
    <x v="2"/>
    <n v="38000000"/>
    <n v="6"/>
    <d v="1899-12-30T00:03:30"/>
    <x v="1"/>
    <x v="2"/>
    <x v="5"/>
    <x v="0"/>
    <x v="12"/>
  </r>
  <r>
    <x v="0"/>
    <n v="7"/>
    <x v="3"/>
    <x v="0"/>
    <x v="2"/>
    <x v="2"/>
    <n v="10000000"/>
    <n v="5"/>
    <d v="1899-12-30T00:03:30"/>
    <x v="0"/>
    <x v="2"/>
    <x v="2"/>
    <x v="1"/>
    <x v="2"/>
  </r>
  <r>
    <x v="0"/>
    <n v="8"/>
    <x v="3"/>
    <x v="0"/>
    <x v="2"/>
    <x v="1"/>
    <n v="12000000"/>
    <n v="3"/>
    <d v="1899-12-30T00:03:30"/>
    <x v="0"/>
    <x v="7"/>
    <x v="2"/>
    <x v="2"/>
    <x v="8"/>
  </r>
  <r>
    <x v="0"/>
    <n v="19"/>
    <x v="3"/>
    <x v="1"/>
    <x v="4"/>
    <x v="3"/>
    <n v="20000000"/>
    <n v="1"/>
    <d v="1899-12-30T00:03:30"/>
    <x v="0"/>
    <x v="7"/>
    <x v="4"/>
    <x v="1"/>
    <x v="15"/>
  </r>
  <r>
    <x v="0"/>
    <n v="28"/>
    <x v="3"/>
    <x v="3"/>
    <x v="2"/>
    <x v="2"/>
    <n v="12000000"/>
    <n v="3"/>
    <d v="1899-12-30T00:03:30"/>
    <x v="0"/>
    <x v="5"/>
    <x v="5"/>
    <x v="2"/>
    <x v="11"/>
  </r>
  <r>
    <x v="0"/>
    <n v="5"/>
    <x v="4"/>
    <x v="0"/>
    <x v="2"/>
    <x v="0"/>
    <n v="19000000"/>
    <n v="2"/>
    <d v="1899-12-30T00:03:30"/>
    <x v="1"/>
    <x v="1"/>
    <x v="1"/>
    <x v="1"/>
    <x v="1"/>
  </r>
  <r>
    <x v="0"/>
    <n v="1"/>
    <x v="5"/>
    <x v="4"/>
    <x v="1"/>
    <x v="0"/>
    <n v="7000000"/>
    <n v="3"/>
    <d v="1899-12-30T00:03:30"/>
    <x v="0"/>
    <x v="6"/>
    <x v="6"/>
    <x v="0"/>
    <x v="5"/>
  </r>
  <r>
    <x v="0"/>
    <n v="11"/>
    <x v="6"/>
    <x v="3"/>
    <x v="1"/>
    <x v="3"/>
    <n v="20000000"/>
    <n v="2"/>
    <d v="1899-12-30T00:03:30"/>
    <x v="2"/>
    <x v="2"/>
    <x v="7"/>
    <x v="1"/>
    <x v="14"/>
  </r>
  <r>
    <x v="0"/>
    <n v="25"/>
    <x v="1"/>
    <x v="0"/>
    <x v="0"/>
    <x v="1"/>
    <n v="15000000"/>
    <n v="1"/>
    <d v="1899-12-30T00:03:30"/>
    <x v="0"/>
    <x v="0"/>
    <x v="1"/>
    <x v="3"/>
    <x v="13"/>
  </r>
  <r>
    <x v="1"/>
    <n v="12"/>
    <x v="2"/>
    <x v="2"/>
    <x v="2"/>
    <x v="5"/>
    <n v="0"/>
    <n v="1"/>
    <d v="1899-12-30T00:03:30"/>
    <x v="3"/>
    <x v="9"/>
    <x v="2"/>
    <x v="0"/>
    <x v="9"/>
  </r>
  <r>
    <x v="1"/>
    <n v="14"/>
    <x v="10"/>
    <x v="1"/>
    <x v="1"/>
    <x v="5"/>
    <n v="0"/>
    <n v="4"/>
    <d v="1899-12-30T00:03:30"/>
    <x v="3"/>
    <x v="9"/>
    <x v="2"/>
    <x v="1"/>
    <x v="2"/>
  </r>
  <r>
    <x v="0"/>
    <n v="11"/>
    <x v="6"/>
    <x v="0"/>
    <x v="4"/>
    <x v="1"/>
    <n v="15000000"/>
    <n v="1"/>
    <d v="1899-12-30T00:03:40"/>
    <x v="0"/>
    <x v="0"/>
    <x v="3"/>
    <x v="3"/>
    <x v="13"/>
  </r>
  <r>
    <x v="0"/>
    <n v="13"/>
    <x v="11"/>
    <x v="3"/>
    <x v="1"/>
    <x v="1"/>
    <n v="15000000"/>
    <n v="5"/>
    <d v="1899-12-30T00:03:40"/>
    <x v="0"/>
    <x v="5"/>
    <x v="7"/>
    <x v="2"/>
    <x v="11"/>
  </r>
  <r>
    <x v="0"/>
    <n v="10"/>
    <x v="1"/>
    <x v="0"/>
    <x v="1"/>
    <x v="2"/>
    <n v="12000000"/>
    <n v="2"/>
    <d v="1899-12-30T00:03:40"/>
    <x v="0"/>
    <x v="2"/>
    <x v="6"/>
    <x v="1"/>
    <x v="6"/>
  </r>
  <r>
    <x v="0"/>
    <n v="19"/>
    <x v="1"/>
    <x v="4"/>
    <x v="2"/>
    <x v="1"/>
    <n v="15000000"/>
    <n v="2"/>
    <d v="1899-12-30T00:03:40"/>
    <x v="0"/>
    <x v="0"/>
    <x v="4"/>
    <x v="2"/>
    <x v="11"/>
  </r>
  <r>
    <x v="0"/>
    <n v="11"/>
    <x v="2"/>
    <x v="0"/>
    <x v="1"/>
    <x v="4"/>
    <n v="21000000"/>
    <n v="5"/>
    <d v="1899-12-30T00:03:40"/>
    <x v="0"/>
    <x v="7"/>
    <x v="4"/>
    <x v="1"/>
    <x v="15"/>
  </r>
  <r>
    <x v="0"/>
    <n v="30"/>
    <x v="2"/>
    <x v="2"/>
    <x v="0"/>
    <x v="3"/>
    <n v="20000000"/>
    <n v="4"/>
    <d v="1899-12-30T00:03:40"/>
    <x v="0"/>
    <x v="6"/>
    <x v="5"/>
    <x v="1"/>
    <x v="1"/>
  </r>
  <r>
    <x v="0"/>
    <n v="30"/>
    <x v="3"/>
    <x v="1"/>
    <x v="2"/>
    <x v="2"/>
    <n v="12000000"/>
    <n v="1"/>
    <d v="1899-12-30T00:03:40"/>
    <x v="0"/>
    <x v="7"/>
    <x v="6"/>
    <x v="2"/>
    <x v="11"/>
  </r>
  <r>
    <x v="0"/>
    <n v="17"/>
    <x v="4"/>
    <x v="2"/>
    <x v="0"/>
    <x v="3"/>
    <n v="11000000"/>
    <n v="1"/>
    <d v="1899-12-30T00:03:40"/>
    <x v="2"/>
    <x v="2"/>
    <x v="4"/>
    <x v="3"/>
    <x v="13"/>
  </r>
  <r>
    <x v="0"/>
    <n v="16"/>
    <x v="4"/>
    <x v="3"/>
    <x v="4"/>
    <x v="4"/>
    <n v="25000000"/>
    <n v="1"/>
    <d v="1899-12-30T00:03:40"/>
    <x v="0"/>
    <x v="2"/>
    <x v="1"/>
    <x v="1"/>
    <x v="6"/>
  </r>
  <r>
    <x v="0"/>
    <n v="27"/>
    <x v="10"/>
    <x v="2"/>
    <x v="2"/>
    <x v="2"/>
    <n v="38000000"/>
    <n v="1"/>
    <d v="1899-12-30T00:03:40"/>
    <x v="1"/>
    <x v="0"/>
    <x v="2"/>
    <x v="0"/>
    <x v="10"/>
  </r>
  <r>
    <x v="0"/>
    <n v="11"/>
    <x v="6"/>
    <x v="0"/>
    <x v="4"/>
    <x v="1"/>
    <n v="15000000"/>
    <n v="1"/>
    <d v="1899-12-30T00:03:40"/>
    <x v="0"/>
    <x v="0"/>
    <x v="3"/>
    <x v="3"/>
    <x v="13"/>
  </r>
  <r>
    <x v="0"/>
    <n v="13"/>
    <x v="11"/>
    <x v="3"/>
    <x v="1"/>
    <x v="1"/>
    <n v="15000000"/>
    <n v="5"/>
    <d v="1899-12-30T00:03:40"/>
    <x v="0"/>
    <x v="5"/>
    <x v="7"/>
    <x v="2"/>
    <x v="11"/>
  </r>
  <r>
    <x v="0"/>
    <n v="10"/>
    <x v="1"/>
    <x v="0"/>
    <x v="1"/>
    <x v="2"/>
    <n v="12000000"/>
    <n v="2"/>
    <d v="1899-12-30T00:03:40"/>
    <x v="0"/>
    <x v="2"/>
    <x v="6"/>
    <x v="1"/>
    <x v="6"/>
  </r>
  <r>
    <x v="0"/>
    <n v="19"/>
    <x v="1"/>
    <x v="4"/>
    <x v="2"/>
    <x v="1"/>
    <n v="15000000"/>
    <n v="2"/>
    <d v="1899-12-30T00:03:40"/>
    <x v="0"/>
    <x v="0"/>
    <x v="4"/>
    <x v="2"/>
    <x v="11"/>
  </r>
  <r>
    <x v="1"/>
    <n v="23"/>
    <x v="2"/>
    <x v="2"/>
    <x v="2"/>
    <x v="5"/>
    <n v="0"/>
    <n v="1"/>
    <d v="1899-12-30T00:03:40"/>
    <x v="3"/>
    <x v="9"/>
    <x v="4"/>
    <x v="1"/>
    <x v="1"/>
  </r>
  <r>
    <x v="1"/>
    <n v="19"/>
    <x v="3"/>
    <x v="2"/>
    <x v="2"/>
    <x v="5"/>
    <n v="0"/>
    <n v="4"/>
    <d v="1899-12-30T00:03:40"/>
    <x v="3"/>
    <x v="9"/>
    <x v="5"/>
    <x v="0"/>
    <x v="10"/>
  </r>
  <r>
    <x v="1"/>
    <n v="27"/>
    <x v="4"/>
    <x v="0"/>
    <x v="2"/>
    <x v="5"/>
    <n v="0"/>
    <n v="1"/>
    <d v="1899-12-30T00:03:40"/>
    <x v="3"/>
    <x v="9"/>
    <x v="2"/>
    <x v="0"/>
    <x v="9"/>
  </r>
  <r>
    <x v="0"/>
    <n v="15"/>
    <x v="6"/>
    <x v="4"/>
    <x v="1"/>
    <x v="1"/>
    <n v="12000000"/>
    <n v="4"/>
    <d v="1899-12-30T00:04:00"/>
    <x v="0"/>
    <x v="2"/>
    <x v="2"/>
    <x v="0"/>
    <x v="7"/>
  </r>
  <r>
    <x v="0"/>
    <n v="4"/>
    <x v="11"/>
    <x v="1"/>
    <x v="1"/>
    <x v="0"/>
    <n v="19000000"/>
    <n v="2"/>
    <d v="1899-12-30T00:04:00"/>
    <x v="1"/>
    <x v="5"/>
    <x v="1"/>
    <x v="2"/>
    <x v="3"/>
  </r>
  <r>
    <x v="0"/>
    <n v="11"/>
    <x v="2"/>
    <x v="0"/>
    <x v="0"/>
    <x v="2"/>
    <n v="38000000"/>
    <n v="1"/>
    <d v="1899-12-30T00:04:00"/>
    <x v="4"/>
    <x v="4"/>
    <x v="4"/>
    <x v="1"/>
    <x v="15"/>
  </r>
  <r>
    <x v="0"/>
    <n v="23"/>
    <x v="2"/>
    <x v="2"/>
    <x v="0"/>
    <x v="0"/>
    <n v="7000000"/>
    <n v="3"/>
    <d v="1899-12-30T00:04:00"/>
    <x v="0"/>
    <x v="0"/>
    <x v="5"/>
    <x v="3"/>
    <x v="4"/>
  </r>
  <r>
    <x v="0"/>
    <n v="8"/>
    <x v="3"/>
    <x v="1"/>
    <x v="1"/>
    <x v="3"/>
    <n v="20000000"/>
    <n v="4"/>
    <d v="1899-12-30T00:04:00"/>
    <x v="2"/>
    <x v="0"/>
    <x v="0"/>
    <x v="1"/>
    <x v="2"/>
  </r>
  <r>
    <x v="0"/>
    <n v="8"/>
    <x v="3"/>
    <x v="1"/>
    <x v="0"/>
    <x v="1"/>
    <n v="15000000"/>
    <n v="1"/>
    <d v="1899-12-30T00:04:00"/>
    <x v="0"/>
    <x v="5"/>
    <x v="3"/>
    <x v="0"/>
    <x v="12"/>
  </r>
  <r>
    <x v="0"/>
    <n v="29"/>
    <x v="3"/>
    <x v="0"/>
    <x v="0"/>
    <x v="2"/>
    <n v="12000000"/>
    <n v="1"/>
    <d v="1899-12-30T00:04:00"/>
    <x v="0"/>
    <x v="8"/>
    <x v="6"/>
    <x v="0"/>
    <x v="9"/>
  </r>
  <r>
    <x v="0"/>
    <n v="25"/>
    <x v="3"/>
    <x v="2"/>
    <x v="1"/>
    <x v="4"/>
    <n v="25000000"/>
    <n v="3"/>
    <d v="1899-12-30T00:04:00"/>
    <x v="0"/>
    <x v="2"/>
    <x v="7"/>
    <x v="2"/>
    <x v="11"/>
  </r>
  <r>
    <x v="0"/>
    <n v="22"/>
    <x v="4"/>
    <x v="1"/>
    <x v="1"/>
    <x v="2"/>
    <n v="12000000"/>
    <n v="4"/>
    <d v="1899-12-30T00:04:00"/>
    <x v="0"/>
    <x v="4"/>
    <x v="1"/>
    <x v="1"/>
    <x v="6"/>
  </r>
  <r>
    <x v="0"/>
    <n v="15"/>
    <x v="6"/>
    <x v="4"/>
    <x v="1"/>
    <x v="1"/>
    <n v="12000000"/>
    <n v="4"/>
    <d v="1899-12-30T00:04:00"/>
    <x v="0"/>
    <x v="2"/>
    <x v="2"/>
    <x v="0"/>
    <x v="7"/>
  </r>
  <r>
    <x v="0"/>
    <n v="4"/>
    <x v="11"/>
    <x v="1"/>
    <x v="1"/>
    <x v="0"/>
    <n v="19000000"/>
    <n v="2"/>
    <d v="1899-12-30T00:04:00"/>
    <x v="1"/>
    <x v="5"/>
    <x v="1"/>
    <x v="2"/>
    <x v="3"/>
  </r>
  <r>
    <x v="1"/>
    <n v="25"/>
    <x v="3"/>
    <x v="2"/>
    <x v="2"/>
    <x v="5"/>
    <n v="0"/>
    <n v="5"/>
    <d v="1899-12-30T00:04:00"/>
    <x v="3"/>
    <x v="9"/>
    <x v="3"/>
    <x v="2"/>
    <x v="8"/>
  </r>
  <r>
    <x v="1"/>
    <n v="26"/>
    <x v="4"/>
    <x v="0"/>
    <x v="1"/>
    <x v="5"/>
    <n v="0"/>
    <n v="2"/>
    <d v="1899-12-30T00:04:00"/>
    <x v="3"/>
    <x v="9"/>
    <x v="5"/>
    <x v="1"/>
    <x v="1"/>
  </r>
  <r>
    <x v="1"/>
    <n v="26"/>
    <x v="4"/>
    <x v="1"/>
    <x v="1"/>
    <x v="5"/>
    <n v="0"/>
    <n v="3"/>
    <d v="1899-12-30T00:04:00"/>
    <x v="3"/>
    <x v="9"/>
    <x v="7"/>
    <x v="1"/>
    <x v="1"/>
  </r>
  <r>
    <x v="1"/>
    <n v="10"/>
    <x v="10"/>
    <x v="2"/>
    <x v="0"/>
    <x v="5"/>
    <n v="0"/>
    <n v="3"/>
    <d v="1899-12-30T00:04:00"/>
    <x v="3"/>
    <x v="9"/>
    <x v="5"/>
    <x v="3"/>
    <x v="4"/>
  </r>
  <r>
    <x v="0"/>
    <n v="16"/>
    <x v="5"/>
    <x v="2"/>
    <x v="1"/>
    <x v="2"/>
    <n v="12000000"/>
    <n v="1"/>
    <d v="1899-12-30T00:04:40"/>
    <x v="0"/>
    <x v="2"/>
    <x v="4"/>
    <x v="1"/>
    <x v="1"/>
  </r>
  <r>
    <x v="0"/>
    <n v="11"/>
    <x v="6"/>
    <x v="0"/>
    <x v="2"/>
    <x v="2"/>
    <n v="12000000"/>
    <n v="4"/>
    <d v="1899-12-30T00:04:40"/>
    <x v="0"/>
    <x v="0"/>
    <x v="5"/>
    <x v="3"/>
    <x v="4"/>
  </r>
  <r>
    <x v="0"/>
    <n v="1"/>
    <x v="8"/>
    <x v="2"/>
    <x v="1"/>
    <x v="2"/>
    <n v="12000000"/>
    <n v="2"/>
    <d v="1899-12-30T00:04:40"/>
    <x v="0"/>
    <x v="2"/>
    <x v="7"/>
    <x v="3"/>
    <x v="13"/>
  </r>
  <r>
    <x v="0"/>
    <n v="9"/>
    <x v="2"/>
    <x v="2"/>
    <x v="1"/>
    <x v="2"/>
    <n v="38000000"/>
    <n v="5"/>
    <d v="1899-12-30T00:04:40"/>
    <x v="1"/>
    <x v="0"/>
    <x v="6"/>
    <x v="1"/>
    <x v="2"/>
  </r>
  <r>
    <x v="0"/>
    <n v="11"/>
    <x v="2"/>
    <x v="2"/>
    <x v="2"/>
    <x v="2"/>
    <n v="12000000"/>
    <n v="5"/>
    <d v="1899-12-30T00:04:40"/>
    <x v="0"/>
    <x v="6"/>
    <x v="0"/>
    <x v="0"/>
    <x v="10"/>
  </r>
  <r>
    <x v="0"/>
    <n v="22"/>
    <x v="2"/>
    <x v="4"/>
    <x v="2"/>
    <x v="1"/>
    <n v="15000000"/>
    <n v="4"/>
    <d v="1899-12-30T00:04:40"/>
    <x v="0"/>
    <x v="7"/>
    <x v="2"/>
    <x v="2"/>
    <x v="11"/>
  </r>
  <r>
    <x v="0"/>
    <n v="30"/>
    <x v="2"/>
    <x v="4"/>
    <x v="1"/>
    <x v="1"/>
    <n v="15000000"/>
    <n v="3"/>
    <d v="1899-12-30T00:04:40"/>
    <x v="0"/>
    <x v="2"/>
    <x v="1"/>
    <x v="1"/>
    <x v="2"/>
  </r>
  <r>
    <x v="0"/>
    <n v="10"/>
    <x v="3"/>
    <x v="1"/>
    <x v="0"/>
    <x v="3"/>
    <n v="11000000"/>
    <n v="2"/>
    <d v="1899-12-30T00:04:40"/>
    <x v="2"/>
    <x v="0"/>
    <x v="2"/>
    <x v="1"/>
    <x v="15"/>
  </r>
  <r>
    <x v="0"/>
    <n v="24"/>
    <x v="3"/>
    <x v="0"/>
    <x v="2"/>
    <x v="3"/>
    <n v="20000000"/>
    <n v="1"/>
    <d v="1899-12-30T00:04:40"/>
    <x v="2"/>
    <x v="0"/>
    <x v="2"/>
    <x v="3"/>
    <x v="4"/>
  </r>
  <r>
    <x v="0"/>
    <n v="26"/>
    <x v="3"/>
    <x v="1"/>
    <x v="2"/>
    <x v="4"/>
    <n v="20000000"/>
    <n v="2"/>
    <d v="1899-12-30T00:04:40"/>
    <x v="0"/>
    <x v="0"/>
    <x v="2"/>
    <x v="0"/>
    <x v="5"/>
  </r>
  <r>
    <x v="0"/>
    <n v="1"/>
    <x v="3"/>
    <x v="2"/>
    <x v="3"/>
    <x v="3"/>
    <n v="20000000"/>
    <n v="2"/>
    <d v="1899-12-30T00:04:40"/>
    <x v="0"/>
    <x v="4"/>
    <x v="3"/>
    <x v="0"/>
    <x v="10"/>
  </r>
  <r>
    <x v="0"/>
    <n v="30"/>
    <x v="3"/>
    <x v="4"/>
    <x v="3"/>
    <x v="0"/>
    <n v="7000000"/>
    <n v="3"/>
    <d v="1899-12-30T00:04:40"/>
    <x v="0"/>
    <x v="5"/>
    <x v="3"/>
    <x v="2"/>
    <x v="8"/>
  </r>
  <r>
    <x v="0"/>
    <n v="8"/>
    <x v="3"/>
    <x v="2"/>
    <x v="1"/>
    <x v="4"/>
    <n v="25000000"/>
    <n v="4"/>
    <d v="1899-12-30T00:04:40"/>
    <x v="0"/>
    <x v="1"/>
    <x v="0"/>
    <x v="2"/>
    <x v="11"/>
  </r>
  <r>
    <x v="0"/>
    <n v="11"/>
    <x v="3"/>
    <x v="0"/>
    <x v="2"/>
    <x v="1"/>
    <n v="15000000"/>
    <n v="3"/>
    <d v="1899-12-30T00:04:40"/>
    <x v="0"/>
    <x v="4"/>
    <x v="1"/>
    <x v="0"/>
    <x v="10"/>
  </r>
  <r>
    <x v="0"/>
    <n v="11"/>
    <x v="3"/>
    <x v="3"/>
    <x v="2"/>
    <x v="1"/>
    <n v="15000000"/>
    <n v="1"/>
    <d v="1899-12-30T00:04:40"/>
    <x v="0"/>
    <x v="3"/>
    <x v="6"/>
    <x v="0"/>
    <x v="5"/>
  </r>
  <r>
    <x v="0"/>
    <n v="9"/>
    <x v="4"/>
    <x v="3"/>
    <x v="1"/>
    <x v="0"/>
    <n v="19000000"/>
    <n v="5"/>
    <d v="1899-12-30T00:04:40"/>
    <x v="1"/>
    <x v="2"/>
    <x v="7"/>
    <x v="2"/>
    <x v="8"/>
  </r>
  <r>
    <x v="0"/>
    <n v="22"/>
    <x v="4"/>
    <x v="2"/>
    <x v="2"/>
    <x v="0"/>
    <n v="19000000"/>
    <n v="1"/>
    <d v="1899-12-30T00:04:40"/>
    <x v="1"/>
    <x v="8"/>
    <x v="7"/>
    <x v="1"/>
    <x v="2"/>
  </r>
  <r>
    <x v="0"/>
    <n v="12"/>
    <x v="4"/>
    <x v="1"/>
    <x v="2"/>
    <x v="3"/>
    <n v="20000000"/>
    <n v="2"/>
    <d v="1899-12-30T00:04:40"/>
    <x v="0"/>
    <x v="2"/>
    <x v="3"/>
    <x v="0"/>
    <x v="7"/>
  </r>
  <r>
    <x v="0"/>
    <n v="22"/>
    <x v="4"/>
    <x v="2"/>
    <x v="2"/>
    <x v="1"/>
    <n v="15000000"/>
    <n v="1"/>
    <d v="1899-12-30T00:04:40"/>
    <x v="0"/>
    <x v="0"/>
    <x v="6"/>
    <x v="0"/>
    <x v="10"/>
  </r>
  <r>
    <x v="0"/>
    <n v="16"/>
    <x v="5"/>
    <x v="2"/>
    <x v="1"/>
    <x v="2"/>
    <n v="12000000"/>
    <n v="1"/>
    <d v="1899-12-30T00:04:40"/>
    <x v="0"/>
    <x v="2"/>
    <x v="4"/>
    <x v="1"/>
    <x v="1"/>
  </r>
  <r>
    <x v="0"/>
    <n v="11"/>
    <x v="6"/>
    <x v="0"/>
    <x v="2"/>
    <x v="2"/>
    <n v="12000000"/>
    <n v="4"/>
    <d v="1899-12-30T00:04:40"/>
    <x v="0"/>
    <x v="0"/>
    <x v="5"/>
    <x v="3"/>
    <x v="4"/>
  </r>
  <r>
    <x v="0"/>
    <n v="1"/>
    <x v="8"/>
    <x v="2"/>
    <x v="1"/>
    <x v="2"/>
    <n v="12000000"/>
    <n v="2"/>
    <d v="1899-12-30T00:04:40"/>
    <x v="0"/>
    <x v="2"/>
    <x v="7"/>
    <x v="3"/>
    <x v="13"/>
  </r>
  <r>
    <x v="1"/>
    <n v="15"/>
    <x v="7"/>
    <x v="3"/>
    <x v="0"/>
    <x v="5"/>
    <n v="0"/>
    <n v="2"/>
    <d v="1899-12-30T00:04:40"/>
    <x v="3"/>
    <x v="9"/>
    <x v="5"/>
    <x v="1"/>
    <x v="1"/>
  </r>
  <r>
    <x v="1"/>
    <n v="11"/>
    <x v="8"/>
    <x v="0"/>
    <x v="2"/>
    <x v="5"/>
    <n v="0"/>
    <n v="5"/>
    <d v="1899-12-30T00:04:40"/>
    <x v="3"/>
    <x v="9"/>
    <x v="3"/>
    <x v="3"/>
    <x v="13"/>
  </r>
  <r>
    <x v="1"/>
    <n v="14"/>
    <x v="1"/>
    <x v="1"/>
    <x v="2"/>
    <x v="5"/>
    <n v="0"/>
    <n v="4"/>
    <d v="1899-12-30T00:04:40"/>
    <x v="3"/>
    <x v="9"/>
    <x v="5"/>
    <x v="0"/>
    <x v="5"/>
  </r>
  <r>
    <x v="1"/>
    <n v="24"/>
    <x v="2"/>
    <x v="5"/>
    <x v="2"/>
    <x v="5"/>
    <n v="0"/>
    <n v="3"/>
    <d v="1899-12-30T00:04:40"/>
    <x v="3"/>
    <x v="9"/>
    <x v="0"/>
    <x v="0"/>
    <x v="10"/>
  </r>
  <r>
    <x v="1"/>
    <n v="1"/>
    <x v="3"/>
    <x v="0"/>
    <x v="2"/>
    <x v="5"/>
    <n v="0"/>
    <n v="1"/>
    <d v="1899-12-30T00:04:40"/>
    <x v="3"/>
    <x v="9"/>
    <x v="5"/>
    <x v="1"/>
    <x v="6"/>
  </r>
  <r>
    <x v="1"/>
    <n v="19"/>
    <x v="10"/>
    <x v="2"/>
    <x v="2"/>
    <x v="5"/>
    <n v="0"/>
    <n v="2"/>
    <d v="1899-12-30T00:04:40"/>
    <x v="3"/>
    <x v="9"/>
    <x v="2"/>
    <x v="3"/>
    <x v="13"/>
  </r>
  <r>
    <x v="1"/>
    <n v="15"/>
    <x v="7"/>
    <x v="3"/>
    <x v="0"/>
    <x v="5"/>
    <n v="0"/>
    <n v="2"/>
    <d v="1899-12-30T00:04:40"/>
    <x v="3"/>
    <x v="9"/>
    <x v="5"/>
    <x v="1"/>
    <x v="1"/>
  </r>
  <r>
    <x v="1"/>
    <n v="11"/>
    <x v="8"/>
    <x v="0"/>
    <x v="2"/>
    <x v="5"/>
    <n v="0"/>
    <n v="5"/>
    <d v="1899-12-30T00:04:40"/>
    <x v="3"/>
    <x v="9"/>
    <x v="3"/>
    <x v="3"/>
    <x v="13"/>
  </r>
  <r>
    <x v="0"/>
    <n v="19"/>
    <x v="1"/>
    <x v="1"/>
    <x v="3"/>
    <x v="0"/>
    <n v="7000000"/>
    <n v="5"/>
    <d v="1899-12-30T00:04:45"/>
    <x v="0"/>
    <x v="1"/>
    <x v="6"/>
    <x v="0"/>
    <x v="7"/>
  </r>
  <r>
    <x v="0"/>
    <n v="5"/>
    <x v="2"/>
    <x v="2"/>
    <x v="2"/>
    <x v="3"/>
    <n v="15000000"/>
    <n v="3"/>
    <d v="1899-12-30T00:04:45"/>
    <x v="0"/>
    <x v="0"/>
    <x v="3"/>
    <x v="3"/>
    <x v="13"/>
  </r>
  <r>
    <x v="0"/>
    <n v="11"/>
    <x v="3"/>
    <x v="0"/>
    <x v="3"/>
    <x v="2"/>
    <n v="38000000"/>
    <n v="1"/>
    <d v="1899-12-30T00:04:45"/>
    <x v="1"/>
    <x v="0"/>
    <x v="4"/>
    <x v="0"/>
    <x v="7"/>
  </r>
  <r>
    <x v="0"/>
    <n v="1"/>
    <x v="3"/>
    <x v="4"/>
    <x v="0"/>
    <x v="1"/>
    <n v="15000000"/>
    <n v="1"/>
    <d v="1899-12-30T00:04:45"/>
    <x v="0"/>
    <x v="4"/>
    <x v="2"/>
    <x v="3"/>
    <x v="4"/>
  </r>
  <r>
    <x v="0"/>
    <n v="21"/>
    <x v="3"/>
    <x v="1"/>
    <x v="0"/>
    <x v="4"/>
    <n v="20000000"/>
    <n v="5"/>
    <d v="1899-12-30T00:04:45"/>
    <x v="0"/>
    <x v="7"/>
    <x v="0"/>
    <x v="1"/>
    <x v="2"/>
  </r>
  <r>
    <x v="0"/>
    <n v="27"/>
    <x v="4"/>
    <x v="3"/>
    <x v="2"/>
    <x v="1"/>
    <n v="11000000"/>
    <n v="3"/>
    <d v="1899-12-30T00:04:45"/>
    <x v="0"/>
    <x v="7"/>
    <x v="6"/>
    <x v="2"/>
    <x v="3"/>
  </r>
  <r>
    <x v="0"/>
    <n v="28"/>
    <x v="4"/>
    <x v="3"/>
    <x v="1"/>
    <x v="2"/>
    <n v="12000000"/>
    <n v="3"/>
    <d v="1899-12-30T00:04:45"/>
    <x v="0"/>
    <x v="4"/>
    <x v="7"/>
    <x v="0"/>
    <x v="9"/>
  </r>
  <r>
    <x v="0"/>
    <n v="11"/>
    <x v="10"/>
    <x v="3"/>
    <x v="1"/>
    <x v="0"/>
    <n v="19000000"/>
    <n v="1"/>
    <d v="1899-12-30T00:04:45"/>
    <x v="1"/>
    <x v="2"/>
    <x v="2"/>
    <x v="0"/>
    <x v="12"/>
  </r>
  <r>
    <x v="0"/>
    <n v="25"/>
    <x v="10"/>
    <x v="0"/>
    <x v="1"/>
    <x v="2"/>
    <n v="12000000"/>
    <n v="1"/>
    <d v="1899-12-30T00:04:45"/>
    <x v="0"/>
    <x v="7"/>
    <x v="5"/>
    <x v="2"/>
    <x v="8"/>
  </r>
  <r>
    <x v="0"/>
    <n v="23"/>
    <x v="10"/>
    <x v="0"/>
    <x v="0"/>
    <x v="2"/>
    <n v="12000000"/>
    <n v="1"/>
    <d v="1899-12-30T00:04:45"/>
    <x v="0"/>
    <x v="8"/>
    <x v="6"/>
    <x v="1"/>
    <x v="1"/>
  </r>
  <r>
    <x v="0"/>
    <n v="19"/>
    <x v="1"/>
    <x v="1"/>
    <x v="3"/>
    <x v="0"/>
    <n v="7000000"/>
    <n v="5"/>
    <d v="1899-12-30T00:04:45"/>
    <x v="0"/>
    <x v="1"/>
    <x v="6"/>
    <x v="0"/>
    <x v="7"/>
  </r>
  <r>
    <x v="1"/>
    <n v="11"/>
    <x v="5"/>
    <x v="3"/>
    <x v="1"/>
    <x v="5"/>
    <n v="0"/>
    <n v="4"/>
    <d v="1899-12-30T00:04:45"/>
    <x v="3"/>
    <x v="9"/>
    <x v="2"/>
    <x v="2"/>
    <x v="11"/>
  </r>
  <r>
    <x v="1"/>
    <n v="19"/>
    <x v="2"/>
    <x v="0"/>
    <x v="2"/>
    <x v="5"/>
    <n v="0"/>
    <n v="6"/>
    <d v="1899-12-30T00:04:45"/>
    <x v="3"/>
    <x v="9"/>
    <x v="2"/>
    <x v="1"/>
    <x v="14"/>
  </r>
  <r>
    <x v="1"/>
    <n v="18"/>
    <x v="4"/>
    <x v="5"/>
    <x v="2"/>
    <x v="5"/>
    <n v="0"/>
    <n v="4"/>
    <d v="1899-12-30T00:04:45"/>
    <x v="3"/>
    <x v="9"/>
    <x v="7"/>
    <x v="3"/>
    <x v="13"/>
  </r>
  <r>
    <x v="1"/>
    <n v="11"/>
    <x v="5"/>
    <x v="3"/>
    <x v="1"/>
    <x v="5"/>
    <n v="0"/>
    <n v="4"/>
    <d v="1899-12-30T00:04:45"/>
    <x v="3"/>
    <x v="9"/>
    <x v="2"/>
    <x v="2"/>
    <x v="11"/>
  </r>
  <r>
    <x v="0"/>
    <n v="13"/>
    <x v="5"/>
    <x v="4"/>
    <x v="2"/>
    <x v="2"/>
    <n v="12000000"/>
    <n v="1"/>
    <d v="1899-12-30T00:04:48"/>
    <x v="0"/>
    <x v="7"/>
    <x v="2"/>
    <x v="1"/>
    <x v="1"/>
  </r>
  <r>
    <x v="0"/>
    <n v="1"/>
    <x v="8"/>
    <x v="4"/>
    <x v="1"/>
    <x v="3"/>
    <n v="20000000"/>
    <n v="4"/>
    <d v="1899-12-30T00:04:48"/>
    <x v="2"/>
    <x v="8"/>
    <x v="5"/>
    <x v="0"/>
    <x v="10"/>
  </r>
  <r>
    <x v="0"/>
    <n v="12"/>
    <x v="2"/>
    <x v="4"/>
    <x v="0"/>
    <x v="2"/>
    <n v="10000000"/>
    <n v="5"/>
    <d v="1899-12-30T00:04:48"/>
    <x v="0"/>
    <x v="3"/>
    <x v="7"/>
    <x v="3"/>
    <x v="13"/>
  </r>
  <r>
    <x v="0"/>
    <n v="13"/>
    <x v="3"/>
    <x v="0"/>
    <x v="1"/>
    <x v="0"/>
    <n v="19000000"/>
    <n v="4"/>
    <d v="1899-12-30T00:04:48"/>
    <x v="1"/>
    <x v="7"/>
    <x v="3"/>
    <x v="1"/>
    <x v="2"/>
  </r>
  <r>
    <x v="0"/>
    <n v="8"/>
    <x v="3"/>
    <x v="4"/>
    <x v="1"/>
    <x v="1"/>
    <n v="15000000"/>
    <n v="3"/>
    <d v="1899-12-30T00:04:48"/>
    <x v="0"/>
    <x v="0"/>
    <x v="4"/>
    <x v="0"/>
    <x v="5"/>
  </r>
  <r>
    <x v="0"/>
    <n v="17"/>
    <x v="4"/>
    <x v="0"/>
    <x v="2"/>
    <x v="2"/>
    <n v="12000000"/>
    <n v="3"/>
    <d v="1899-12-30T00:04:48"/>
    <x v="0"/>
    <x v="2"/>
    <x v="4"/>
    <x v="3"/>
    <x v="13"/>
  </r>
  <r>
    <x v="0"/>
    <n v="12"/>
    <x v="4"/>
    <x v="1"/>
    <x v="2"/>
    <x v="1"/>
    <n v="15000000"/>
    <n v="1"/>
    <d v="1899-12-30T00:04:48"/>
    <x v="0"/>
    <x v="4"/>
    <x v="6"/>
    <x v="1"/>
    <x v="6"/>
  </r>
  <r>
    <x v="0"/>
    <n v="16"/>
    <x v="10"/>
    <x v="5"/>
    <x v="1"/>
    <x v="4"/>
    <n v="25000000"/>
    <n v="2"/>
    <d v="1899-12-30T00:04:48"/>
    <x v="0"/>
    <x v="0"/>
    <x v="1"/>
    <x v="2"/>
    <x v="11"/>
  </r>
  <r>
    <x v="0"/>
    <n v="13"/>
    <x v="5"/>
    <x v="4"/>
    <x v="2"/>
    <x v="2"/>
    <n v="12000000"/>
    <n v="1"/>
    <d v="1899-12-30T00:04:48"/>
    <x v="0"/>
    <x v="7"/>
    <x v="2"/>
    <x v="1"/>
    <x v="1"/>
  </r>
  <r>
    <x v="0"/>
    <n v="1"/>
    <x v="8"/>
    <x v="4"/>
    <x v="1"/>
    <x v="3"/>
    <n v="20000000"/>
    <n v="4"/>
    <d v="1899-12-30T00:04:48"/>
    <x v="2"/>
    <x v="8"/>
    <x v="5"/>
    <x v="0"/>
    <x v="10"/>
  </r>
  <r>
    <x v="1"/>
    <n v="12"/>
    <x v="9"/>
    <x v="0"/>
    <x v="2"/>
    <x v="5"/>
    <n v="0"/>
    <n v="2"/>
    <d v="1899-12-30T00:04:48"/>
    <x v="3"/>
    <x v="9"/>
    <x v="0"/>
    <x v="2"/>
    <x v="3"/>
  </r>
  <r>
    <x v="1"/>
    <n v="6"/>
    <x v="2"/>
    <x v="0"/>
    <x v="1"/>
    <x v="5"/>
    <n v="0"/>
    <n v="1"/>
    <d v="1899-12-30T00:04:48"/>
    <x v="3"/>
    <x v="9"/>
    <x v="3"/>
    <x v="1"/>
    <x v="14"/>
  </r>
  <r>
    <x v="1"/>
    <n v="17"/>
    <x v="2"/>
    <x v="0"/>
    <x v="2"/>
    <x v="5"/>
    <n v="0"/>
    <n v="4"/>
    <d v="1899-12-30T00:04:48"/>
    <x v="3"/>
    <x v="9"/>
    <x v="0"/>
    <x v="0"/>
    <x v="12"/>
  </r>
  <r>
    <x v="1"/>
    <n v="11"/>
    <x v="4"/>
    <x v="4"/>
    <x v="0"/>
    <x v="5"/>
    <n v="0"/>
    <n v="2"/>
    <d v="1899-12-30T00:04:48"/>
    <x v="3"/>
    <x v="9"/>
    <x v="6"/>
    <x v="0"/>
    <x v="9"/>
  </r>
  <r>
    <x v="1"/>
    <n v="12"/>
    <x v="9"/>
    <x v="0"/>
    <x v="2"/>
    <x v="5"/>
    <n v="0"/>
    <n v="2"/>
    <d v="1899-12-30T00:04:48"/>
    <x v="3"/>
    <x v="9"/>
    <x v="0"/>
    <x v="2"/>
    <x v="3"/>
  </r>
  <r>
    <x v="0"/>
    <n v="18"/>
    <x v="6"/>
    <x v="1"/>
    <x v="2"/>
    <x v="4"/>
    <n v="20000000"/>
    <n v="1"/>
    <d v="1899-12-30T00:05:12"/>
    <x v="0"/>
    <x v="8"/>
    <x v="7"/>
    <x v="2"/>
    <x v="3"/>
  </r>
  <r>
    <x v="0"/>
    <n v="11"/>
    <x v="3"/>
    <x v="0"/>
    <x v="1"/>
    <x v="2"/>
    <n v="38000000"/>
    <n v="2"/>
    <d v="1899-12-30T00:05:12"/>
    <x v="1"/>
    <x v="1"/>
    <x v="5"/>
    <x v="3"/>
    <x v="13"/>
  </r>
  <r>
    <x v="0"/>
    <n v="23"/>
    <x v="3"/>
    <x v="0"/>
    <x v="0"/>
    <x v="0"/>
    <n v="19000000"/>
    <n v="2"/>
    <d v="1899-12-30T00:05:12"/>
    <x v="1"/>
    <x v="7"/>
    <x v="0"/>
    <x v="0"/>
    <x v="5"/>
  </r>
  <r>
    <x v="0"/>
    <n v="28"/>
    <x v="3"/>
    <x v="4"/>
    <x v="2"/>
    <x v="0"/>
    <n v="7000000"/>
    <n v="4"/>
    <d v="1899-12-30T00:05:12"/>
    <x v="0"/>
    <x v="4"/>
    <x v="5"/>
    <x v="0"/>
    <x v="9"/>
  </r>
  <r>
    <x v="0"/>
    <n v="30"/>
    <x v="3"/>
    <x v="0"/>
    <x v="1"/>
    <x v="1"/>
    <n v="12000000"/>
    <n v="1"/>
    <d v="1899-12-30T00:05:12"/>
    <x v="0"/>
    <x v="0"/>
    <x v="6"/>
    <x v="0"/>
    <x v="5"/>
  </r>
  <r>
    <x v="0"/>
    <n v="22"/>
    <x v="4"/>
    <x v="2"/>
    <x v="2"/>
    <x v="3"/>
    <n v="20000000"/>
    <n v="2"/>
    <d v="1899-12-30T00:05:12"/>
    <x v="2"/>
    <x v="0"/>
    <x v="2"/>
    <x v="1"/>
    <x v="2"/>
  </r>
  <r>
    <x v="0"/>
    <n v="1"/>
    <x v="4"/>
    <x v="2"/>
    <x v="0"/>
    <x v="4"/>
    <n v="25000000"/>
    <n v="2"/>
    <d v="1899-12-30T00:05:12"/>
    <x v="0"/>
    <x v="2"/>
    <x v="4"/>
    <x v="2"/>
    <x v="11"/>
  </r>
  <r>
    <x v="0"/>
    <n v="24"/>
    <x v="10"/>
    <x v="5"/>
    <x v="1"/>
    <x v="1"/>
    <n v="11000000"/>
    <n v="4"/>
    <d v="1899-12-30T00:05:12"/>
    <x v="0"/>
    <x v="7"/>
    <x v="3"/>
    <x v="0"/>
    <x v="7"/>
  </r>
  <r>
    <x v="0"/>
    <n v="18"/>
    <x v="6"/>
    <x v="1"/>
    <x v="2"/>
    <x v="4"/>
    <n v="20000000"/>
    <n v="1"/>
    <d v="1899-12-30T00:05:12"/>
    <x v="0"/>
    <x v="8"/>
    <x v="7"/>
    <x v="2"/>
    <x v="3"/>
  </r>
  <r>
    <x v="1"/>
    <n v="3"/>
    <x v="5"/>
    <x v="2"/>
    <x v="1"/>
    <x v="5"/>
    <n v="0"/>
    <n v="1"/>
    <d v="1899-12-30T00:05:12"/>
    <x v="3"/>
    <x v="9"/>
    <x v="1"/>
    <x v="0"/>
    <x v="7"/>
  </r>
  <r>
    <x v="1"/>
    <n v="22"/>
    <x v="2"/>
    <x v="3"/>
    <x v="4"/>
    <x v="5"/>
    <n v="0"/>
    <n v="6"/>
    <d v="1899-12-30T00:05:12"/>
    <x v="3"/>
    <x v="9"/>
    <x v="2"/>
    <x v="0"/>
    <x v="7"/>
  </r>
  <r>
    <x v="1"/>
    <n v="5"/>
    <x v="3"/>
    <x v="3"/>
    <x v="1"/>
    <x v="5"/>
    <n v="0"/>
    <n v="3"/>
    <d v="1899-12-30T00:05:12"/>
    <x v="3"/>
    <x v="9"/>
    <x v="2"/>
    <x v="1"/>
    <x v="15"/>
  </r>
  <r>
    <x v="1"/>
    <n v="20"/>
    <x v="4"/>
    <x v="2"/>
    <x v="3"/>
    <x v="5"/>
    <n v="0"/>
    <n v="3"/>
    <d v="1899-12-30T00:05:12"/>
    <x v="3"/>
    <x v="9"/>
    <x v="0"/>
    <x v="1"/>
    <x v="6"/>
  </r>
  <r>
    <x v="1"/>
    <n v="29"/>
    <x v="4"/>
    <x v="2"/>
    <x v="1"/>
    <x v="5"/>
    <n v="0"/>
    <n v="2"/>
    <d v="1899-12-30T00:05:12"/>
    <x v="3"/>
    <x v="9"/>
    <x v="6"/>
    <x v="3"/>
    <x v="13"/>
  </r>
  <r>
    <x v="1"/>
    <n v="3"/>
    <x v="5"/>
    <x v="2"/>
    <x v="1"/>
    <x v="5"/>
    <n v="0"/>
    <n v="1"/>
    <d v="1899-12-30T00:05:12"/>
    <x v="3"/>
    <x v="9"/>
    <x v="1"/>
    <x v="0"/>
    <x v="7"/>
  </r>
  <r>
    <x v="0"/>
    <n v="1"/>
    <x v="8"/>
    <x v="5"/>
    <x v="2"/>
    <x v="2"/>
    <n v="12000000"/>
    <n v="3"/>
    <d v="1899-12-30T00:05:14"/>
    <x v="0"/>
    <x v="0"/>
    <x v="3"/>
    <x v="1"/>
    <x v="1"/>
  </r>
  <r>
    <x v="0"/>
    <n v="17"/>
    <x v="1"/>
    <x v="5"/>
    <x v="2"/>
    <x v="2"/>
    <n v="12000000"/>
    <n v="4"/>
    <d v="1899-12-30T00:05:14"/>
    <x v="0"/>
    <x v="2"/>
    <x v="5"/>
    <x v="2"/>
    <x v="8"/>
  </r>
  <r>
    <x v="0"/>
    <n v="9"/>
    <x v="2"/>
    <x v="3"/>
    <x v="2"/>
    <x v="4"/>
    <n v="25000000"/>
    <n v="2"/>
    <d v="1899-12-30T00:05:14"/>
    <x v="0"/>
    <x v="3"/>
    <x v="3"/>
    <x v="0"/>
    <x v="10"/>
  </r>
  <r>
    <x v="0"/>
    <n v="29"/>
    <x v="2"/>
    <x v="0"/>
    <x v="3"/>
    <x v="0"/>
    <n v="7000000"/>
    <n v="4"/>
    <d v="1899-12-30T00:05:14"/>
    <x v="0"/>
    <x v="2"/>
    <x v="6"/>
    <x v="2"/>
    <x v="3"/>
  </r>
  <r>
    <x v="0"/>
    <n v="11"/>
    <x v="3"/>
    <x v="2"/>
    <x v="2"/>
    <x v="2"/>
    <n v="38000000"/>
    <n v="3"/>
    <d v="1899-12-30T00:05:14"/>
    <x v="1"/>
    <x v="4"/>
    <x v="5"/>
    <x v="0"/>
    <x v="5"/>
  </r>
  <r>
    <x v="0"/>
    <n v="17"/>
    <x v="3"/>
    <x v="1"/>
    <x v="0"/>
    <x v="0"/>
    <n v="19000000"/>
    <n v="2"/>
    <d v="1899-12-30T00:05:14"/>
    <x v="1"/>
    <x v="1"/>
    <x v="1"/>
    <x v="1"/>
    <x v="1"/>
  </r>
  <r>
    <x v="0"/>
    <n v="4"/>
    <x v="3"/>
    <x v="0"/>
    <x v="2"/>
    <x v="3"/>
    <n v="15000000"/>
    <n v="5"/>
    <d v="1899-12-30T00:05:14"/>
    <x v="0"/>
    <x v="2"/>
    <x v="4"/>
    <x v="0"/>
    <x v="12"/>
  </r>
  <r>
    <x v="0"/>
    <n v="1"/>
    <x v="3"/>
    <x v="3"/>
    <x v="0"/>
    <x v="1"/>
    <n v="15000000"/>
    <n v="5"/>
    <d v="1899-12-30T00:05:14"/>
    <x v="0"/>
    <x v="2"/>
    <x v="0"/>
    <x v="0"/>
    <x v="7"/>
  </r>
  <r>
    <x v="0"/>
    <n v="11"/>
    <x v="4"/>
    <x v="0"/>
    <x v="2"/>
    <x v="1"/>
    <n v="11000000"/>
    <n v="1"/>
    <d v="1899-12-30T00:05:14"/>
    <x v="0"/>
    <x v="0"/>
    <x v="3"/>
    <x v="1"/>
    <x v="1"/>
  </r>
  <r>
    <x v="0"/>
    <n v="4"/>
    <x v="4"/>
    <x v="0"/>
    <x v="1"/>
    <x v="2"/>
    <n v="12000000"/>
    <n v="1"/>
    <d v="1899-12-30T00:05:14"/>
    <x v="0"/>
    <x v="1"/>
    <x v="5"/>
    <x v="3"/>
    <x v="4"/>
  </r>
  <r>
    <x v="0"/>
    <n v="1"/>
    <x v="8"/>
    <x v="5"/>
    <x v="2"/>
    <x v="2"/>
    <n v="12000000"/>
    <n v="3"/>
    <d v="1899-12-30T00:05:14"/>
    <x v="0"/>
    <x v="0"/>
    <x v="3"/>
    <x v="1"/>
    <x v="1"/>
  </r>
  <r>
    <x v="0"/>
    <n v="17"/>
    <x v="1"/>
    <x v="5"/>
    <x v="2"/>
    <x v="2"/>
    <n v="12000000"/>
    <n v="4"/>
    <d v="1899-12-30T00:05:14"/>
    <x v="0"/>
    <x v="2"/>
    <x v="5"/>
    <x v="2"/>
    <x v="8"/>
  </r>
  <r>
    <x v="1"/>
    <n v="11"/>
    <x v="1"/>
    <x v="0"/>
    <x v="0"/>
    <x v="5"/>
    <n v="0"/>
    <n v="1"/>
    <d v="1899-12-30T00:05:14"/>
    <x v="3"/>
    <x v="9"/>
    <x v="0"/>
    <x v="1"/>
    <x v="14"/>
  </r>
  <r>
    <x v="1"/>
    <n v="12"/>
    <x v="1"/>
    <x v="4"/>
    <x v="2"/>
    <x v="5"/>
    <n v="0"/>
    <n v="1"/>
    <d v="1899-12-30T00:05:14"/>
    <x v="3"/>
    <x v="9"/>
    <x v="2"/>
    <x v="1"/>
    <x v="1"/>
  </r>
  <r>
    <x v="1"/>
    <n v="25"/>
    <x v="3"/>
    <x v="4"/>
    <x v="1"/>
    <x v="5"/>
    <n v="0"/>
    <n v="1"/>
    <d v="1899-12-30T00:05:14"/>
    <x v="3"/>
    <x v="9"/>
    <x v="7"/>
    <x v="0"/>
    <x v="5"/>
  </r>
  <r>
    <x v="0"/>
    <n v="8"/>
    <x v="5"/>
    <x v="2"/>
    <x v="0"/>
    <x v="1"/>
    <n v="15000000"/>
    <n v="5"/>
    <d v="1899-12-30T00:05:15"/>
    <x v="0"/>
    <x v="7"/>
    <x v="1"/>
    <x v="0"/>
    <x v="7"/>
  </r>
  <r>
    <x v="0"/>
    <n v="12"/>
    <x v="9"/>
    <x v="2"/>
    <x v="0"/>
    <x v="4"/>
    <n v="25000000"/>
    <n v="1"/>
    <d v="1899-12-30T00:05:15"/>
    <x v="0"/>
    <x v="8"/>
    <x v="5"/>
    <x v="1"/>
    <x v="6"/>
  </r>
  <r>
    <x v="0"/>
    <n v="30"/>
    <x v="2"/>
    <x v="2"/>
    <x v="2"/>
    <x v="3"/>
    <n v="20000000"/>
    <n v="3"/>
    <d v="1899-12-30T00:05:15"/>
    <x v="0"/>
    <x v="0"/>
    <x v="4"/>
    <x v="2"/>
    <x v="3"/>
  </r>
  <r>
    <x v="0"/>
    <n v="18"/>
    <x v="4"/>
    <x v="4"/>
    <x v="0"/>
    <x v="3"/>
    <n v="11000000"/>
    <n v="1"/>
    <d v="1899-12-30T00:05:15"/>
    <x v="2"/>
    <x v="4"/>
    <x v="6"/>
    <x v="1"/>
    <x v="6"/>
  </r>
  <r>
    <x v="0"/>
    <n v="3"/>
    <x v="4"/>
    <x v="1"/>
    <x v="2"/>
    <x v="2"/>
    <n v="12000000"/>
    <n v="4"/>
    <d v="1899-12-30T00:05:15"/>
    <x v="0"/>
    <x v="3"/>
    <x v="4"/>
    <x v="0"/>
    <x v="9"/>
  </r>
  <r>
    <x v="0"/>
    <n v="7"/>
    <x v="4"/>
    <x v="1"/>
    <x v="2"/>
    <x v="1"/>
    <n v="15000000"/>
    <n v="5"/>
    <d v="1899-12-30T00:05:15"/>
    <x v="0"/>
    <x v="7"/>
    <x v="3"/>
    <x v="1"/>
    <x v="2"/>
  </r>
  <r>
    <x v="0"/>
    <n v="19"/>
    <x v="4"/>
    <x v="4"/>
    <x v="1"/>
    <x v="1"/>
    <n v="15000000"/>
    <n v="3"/>
    <d v="1899-12-30T00:05:15"/>
    <x v="0"/>
    <x v="2"/>
    <x v="2"/>
    <x v="0"/>
    <x v="5"/>
  </r>
  <r>
    <x v="0"/>
    <n v="13"/>
    <x v="10"/>
    <x v="0"/>
    <x v="3"/>
    <x v="2"/>
    <n v="38000000"/>
    <n v="2"/>
    <d v="1899-12-30T00:05:15"/>
    <x v="1"/>
    <x v="4"/>
    <x v="0"/>
    <x v="3"/>
    <x v="13"/>
  </r>
  <r>
    <x v="0"/>
    <n v="14"/>
    <x v="10"/>
    <x v="1"/>
    <x v="0"/>
    <x v="2"/>
    <n v="12000000"/>
    <n v="2"/>
    <d v="1899-12-30T00:05:15"/>
    <x v="0"/>
    <x v="1"/>
    <x v="5"/>
    <x v="1"/>
    <x v="2"/>
  </r>
  <r>
    <x v="0"/>
    <n v="8"/>
    <x v="5"/>
    <x v="2"/>
    <x v="0"/>
    <x v="1"/>
    <n v="15000000"/>
    <n v="5"/>
    <d v="1899-12-30T00:05:15"/>
    <x v="0"/>
    <x v="7"/>
    <x v="1"/>
    <x v="0"/>
    <x v="7"/>
  </r>
  <r>
    <x v="0"/>
    <n v="12"/>
    <x v="9"/>
    <x v="2"/>
    <x v="0"/>
    <x v="4"/>
    <n v="25000000"/>
    <n v="1"/>
    <d v="1899-12-30T00:05:15"/>
    <x v="0"/>
    <x v="8"/>
    <x v="5"/>
    <x v="1"/>
    <x v="6"/>
  </r>
  <r>
    <x v="1"/>
    <n v="29"/>
    <x v="8"/>
    <x v="1"/>
    <x v="0"/>
    <x v="5"/>
    <n v="0"/>
    <n v="2"/>
    <d v="1899-12-30T00:05:15"/>
    <x v="3"/>
    <x v="9"/>
    <x v="3"/>
    <x v="2"/>
    <x v="8"/>
  </r>
  <r>
    <x v="1"/>
    <n v="5"/>
    <x v="3"/>
    <x v="2"/>
    <x v="0"/>
    <x v="5"/>
    <n v="0"/>
    <n v="5"/>
    <d v="1899-12-30T00:05:15"/>
    <x v="3"/>
    <x v="9"/>
    <x v="6"/>
    <x v="0"/>
    <x v="5"/>
  </r>
  <r>
    <x v="1"/>
    <n v="10"/>
    <x v="10"/>
    <x v="0"/>
    <x v="3"/>
    <x v="5"/>
    <n v="0"/>
    <n v="3"/>
    <d v="1899-12-30T00:05:15"/>
    <x v="3"/>
    <x v="9"/>
    <x v="1"/>
    <x v="0"/>
    <x v="0"/>
  </r>
  <r>
    <x v="1"/>
    <n v="5"/>
    <x v="10"/>
    <x v="1"/>
    <x v="2"/>
    <x v="5"/>
    <n v="0"/>
    <n v="5"/>
    <d v="1899-12-30T00:05:15"/>
    <x v="3"/>
    <x v="9"/>
    <x v="7"/>
    <x v="1"/>
    <x v="15"/>
  </r>
  <r>
    <x v="1"/>
    <n v="29"/>
    <x v="8"/>
    <x v="1"/>
    <x v="0"/>
    <x v="5"/>
    <n v="0"/>
    <n v="2"/>
    <d v="1899-12-30T00:05:15"/>
    <x v="3"/>
    <x v="9"/>
    <x v="3"/>
    <x v="2"/>
    <x v="8"/>
  </r>
  <r>
    <x v="0"/>
    <n v="18"/>
    <x v="9"/>
    <x v="0"/>
    <x v="0"/>
    <x v="4"/>
    <n v="25000000"/>
    <n v="5"/>
    <d v="1899-12-30T00:06:15"/>
    <x v="0"/>
    <x v="6"/>
    <x v="3"/>
    <x v="0"/>
    <x v="10"/>
  </r>
  <r>
    <x v="0"/>
    <n v="12"/>
    <x v="1"/>
    <x v="3"/>
    <x v="0"/>
    <x v="1"/>
    <n v="15000000"/>
    <n v="4"/>
    <d v="1899-12-30T00:06:15"/>
    <x v="0"/>
    <x v="5"/>
    <x v="1"/>
    <x v="2"/>
    <x v="3"/>
  </r>
  <r>
    <x v="0"/>
    <n v="30"/>
    <x v="2"/>
    <x v="5"/>
    <x v="2"/>
    <x v="3"/>
    <n v="20000000"/>
    <n v="5"/>
    <d v="1899-12-30T00:06:15"/>
    <x v="2"/>
    <x v="0"/>
    <x v="6"/>
    <x v="3"/>
    <x v="4"/>
  </r>
  <r>
    <x v="0"/>
    <n v="16"/>
    <x v="2"/>
    <x v="5"/>
    <x v="2"/>
    <x v="1"/>
    <n v="12000000"/>
    <n v="2"/>
    <d v="1899-12-30T00:06:15"/>
    <x v="0"/>
    <x v="2"/>
    <x v="4"/>
    <x v="3"/>
    <x v="4"/>
  </r>
  <r>
    <x v="0"/>
    <n v="28"/>
    <x v="2"/>
    <x v="3"/>
    <x v="0"/>
    <x v="2"/>
    <n v="12000000"/>
    <n v="2"/>
    <d v="1899-12-30T00:06:15"/>
    <x v="0"/>
    <x v="3"/>
    <x v="3"/>
    <x v="0"/>
    <x v="7"/>
  </r>
  <r>
    <x v="0"/>
    <n v="7"/>
    <x v="3"/>
    <x v="0"/>
    <x v="0"/>
    <x v="2"/>
    <n v="10000000"/>
    <n v="1"/>
    <d v="1899-12-30T00:06:15"/>
    <x v="0"/>
    <x v="0"/>
    <x v="2"/>
    <x v="2"/>
    <x v="8"/>
  </r>
  <r>
    <x v="0"/>
    <n v="9"/>
    <x v="3"/>
    <x v="0"/>
    <x v="0"/>
    <x v="0"/>
    <n v="7000000"/>
    <n v="4"/>
    <d v="1899-12-30T00:06:15"/>
    <x v="0"/>
    <x v="2"/>
    <x v="4"/>
    <x v="1"/>
    <x v="2"/>
  </r>
  <r>
    <x v="0"/>
    <n v="18"/>
    <x v="3"/>
    <x v="3"/>
    <x v="2"/>
    <x v="1"/>
    <n v="15000000"/>
    <n v="1"/>
    <d v="1899-12-30T00:06:15"/>
    <x v="0"/>
    <x v="7"/>
    <x v="5"/>
    <x v="1"/>
    <x v="2"/>
  </r>
  <r>
    <x v="0"/>
    <n v="4"/>
    <x v="4"/>
    <x v="0"/>
    <x v="2"/>
    <x v="2"/>
    <n v="38000000"/>
    <n v="5"/>
    <d v="1899-12-30T00:06:15"/>
    <x v="1"/>
    <x v="2"/>
    <x v="0"/>
    <x v="1"/>
    <x v="2"/>
  </r>
  <r>
    <x v="0"/>
    <n v="23"/>
    <x v="4"/>
    <x v="0"/>
    <x v="2"/>
    <x v="2"/>
    <n v="12000000"/>
    <n v="2"/>
    <d v="1899-12-30T00:06:15"/>
    <x v="0"/>
    <x v="4"/>
    <x v="5"/>
    <x v="1"/>
    <x v="15"/>
  </r>
  <r>
    <x v="0"/>
    <n v="31"/>
    <x v="10"/>
    <x v="2"/>
    <x v="1"/>
    <x v="0"/>
    <n v="19000000"/>
    <n v="3"/>
    <d v="1899-12-30T00:06:15"/>
    <x v="1"/>
    <x v="1"/>
    <x v="2"/>
    <x v="0"/>
    <x v="7"/>
  </r>
  <r>
    <x v="0"/>
    <n v="18"/>
    <x v="9"/>
    <x v="0"/>
    <x v="0"/>
    <x v="4"/>
    <n v="25000000"/>
    <n v="5"/>
    <d v="1899-12-30T00:06:15"/>
    <x v="0"/>
    <x v="6"/>
    <x v="3"/>
    <x v="0"/>
    <x v="10"/>
  </r>
  <r>
    <x v="1"/>
    <n v="15"/>
    <x v="2"/>
    <x v="2"/>
    <x v="2"/>
    <x v="5"/>
    <n v="0"/>
    <n v="1"/>
    <d v="1899-12-30T00:06:15"/>
    <x v="3"/>
    <x v="9"/>
    <x v="5"/>
    <x v="0"/>
    <x v="7"/>
  </r>
  <r>
    <x v="1"/>
    <n v="15"/>
    <x v="10"/>
    <x v="1"/>
    <x v="2"/>
    <x v="5"/>
    <n v="0"/>
    <n v="1"/>
    <d v="1899-12-30T00:06:15"/>
    <x v="3"/>
    <x v="9"/>
    <x v="7"/>
    <x v="0"/>
    <x v="5"/>
  </r>
  <r>
    <x v="0"/>
    <n v="1"/>
    <x v="8"/>
    <x v="0"/>
    <x v="2"/>
    <x v="4"/>
    <n v="25000000"/>
    <n v="1"/>
    <d v="1899-12-30T00:06:18"/>
    <x v="0"/>
    <x v="0"/>
    <x v="7"/>
    <x v="0"/>
    <x v="9"/>
  </r>
  <r>
    <x v="0"/>
    <n v="7"/>
    <x v="11"/>
    <x v="3"/>
    <x v="2"/>
    <x v="0"/>
    <n v="19000000"/>
    <n v="6"/>
    <d v="1899-12-30T00:06:18"/>
    <x v="1"/>
    <x v="2"/>
    <x v="0"/>
    <x v="0"/>
    <x v="0"/>
  </r>
  <r>
    <x v="0"/>
    <n v="27"/>
    <x v="2"/>
    <x v="2"/>
    <x v="1"/>
    <x v="2"/>
    <n v="38000000"/>
    <n v="3"/>
    <d v="1899-12-30T00:06:18"/>
    <x v="1"/>
    <x v="7"/>
    <x v="3"/>
    <x v="1"/>
    <x v="2"/>
  </r>
  <r>
    <x v="0"/>
    <n v="12"/>
    <x v="2"/>
    <x v="0"/>
    <x v="1"/>
    <x v="0"/>
    <n v="7000000"/>
    <n v="1"/>
    <d v="1899-12-30T00:06:18"/>
    <x v="0"/>
    <x v="7"/>
    <x v="7"/>
    <x v="1"/>
    <x v="15"/>
  </r>
  <r>
    <x v="0"/>
    <n v="11"/>
    <x v="3"/>
    <x v="0"/>
    <x v="1"/>
    <x v="2"/>
    <n v="12000000"/>
    <n v="3"/>
    <d v="1899-12-30T00:06:18"/>
    <x v="0"/>
    <x v="6"/>
    <x v="3"/>
    <x v="3"/>
    <x v="4"/>
  </r>
  <r>
    <x v="0"/>
    <n v="29"/>
    <x v="3"/>
    <x v="0"/>
    <x v="2"/>
    <x v="1"/>
    <n v="12000000"/>
    <n v="5"/>
    <d v="1899-12-30T00:06:18"/>
    <x v="0"/>
    <x v="8"/>
    <x v="3"/>
    <x v="3"/>
    <x v="4"/>
  </r>
  <r>
    <x v="0"/>
    <n v="31"/>
    <x v="3"/>
    <x v="3"/>
    <x v="2"/>
    <x v="1"/>
    <n v="15000000"/>
    <n v="1"/>
    <d v="1899-12-30T00:06:18"/>
    <x v="0"/>
    <x v="3"/>
    <x v="7"/>
    <x v="1"/>
    <x v="2"/>
  </r>
  <r>
    <x v="0"/>
    <n v="22"/>
    <x v="4"/>
    <x v="2"/>
    <x v="1"/>
    <x v="2"/>
    <n v="12000000"/>
    <n v="6"/>
    <d v="1899-12-30T00:06:18"/>
    <x v="0"/>
    <x v="0"/>
    <x v="3"/>
    <x v="2"/>
    <x v="11"/>
  </r>
  <r>
    <x v="0"/>
    <n v="1"/>
    <x v="4"/>
    <x v="4"/>
    <x v="2"/>
    <x v="1"/>
    <n v="15000000"/>
    <n v="3"/>
    <d v="1899-12-30T00:06:18"/>
    <x v="0"/>
    <x v="2"/>
    <x v="5"/>
    <x v="1"/>
    <x v="6"/>
  </r>
  <r>
    <x v="0"/>
    <n v="25"/>
    <x v="10"/>
    <x v="2"/>
    <x v="1"/>
    <x v="3"/>
    <n v="20000000"/>
    <n v="4"/>
    <d v="1899-12-30T00:06:18"/>
    <x v="2"/>
    <x v="7"/>
    <x v="2"/>
    <x v="0"/>
    <x v="7"/>
  </r>
  <r>
    <x v="0"/>
    <n v="1"/>
    <x v="8"/>
    <x v="0"/>
    <x v="2"/>
    <x v="4"/>
    <n v="25000000"/>
    <n v="1"/>
    <d v="1899-12-30T00:06:18"/>
    <x v="0"/>
    <x v="0"/>
    <x v="7"/>
    <x v="0"/>
    <x v="9"/>
  </r>
  <r>
    <x v="0"/>
    <n v="7"/>
    <x v="11"/>
    <x v="3"/>
    <x v="2"/>
    <x v="0"/>
    <n v="19000000"/>
    <n v="6"/>
    <d v="1899-12-30T00:06:18"/>
    <x v="1"/>
    <x v="2"/>
    <x v="0"/>
    <x v="0"/>
    <x v="0"/>
  </r>
  <r>
    <x v="1"/>
    <n v="7"/>
    <x v="3"/>
    <x v="2"/>
    <x v="1"/>
    <x v="5"/>
    <n v="0"/>
    <n v="1"/>
    <d v="1899-12-30T00:06:18"/>
    <x v="3"/>
    <x v="9"/>
    <x v="2"/>
    <x v="0"/>
    <x v="10"/>
  </r>
  <r>
    <x v="1"/>
    <n v="16"/>
    <x v="4"/>
    <x v="0"/>
    <x v="0"/>
    <x v="5"/>
    <n v="0"/>
    <n v="1"/>
    <d v="1899-12-30T00:06:18"/>
    <x v="3"/>
    <x v="9"/>
    <x v="6"/>
    <x v="2"/>
    <x v="8"/>
  </r>
  <r>
    <x v="1"/>
    <n v="11"/>
    <x v="10"/>
    <x v="2"/>
    <x v="1"/>
    <x v="5"/>
    <n v="0"/>
    <n v="2"/>
    <d v="1899-12-30T00:06:18"/>
    <x v="3"/>
    <x v="9"/>
    <x v="4"/>
    <x v="1"/>
    <x v="1"/>
  </r>
  <r>
    <x v="0"/>
    <n v="17"/>
    <x v="6"/>
    <x v="3"/>
    <x v="2"/>
    <x v="3"/>
    <n v="15000000"/>
    <n v="2"/>
    <d v="1899-12-30T00:06:20"/>
    <x v="0"/>
    <x v="8"/>
    <x v="2"/>
    <x v="2"/>
    <x v="11"/>
  </r>
  <r>
    <x v="0"/>
    <n v="27"/>
    <x v="3"/>
    <x v="2"/>
    <x v="2"/>
    <x v="0"/>
    <n v="19000000"/>
    <n v="2"/>
    <d v="1899-12-30T00:06:20"/>
    <x v="1"/>
    <x v="0"/>
    <x v="3"/>
    <x v="1"/>
    <x v="1"/>
  </r>
  <r>
    <x v="0"/>
    <n v="22"/>
    <x v="3"/>
    <x v="0"/>
    <x v="1"/>
    <x v="2"/>
    <n v="38000000"/>
    <n v="1"/>
    <d v="1899-12-30T00:06:20"/>
    <x v="1"/>
    <x v="7"/>
    <x v="7"/>
    <x v="3"/>
    <x v="13"/>
  </r>
  <r>
    <x v="0"/>
    <n v="31"/>
    <x v="3"/>
    <x v="2"/>
    <x v="1"/>
    <x v="3"/>
    <n v="20000000"/>
    <n v="1"/>
    <d v="1899-12-30T00:06:20"/>
    <x v="2"/>
    <x v="6"/>
    <x v="5"/>
    <x v="0"/>
    <x v="9"/>
  </r>
  <r>
    <x v="0"/>
    <n v="10"/>
    <x v="3"/>
    <x v="0"/>
    <x v="1"/>
    <x v="4"/>
    <n v="25000000"/>
    <n v="3"/>
    <d v="1899-12-30T00:06:20"/>
    <x v="0"/>
    <x v="2"/>
    <x v="2"/>
    <x v="1"/>
    <x v="1"/>
  </r>
  <r>
    <x v="0"/>
    <n v="29"/>
    <x v="3"/>
    <x v="0"/>
    <x v="1"/>
    <x v="2"/>
    <n v="10000000"/>
    <n v="1"/>
    <d v="1899-12-30T00:06:20"/>
    <x v="0"/>
    <x v="2"/>
    <x v="7"/>
    <x v="1"/>
    <x v="1"/>
  </r>
  <r>
    <x v="0"/>
    <n v="22"/>
    <x v="4"/>
    <x v="2"/>
    <x v="1"/>
    <x v="1"/>
    <n v="15000000"/>
    <n v="5"/>
    <d v="1899-12-30T00:06:20"/>
    <x v="0"/>
    <x v="0"/>
    <x v="6"/>
    <x v="0"/>
    <x v="0"/>
  </r>
  <r>
    <x v="0"/>
    <n v="17"/>
    <x v="10"/>
    <x v="5"/>
    <x v="3"/>
    <x v="1"/>
    <n v="12000000"/>
    <n v="1"/>
    <d v="1899-12-30T00:06:20"/>
    <x v="0"/>
    <x v="7"/>
    <x v="6"/>
    <x v="0"/>
    <x v="10"/>
  </r>
  <r>
    <x v="0"/>
    <n v="17"/>
    <x v="6"/>
    <x v="3"/>
    <x v="2"/>
    <x v="3"/>
    <n v="15000000"/>
    <n v="2"/>
    <d v="1899-12-30T00:06:20"/>
    <x v="0"/>
    <x v="8"/>
    <x v="2"/>
    <x v="2"/>
    <x v="11"/>
  </r>
  <r>
    <x v="1"/>
    <n v="13"/>
    <x v="2"/>
    <x v="2"/>
    <x v="1"/>
    <x v="5"/>
    <n v="0"/>
    <n v="1"/>
    <d v="1899-12-30T00:06:20"/>
    <x v="3"/>
    <x v="9"/>
    <x v="0"/>
    <x v="3"/>
    <x v="4"/>
  </r>
  <r>
    <x v="1"/>
    <n v="5"/>
    <x v="3"/>
    <x v="4"/>
    <x v="2"/>
    <x v="5"/>
    <n v="0"/>
    <n v="5"/>
    <d v="1899-12-30T00:06:20"/>
    <x v="3"/>
    <x v="9"/>
    <x v="4"/>
    <x v="1"/>
    <x v="1"/>
  </r>
  <r>
    <x v="1"/>
    <n v="19"/>
    <x v="4"/>
    <x v="2"/>
    <x v="0"/>
    <x v="5"/>
    <n v="0"/>
    <n v="2"/>
    <d v="1899-12-30T00:06:20"/>
    <x v="3"/>
    <x v="9"/>
    <x v="2"/>
    <x v="1"/>
    <x v="1"/>
  </r>
  <r>
    <x v="1"/>
    <n v="28"/>
    <x v="4"/>
    <x v="2"/>
    <x v="1"/>
    <x v="5"/>
    <n v="0"/>
    <n v="4"/>
    <d v="1899-12-30T00:06:20"/>
    <x v="3"/>
    <x v="9"/>
    <x v="5"/>
    <x v="3"/>
    <x v="4"/>
  </r>
  <r>
    <x v="1"/>
    <n v="10"/>
    <x v="10"/>
    <x v="4"/>
    <x v="2"/>
    <x v="5"/>
    <n v="0"/>
    <n v="5"/>
    <d v="1899-12-30T00:06:20"/>
    <x v="3"/>
    <x v="9"/>
    <x v="6"/>
    <x v="0"/>
    <x v="9"/>
  </r>
  <r>
    <x v="0"/>
    <n v="1"/>
    <x v="0"/>
    <x v="3"/>
    <x v="4"/>
    <x v="2"/>
    <n v="12000000"/>
    <n v="1"/>
    <d v="1899-12-30T00:06:30"/>
    <x v="0"/>
    <x v="5"/>
    <x v="1"/>
    <x v="3"/>
    <x v="4"/>
  </r>
  <r>
    <x v="0"/>
    <n v="1"/>
    <x v="0"/>
    <x v="1"/>
    <x v="1"/>
    <x v="2"/>
    <n v="12000000"/>
    <n v="1"/>
    <d v="1899-12-30T00:06:30"/>
    <x v="0"/>
    <x v="4"/>
    <x v="6"/>
    <x v="1"/>
    <x v="1"/>
  </r>
  <r>
    <x v="0"/>
    <n v="1"/>
    <x v="0"/>
    <x v="2"/>
    <x v="2"/>
    <x v="4"/>
    <n v="25000000"/>
    <n v="2"/>
    <d v="1899-12-30T00:06:30"/>
    <x v="0"/>
    <x v="5"/>
    <x v="6"/>
    <x v="0"/>
    <x v="7"/>
  </r>
  <r>
    <x v="0"/>
    <n v="12"/>
    <x v="9"/>
    <x v="5"/>
    <x v="2"/>
    <x v="3"/>
    <n v="11000000"/>
    <n v="1"/>
    <d v="1899-12-30T00:06:30"/>
    <x v="2"/>
    <x v="1"/>
    <x v="2"/>
    <x v="1"/>
    <x v="1"/>
  </r>
  <r>
    <x v="0"/>
    <n v="27"/>
    <x v="1"/>
    <x v="3"/>
    <x v="1"/>
    <x v="1"/>
    <n v="15000000"/>
    <n v="4"/>
    <d v="1899-12-30T00:06:30"/>
    <x v="0"/>
    <x v="4"/>
    <x v="5"/>
    <x v="0"/>
    <x v="10"/>
  </r>
  <r>
    <x v="0"/>
    <n v="16"/>
    <x v="1"/>
    <x v="5"/>
    <x v="1"/>
    <x v="4"/>
    <n v="20000000"/>
    <n v="3"/>
    <d v="1899-12-30T00:06:30"/>
    <x v="0"/>
    <x v="6"/>
    <x v="7"/>
    <x v="0"/>
    <x v="5"/>
  </r>
  <r>
    <x v="0"/>
    <n v="24"/>
    <x v="2"/>
    <x v="0"/>
    <x v="0"/>
    <x v="1"/>
    <n v="15000000"/>
    <n v="5"/>
    <d v="1899-12-30T00:06:30"/>
    <x v="0"/>
    <x v="0"/>
    <x v="2"/>
    <x v="1"/>
    <x v="6"/>
  </r>
  <r>
    <x v="0"/>
    <n v="30"/>
    <x v="2"/>
    <x v="4"/>
    <x v="2"/>
    <x v="2"/>
    <n v="12000000"/>
    <n v="4"/>
    <d v="1899-12-30T00:06:30"/>
    <x v="0"/>
    <x v="2"/>
    <x v="2"/>
    <x v="0"/>
    <x v="5"/>
  </r>
  <r>
    <x v="0"/>
    <n v="11"/>
    <x v="2"/>
    <x v="0"/>
    <x v="1"/>
    <x v="4"/>
    <n v="21000000"/>
    <n v="1"/>
    <d v="1899-12-30T00:06:30"/>
    <x v="0"/>
    <x v="2"/>
    <x v="7"/>
    <x v="2"/>
    <x v="11"/>
  </r>
  <r>
    <x v="0"/>
    <n v="8"/>
    <x v="3"/>
    <x v="1"/>
    <x v="1"/>
    <x v="0"/>
    <n v="19000000"/>
    <n v="3"/>
    <d v="1899-12-30T00:06:30"/>
    <x v="1"/>
    <x v="2"/>
    <x v="3"/>
    <x v="1"/>
    <x v="2"/>
  </r>
  <r>
    <x v="0"/>
    <n v="26"/>
    <x v="3"/>
    <x v="0"/>
    <x v="0"/>
    <x v="2"/>
    <n v="38000000"/>
    <n v="4"/>
    <d v="1899-12-30T00:06:30"/>
    <x v="1"/>
    <x v="0"/>
    <x v="3"/>
    <x v="3"/>
    <x v="13"/>
  </r>
  <r>
    <x v="0"/>
    <n v="10"/>
    <x v="3"/>
    <x v="0"/>
    <x v="1"/>
    <x v="3"/>
    <n v="11000000"/>
    <n v="5"/>
    <d v="1899-12-30T00:06:30"/>
    <x v="2"/>
    <x v="3"/>
    <x v="5"/>
    <x v="3"/>
    <x v="4"/>
  </r>
  <r>
    <x v="0"/>
    <n v="31"/>
    <x v="3"/>
    <x v="3"/>
    <x v="2"/>
    <x v="4"/>
    <n v="21000000"/>
    <n v="5"/>
    <d v="1899-12-30T00:06:30"/>
    <x v="0"/>
    <x v="4"/>
    <x v="0"/>
    <x v="1"/>
    <x v="1"/>
  </r>
  <r>
    <x v="0"/>
    <n v="11"/>
    <x v="3"/>
    <x v="2"/>
    <x v="0"/>
    <x v="4"/>
    <n v="25000000"/>
    <n v="2"/>
    <d v="1899-12-30T00:06:30"/>
    <x v="0"/>
    <x v="4"/>
    <x v="3"/>
    <x v="0"/>
    <x v="7"/>
  </r>
  <r>
    <x v="0"/>
    <n v="5"/>
    <x v="3"/>
    <x v="1"/>
    <x v="1"/>
    <x v="3"/>
    <n v="20000000"/>
    <n v="4"/>
    <d v="1899-12-30T00:06:30"/>
    <x v="0"/>
    <x v="8"/>
    <x v="0"/>
    <x v="0"/>
    <x v="10"/>
  </r>
  <r>
    <x v="0"/>
    <n v="28"/>
    <x v="3"/>
    <x v="4"/>
    <x v="0"/>
    <x v="0"/>
    <n v="7000000"/>
    <n v="5"/>
    <d v="1899-12-30T00:06:30"/>
    <x v="0"/>
    <x v="0"/>
    <x v="5"/>
    <x v="2"/>
    <x v="8"/>
  </r>
  <r>
    <x v="0"/>
    <n v="4"/>
    <x v="4"/>
    <x v="1"/>
    <x v="1"/>
    <x v="2"/>
    <n v="38000000"/>
    <n v="4"/>
    <d v="1899-12-30T00:06:30"/>
    <x v="1"/>
    <x v="8"/>
    <x v="0"/>
    <x v="1"/>
    <x v="2"/>
  </r>
  <r>
    <x v="0"/>
    <n v="15"/>
    <x v="4"/>
    <x v="1"/>
    <x v="3"/>
    <x v="0"/>
    <n v="19000000"/>
    <n v="7"/>
    <d v="1899-12-30T00:06:30"/>
    <x v="1"/>
    <x v="5"/>
    <x v="7"/>
    <x v="2"/>
    <x v="8"/>
  </r>
  <r>
    <x v="0"/>
    <n v="22"/>
    <x v="4"/>
    <x v="4"/>
    <x v="2"/>
    <x v="3"/>
    <n v="20000000"/>
    <n v="3"/>
    <d v="1899-12-30T00:06:30"/>
    <x v="2"/>
    <x v="7"/>
    <x v="6"/>
    <x v="1"/>
    <x v="6"/>
  </r>
  <r>
    <x v="0"/>
    <n v="3"/>
    <x v="4"/>
    <x v="1"/>
    <x v="2"/>
    <x v="2"/>
    <n v="12000000"/>
    <n v="2"/>
    <d v="1899-12-30T00:06:30"/>
    <x v="0"/>
    <x v="0"/>
    <x v="1"/>
    <x v="0"/>
    <x v="10"/>
  </r>
  <r>
    <x v="0"/>
    <n v="15"/>
    <x v="4"/>
    <x v="0"/>
    <x v="1"/>
    <x v="2"/>
    <n v="12000000"/>
    <n v="3"/>
    <d v="1899-12-30T00:06:30"/>
    <x v="0"/>
    <x v="3"/>
    <x v="2"/>
    <x v="0"/>
    <x v="7"/>
  </r>
  <r>
    <x v="0"/>
    <n v="3"/>
    <x v="4"/>
    <x v="0"/>
    <x v="0"/>
    <x v="2"/>
    <n v="12000000"/>
    <n v="3"/>
    <d v="1899-12-30T00:06:30"/>
    <x v="0"/>
    <x v="2"/>
    <x v="3"/>
    <x v="1"/>
    <x v="2"/>
  </r>
  <r>
    <x v="0"/>
    <n v="11"/>
    <x v="4"/>
    <x v="4"/>
    <x v="3"/>
    <x v="1"/>
    <n v="15000000"/>
    <n v="3"/>
    <d v="1899-12-30T00:06:30"/>
    <x v="0"/>
    <x v="8"/>
    <x v="3"/>
    <x v="2"/>
    <x v="8"/>
  </r>
  <r>
    <x v="0"/>
    <n v="22"/>
    <x v="4"/>
    <x v="5"/>
    <x v="2"/>
    <x v="1"/>
    <n v="15000000"/>
    <n v="4"/>
    <d v="1899-12-30T00:06:30"/>
    <x v="0"/>
    <x v="0"/>
    <x v="3"/>
    <x v="0"/>
    <x v="9"/>
  </r>
  <r>
    <x v="0"/>
    <n v="20"/>
    <x v="4"/>
    <x v="0"/>
    <x v="2"/>
    <x v="1"/>
    <n v="15000000"/>
    <n v="6"/>
    <d v="1899-12-30T00:06:30"/>
    <x v="0"/>
    <x v="3"/>
    <x v="0"/>
    <x v="3"/>
    <x v="13"/>
  </r>
  <r>
    <x v="0"/>
    <n v="30"/>
    <x v="4"/>
    <x v="5"/>
    <x v="2"/>
    <x v="0"/>
    <n v="7000000"/>
    <n v="3"/>
    <d v="1899-12-30T00:06:30"/>
    <x v="0"/>
    <x v="0"/>
    <x v="6"/>
    <x v="1"/>
    <x v="2"/>
  </r>
  <r>
    <x v="0"/>
    <n v="2"/>
    <x v="10"/>
    <x v="1"/>
    <x v="2"/>
    <x v="1"/>
    <n v="12000000"/>
    <n v="3"/>
    <d v="1899-12-30T00:06:30"/>
    <x v="0"/>
    <x v="4"/>
    <x v="2"/>
    <x v="1"/>
    <x v="2"/>
  </r>
  <r>
    <x v="0"/>
    <n v="17"/>
    <x v="10"/>
    <x v="0"/>
    <x v="2"/>
    <x v="1"/>
    <n v="11000000"/>
    <n v="4"/>
    <d v="1899-12-30T00:06:30"/>
    <x v="0"/>
    <x v="5"/>
    <x v="5"/>
    <x v="0"/>
    <x v="5"/>
  </r>
  <r>
    <x v="0"/>
    <n v="24"/>
    <x v="10"/>
    <x v="2"/>
    <x v="0"/>
    <x v="4"/>
    <n v="25000000"/>
    <n v="6"/>
    <d v="1899-12-30T00:06:30"/>
    <x v="0"/>
    <x v="3"/>
    <x v="7"/>
    <x v="0"/>
    <x v="9"/>
  </r>
  <r>
    <x v="0"/>
    <n v="28"/>
    <x v="10"/>
    <x v="5"/>
    <x v="2"/>
    <x v="3"/>
    <n v="20000000"/>
    <n v="2"/>
    <d v="1899-12-30T00:06:30"/>
    <x v="0"/>
    <x v="4"/>
    <x v="7"/>
    <x v="1"/>
    <x v="2"/>
  </r>
  <r>
    <x v="0"/>
    <n v="1"/>
    <x v="0"/>
    <x v="3"/>
    <x v="4"/>
    <x v="2"/>
    <n v="12000000"/>
    <n v="1"/>
    <d v="1899-12-30T00:06:30"/>
    <x v="0"/>
    <x v="5"/>
    <x v="1"/>
    <x v="3"/>
    <x v="4"/>
  </r>
  <r>
    <x v="0"/>
    <n v="1"/>
    <x v="0"/>
    <x v="1"/>
    <x v="1"/>
    <x v="2"/>
    <n v="12000000"/>
    <n v="1"/>
    <d v="1899-12-30T00:06:30"/>
    <x v="0"/>
    <x v="4"/>
    <x v="6"/>
    <x v="1"/>
    <x v="1"/>
  </r>
  <r>
    <x v="0"/>
    <n v="1"/>
    <x v="0"/>
    <x v="2"/>
    <x v="2"/>
    <x v="4"/>
    <n v="25000000"/>
    <n v="2"/>
    <d v="1899-12-30T00:06:30"/>
    <x v="0"/>
    <x v="5"/>
    <x v="6"/>
    <x v="0"/>
    <x v="7"/>
  </r>
  <r>
    <x v="0"/>
    <n v="12"/>
    <x v="9"/>
    <x v="5"/>
    <x v="2"/>
    <x v="3"/>
    <n v="11000000"/>
    <n v="1"/>
    <d v="1899-12-30T00:06:30"/>
    <x v="2"/>
    <x v="1"/>
    <x v="2"/>
    <x v="1"/>
    <x v="1"/>
  </r>
  <r>
    <x v="1"/>
    <n v="19"/>
    <x v="7"/>
    <x v="0"/>
    <x v="1"/>
    <x v="5"/>
    <n v="0"/>
    <n v="3"/>
    <d v="1899-12-30T00:06:30"/>
    <x v="3"/>
    <x v="9"/>
    <x v="1"/>
    <x v="3"/>
    <x v="4"/>
  </r>
  <r>
    <x v="1"/>
    <n v="3"/>
    <x v="11"/>
    <x v="0"/>
    <x v="1"/>
    <x v="5"/>
    <n v="0"/>
    <n v="1"/>
    <d v="1899-12-30T00:06:30"/>
    <x v="3"/>
    <x v="9"/>
    <x v="6"/>
    <x v="1"/>
    <x v="2"/>
  </r>
  <r>
    <x v="1"/>
    <n v="23"/>
    <x v="2"/>
    <x v="3"/>
    <x v="1"/>
    <x v="5"/>
    <n v="0"/>
    <n v="3"/>
    <d v="1899-12-30T00:06:30"/>
    <x v="3"/>
    <x v="9"/>
    <x v="7"/>
    <x v="0"/>
    <x v="5"/>
  </r>
  <r>
    <x v="1"/>
    <n v="5"/>
    <x v="3"/>
    <x v="0"/>
    <x v="0"/>
    <x v="5"/>
    <n v="0"/>
    <n v="1"/>
    <d v="1899-12-30T00:06:30"/>
    <x v="3"/>
    <x v="9"/>
    <x v="2"/>
    <x v="0"/>
    <x v="9"/>
  </r>
  <r>
    <x v="1"/>
    <n v="10"/>
    <x v="3"/>
    <x v="4"/>
    <x v="1"/>
    <x v="5"/>
    <n v="0"/>
    <n v="6"/>
    <d v="1899-12-30T00:06:30"/>
    <x v="3"/>
    <x v="9"/>
    <x v="5"/>
    <x v="2"/>
    <x v="11"/>
  </r>
  <r>
    <x v="1"/>
    <n v="24"/>
    <x v="3"/>
    <x v="4"/>
    <x v="2"/>
    <x v="5"/>
    <n v="0"/>
    <n v="3"/>
    <d v="1899-12-30T00:06:30"/>
    <x v="3"/>
    <x v="9"/>
    <x v="1"/>
    <x v="3"/>
    <x v="13"/>
  </r>
  <r>
    <x v="1"/>
    <n v="29"/>
    <x v="10"/>
    <x v="3"/>
    <x v="2"/>
    <x v="5"/>
    <n v="0"/>
    <n v="3"/>
    <d v="1899-12-30T00:06:30"/>
    <x v="3"/>
    <x v="9"/>
    <x v="5"/>
    <x v="1"/>
    <x v="1"/>
  </r>
  <r>
    <x v="1"/>
    <n v="30"/>
    <x v="10"/>
    <x v="1"/>
    <x v="4"/>
    <x v="5"/>
    <n v="0"/>
    <n v="1"/>
    <d v="1899-12-30T00:06:30"/>
    <x v="3"/>
    <x v="9"/>
    <x v="1"/>
    <x v="0"/>
    <x v="0"/>
  </r>
  <r>
    <x v="1"/>
    <n v="21"/>
    <x v="10"/>
    <x v="0"/>
    <x v="1"/>
    <x v="5"/>
    <n v="0"/>
    <n v="2"/>
    <d v="1899-12-30T00:06:30"/>
    <x v="3"/>
    <x v="9"/>
    <x v="6"/>
    <x v="1"/>
    <x v="1"/>
  </r>
  <r>
    <x v="1"/>
    <n v="19"/>
    <x v="7"/>
    <x v="0"/>
    <x v="1"/>
    <x v="5"/>
    <n v="0"/>
    <n v="3"/>
    <d v="1899-12-30T00:06:30"/>
    <x v="3"/>
    <x v="9"/>
    <x v="1"/>
    <x v="3"/>
    <x v="4"/>
  </r>
  <r>
    <x v="1"/>
    <n v="3"/>
    <x v="11"/>
    <x v="0"/>
    <x v="1"/>
    <x v="5"/>
    <n v="0"/>
    <n v="1"/>
    <d v="1899-12-30T00:06:30"/>
    <x v="3"/>
    <x v="9"/>
    <x v="6"/>
    <x v="1"/>
    <x v="2"/>
  </r>
  <r>
    <x v="0"/>
    <n v="19"/>
    <x v="6"/>
    <x v="1"/>
    <x v="3"/>
    <x v="2"/>
    <n v="12000000"/>
    <n v="3"/>
    <d v="1899-12-30T00:07:10"/>
    <x v="0"/>
    <x v="1"/>
    <x v="6"/>
    <x v="1"/>
    <x v="6"/>
  </r>
  <r>
    <x v="0"/>
    <n v="22"/>
    <x v="2"/>
    <x v="5"/>
    <x v="0"/>
    <x v="3"/>
    <n v="15000000"/>
    <n v="2"/>
    <d v="1899-12-30T00:07:10"/>
    <x v="0"/>
    <x v="3"/>
    <x v="5"/>
    <x v="2"/>
    <x v="8"/>
  </r>
  <r>
    <x v="0"/>
    <n v="25"/>
    <x v="3"/>
    <x v="0"/>
    <x v="2"/>
    <x v="0"/>
    <n v="19000000"/>
    <n v="4"/>
    <d v="1899-12-30T00:07:10"/>
    <x v="1"/>
    <x v="8"/>
    <x v="2"/>
    <x v="3"/>
    <x v="4"/>
  </r>
  <r>
    <x v="0"/>
    <n v="31"/>
    <x v="3"/>
    <x v="0"/>
    <x v="0"/>
    <x v="1"/>
    <n v="11000000"/>
    <n v="1"/>
    <d v="1899-12-30T00:07:10"/>
    <x v="0"/>
    <x v="4"/>
    <x v="3"/>
    <x v="1"/>
    <x v="1"/>
  </r>
  <r>
    <x v="0"/>
    <n v="29"/>
    <x v="3"/>
    <x v="4"/>
    <x v="1"/>
    <x v="2"/>
    <n v="12000000"/>
    <n v="3"/>
    <d v="1899-12-30T00:07:10"/>
    <x v="0"/>
    <x v="4"/>
    <x v="4"/>
    <x v="1"/>
    <x v="1"/>
  </r>
  <r>
    <x v="0"/>
    <n v="2"/>
    <x v="4"/>
    <x v="4"/>
    <x v="4"/>
    <x v="2"/>
    <n v="38000000"/>
    <n v="1"/>
    <d v="1899-12-30T00:07:10"/>
    <x v="1"/>
    <x v="0"/>
    <x v="2"/>
    <x v="2"/>
    <x v="8"/>
  </r>
  <r>
    <x v="0"/>
    <n v="22"/>
    <x v="4"/>
    <x v="5"/>
    <x v="1"/>
    <x v="4"/>
    <n v="25000000"/>
    <n v="3"/>
    <d v="1899-12-30T00:07:10"/>
    <x v="0"/>
    <x v="7"/>
    <x v="6"/>
    <x v="1"/>
    <x v="6"/>
  </r>
  <r>
    <x v="0"/>
    <n v="29"/>
    <x v="10"/>
    <x v="0"/>
    <x v="1"/>
    <x v="0"/>
    <n v="7000000"/>
    <n v="1"/>
    <d v="1899-12-30T00:07:10"/>
    <x v="0"/>
    <x v="3"/>
    <x v="2"/>
    <x v="0"/>
    <x v="9"/>
  </r>
  <r>
    <x v="0"/>
    <n v="19"/>
    <x v="6"/>
    <x v="1"/>
    <x v="3"/>
    <x v="2"/>
    <n v="12000000"/>
    <n v="3"/>
    <d v="1899-12-30T00:07:10"/>
    <x v="0"/>
    <x v="1"/>
    <x v="6"/>
    <x v="1"/>
    <x v="6"/>
  </r>
  <r>
    <x v="1"/>
    <n v="28"/>
    <x v="2"/>
    <x v="3"/>
    <x v="2"/>
    <x v="5"/>
    <n v="0"/>
    <n v="1"/>
    <d v="1899-12-30T00:07:10"/>
    <x v="3"/>
    <x v="9"/>
    <x v="7"/>
    <x v="0"/>
    <x v="12"/>
  </r>
  <r>
    <x v="1"/>
    <n v="5"/>
    <x v="3"/>
    <x v="3"/>
    <x v="2"/>
    <x v="5"/>
    <n v="0"/>
    <n v="2"/>
    <d v="1899-12-30T00:07:10"/>
    <x v="3"/>
    <x v="9"/>
    <x v="0"/>
    <x v="0"/>
    <x v="7"/>
  </r>
  <r>
    <x v="1"/>
    <n v="29"/>
    <x v="3"/>
    <x v="2"/>
    <x v="3"/>
    <x v="5"/>
    <n v="0"/>
    <n v="5"/>
    <d v="1899-12-30T00:07:10"/>
    <x v="3"/>
    <x v="9"/>
    <x v="1"/>
    <x v="3"/>
    <x v="4"/>
  </r>
  <r>
    <x v="1"/>
    <n v="30"/>
    <x v="4"/>
    <x v="2"/>
    <x v="2"/>
    <x v="5"/>
    <n v="0"/>
    <n v="1"/>
    <d v="1899-12-30T00:07:10"/>
    <x v="3"/>
    <x v="9"/>
    <x v="3"/>
    <x v="0"/>
    <x v="12"/>
  </r>
  <r>
    <x v="1"/>
    <n v="15"/>
    <x v="4"/>
    <x v="4"/>
    <x v="2"/>
    <x v="5"/>
    <n v="0"/>
    <n v="4"/>
    <d v="1899-12-30T00:07:10"/>
    <x v="3"/>
    <x v="9"/>
    <x v="7"/>
    <x v="0"/>
    <x v="12"/>
  </r>
  <r>
    <x v="0"/>
    <n v="14"/>
    <x v="5"/>
    <x v="2"/>
    <x v="0"/>
    <x v="4"/>
    <n v="20000000"/>
    <n v="6"/>
    <d v="1899-12-30T00:07:14"/>
    <x v="0"/>
    <x v="5"/>
    <x v="3"/>
    <x v="0"/>
    <x v="7"/>
  </r>
  <r>
    <x v="0"/>
    <n v="11"/>
    <x v="6"/>
    <x v="0"/>
    <x v="1"/>
    <x v="0"/>
    <n v="19000000"/>
    <n v="3"/>
    <d v="1899-12-30T00:07:14"/>
    <x v="1"/>
    <x v="4"/>
    <x v="6"/>
    <x v="1"/>
    <x v="1"/>
  </r>
  <r>
    <x v="0"/>
    <n v="13"/>
    <x v="8"/>
    <x v="2"/>
    <x v="2"/>
    <x v="2"/>
    <n v="12000000"/>
    <n v="1"/>
    <d v="1899-12-30T00:07:14"/>
    <x v="0"/>
    <x v="4"/>
    <x v="7"/>
    <x v="1"/>
    <x v="1"/>
  </r>
  <r>
    <x v="0"/>
    <n v="28"/>
    <x v="1"/>
    <x v="2"/>
    <x v="2"/>
    <x v="2"/>
    <n v="38000000"/>
    <n v="5"/>
    <d v="1899-12-30T00:07:14"/>
    <x v="1"/>
    <x v="7"/>
    <x v="7"/>
    <x v="0"/>
    <x v="5"/>
  </r>
  <r>
    <x v="0"/>
    <n v="30"/>
    <x v="2"/>
    <x v="2"/>
    <x v="0"/>
    <x v="0"/>
    <n v="7000000"/>
    <n v="1"/>
    <d v="1899-12-30T00:07:14"/>
    <x v="0"/>
    <x v="3"/>
    <x v="2"/>
    <x v="2"/>
    <x v="8"/>
  </r>
  <r>
    <x v="0"/>
    <n v="20"/>
    <x v="2"/>
    <x v="2"/>
    <x v="0"/>
    <x v="2"/>
    <n v="12000000"/>
    <n v="2"/>
    <d v="1899-12-30T00:07:14"/>
    <x v="0"/>
    <x v="0"/>
    <x v="5"/>
    <x v="0"/>
    <x v="5"/>
  </r>
  <r>
    <x v="0"/>
    <n v="22"/>
    <x v="3"/>
    <x v="0"/>
    <x v="0"/>
    <x v="2"/>
    <n v="12000000"/>
    <n v="2"/>
    <d v="1899-12-30T00:07:14"/>
    <x v="0"/>
    <x v="2"/>
    <x v="1"/>
    <x v="1"/>
    <x v="6"/>
  </r>
  <r>
    <x v="0"/>
    <n v="17"/>
    <x v="4"/>
    <x v="3"/>
    <x v="3"/>
    <x v="1"/>
    <n v="15000000"/>
    <n v="2"/>
    <d v="1899-12-30T00:07:14"/>
    <x v="0"/>
    <x v="1"/>
    <x v="1"/>
    <x v="0"/>
    <x v="12"/>
  </r>
  <r>
    <x v="0"/>
    <n v="20"/>
    <x v="4"/>
    <x v="3"/>
    <x v="2"/>
    <x v="1"/>
    <n v="11000000"/>
    <n v="2"/>
    <d v="1899-12-30T00:07:14"/>
    <x v="0"/>
    <x v="4"/>
    <x v="2"/>
    <x v="1"/>
    <x v="1"/>
  </r>
  <r>
    <x v="0"/>
    <n v="22"/>
    <x v="4"/>
    <x v="0"/>
    <x v="4"/>
    <x v="4"/>
    <n v="25000000"/>
    <n v="4"/>
    <d v="1899-12-30T00:07:14"/>
    <x v="0"/>
    <x v="1"/>
    <x v="0"/>
    <x v="1"/>
    <x v="6"/>
  </r>
  <r>
    <x v="0"/>
    <n v="3"/>
    <x v="4"/>
    <x v="2"/>
    <x v="0"/>
    <x v="3"/>
    <n v="15000000"/>
    <n v="3"/>
    <d v="1899-12-30T00:07:14"/>
    <x v="0"/>
    <x v="8"/>
    <x v="7"/>
    <x v="0"/>
    <x v="5"/>
  </r>
  <r>
    <x v="0"/>
    <n v="14"/>
    <x v="5"/>
    <x v="2"/>
    <x v="0"/>
    <x v="4"/>
    <n v="20000000"/>
    <n v="6"/>
    <d v="1899-12-30T00:07:14"/>
    <x v="0"/>
    <x v="5"/>
    <x v="3"/>
    <x v="0"/>
    <x v="7"/>
  </r>
  <r>
    <x v="0"/>
    <n v="11"/>
    <x v="6"/>
    <x v="0"/>
    <x v="1"/>
    <x v="0"/>
    <n v="19000000"/>
    <n v="3"/>
    <d v="1899-12-30T00:07:14"/>
    <x v="1"/>
    <x v="4"/>
    <x v="6"/>
    <x v="1"/>
    <x v="1"/>
  </r>
  <r>
    <x v="0"/>
    <n v="13"/>
    <x v="8"/>
    <x v="2"/>
    <x v="2"/>
    <x v="2"/>
    <n v="12000000"/>
    <n v="1"/>
    <d v="1899-12-30T00:07:14"/>
    <x v="0"/>
    <x v="4"/>
    <x v="7"/>
    <x v="1"/>
    <x v="1"/>
  </r>
  <r>
    <x v="0"/>
    <n v="28"/>
    <x v="1"/>
    <x v="2"/>
    <x v="2"/>
    <x v="2"/>
    <n v="38000000"/>
    <n v="5"/>
    <d v="1899-12-30T00:07:14"/>
    <x v="1"/>
    <x v="7"/>
    <x v="7"/>
    <x v="0"/>
    <x v="5"/>
  </r>
  <r>
    <x v="1"/>
    <n v="13"/>
    <x v="7"/>
    <x v="4"/>
    <x v="2"/>
    <x v="5"/>
    <n v="0"/>
    <n v="2"/>
    <d v="1899-12-30T00:07:14"/>
    <x v="3"/>
    <x v="9"/>
    <x v="6"/>
    <x v="2"/>
    <x v="11"/>
  </r>
  <r>
    <x v="1"/>
    <n v="11"/>
    <x v="4"/>
    <x v="2"/>
    <x v="1"/>
    <x v="5"/>
    <n v="0"/>
    <n v="2"/>
    <d v="1899-12-30T00:07:14"/>
    <x v="3"/>
    <x v="9"/>
    <x v="3"/>
    <x v="3"/>
    <x v="4"/>
  </r>
  <r>
    <x v="1"/>
    <n v="13"/>
    <x v="7"/>
    <x v="4"/>
    <x v="2"/>
    <x v="5"/>
    <n v="0"/>
    <n v="2"/>
    <d v="1899-12-30T00:07:14"/>
    <x v="3"/>
    <x v="9"/>
    <x v="6"/>
    <x v="2"/>
    <x v="11"/>
  </r>
  <r>
    <x v="0"/>
    <n v="11"/>
    <x v="5"/>
    <x v="0"/>
    <x v="2"/>
    <x v="2"/>
    <n v="38000000"/>
    <n v="4"/>
    <d v="1899-12-30T00:07:30"/>
    <x v="1"/>
    <x v="5"/>
    <x v="7"/>
    <x v="3"/>
    <x v="13"/>
  </r>
  <r>
    <x v="0"/>
    <n v="6"/>
    <x v="5"/>
    <x v="2"/>
    <x v="2"/>
    <x v="4"/>
    <n v="20000000"/>
    <n v="3"/>
    <d v="1899-12-30T00:07:30"/>
    <x v="0"/>
    <x v="2"/>
    <x v="1"/>
    <x v="1"/>
    <x v="1"/>
  </r>
  <r>
    <x v="0"/>
    <n v="1"/>
    <x v="0"/>
    <x v="0"/>
    <x v="3"/>
    <x v="2"/>
    <n v="12000000"/>
    <n v="1"/>
    <d v="1899-12-30T00:07:30"/>
    <x v="0"/>
    <x v="0"/>
    <x v="1"/>
    <x v="2"/>
    <x v="11"/>
  </r>
  <r>
    <x v="0"/>
    <n v="10"/>
    <x v="8"/>
    <x v="3"/>
    <x v="0"/>
    <x v="2"/>
    <n v="38000000"/>
    <n v="2"/>
    <d v="1899-12-30T00:07:30"/>
    <x v="4"/>
    <x v="5"/>
    <x v="5"/>
    <x v="1"/>
    <x v="6"/>
  </r>
  <r>
    <x v="0"/>
    <n v="1"/>
    <x v="8"/>
    <x v="5"/>
    <x v="2"/>
    <x v="1"/>
    <n v="15000000"/>
    <n v="1"/>
    <d v="1899-12-30T00:07:30"/>
    <x v="0"/>
    <x v="7"/>
    <x v="5"/>
    <x v="0"/>
    <x v="9"/>
  </r>
  <r>
    <x v="0"/>
    <n v="30"/>
    <x v="2"/>
    <x v="2"/>
    <x v="2"/>
    <x v="0"/>
    <n v="7000000"/>
    <n v="2"/>
    <d v="1899-12-30T00:07:30"/>
    <x v="0"/>
    <x v="2"/>
    <x v="5"/>
    <x v="0"/>
    <x v="10"/>
  </r>
  <r>
    <x v="0"/>
    <n v="27"/>
    <x v="2"/>
    <x v="0"/>
    <x v="1"/>
    <x v="0"/>
    <n v="7000000"/>
    <n v="1"/>
    <d v="1899-12-30T00:07:30"/>
    <x v="0"/>
    <x v="6"/>
    <x v="7"/>
    <x v="3"/>
    <x v="13"/>
  </r>
  <r>
    <x v="0"/>
    <n v="15"/>
    <x v="3"/>
    <x v="2"/>
    <x v="0"/>
    <x v="0"/>
    <n v="19000000"/>
    <n v="2"/>
    <d v="1899-12-30T00:07:30"/>
    <x v="1"/>
    <x v="0"/>
    <x v="2"/>
    <x v="2"/>
    <x v="11"/>
  </r>
  <r>
    <x v="0"/>
    <n v="5"/>
    <x v="3"/>
    <x v="0"/>
    <x v="2"/>
    <x v="3"/>
    <n v="15000000"/>
    <n v="6"/>
    <d v="1899-12-30T00:07:30"/>
    <x v="0"/>
    <x v="6"/>
    <x v="2"/>
    <x v="3"/>
    <x v="4"/>
  </r>
  <r>
    <x v="0"/>
    <n v="6"/>
    <x v="3"/>
    <x v="4"/>
    <x v="1"/>
    <x v="4"/>
    <n v="20000000"/>
    <n v="6"/>
    <d v="1899-12-30T00:07:30"/>
    <x v="0"/>
    <x v="2"/>
    <x v="2"/>
    <x v="0"/>
    <x v="9"/>
  </r>
  <r>
    <x v="0"/>
    <n v="12"/>
    <x v="3"/>
    <x v="5"/>
    <x v="0"/>
    <x v="2"/>
    <n v="12000000"/>
    <n v="2"/>
    <d v="1899-12-30T00:07:30"/>
    <x v="0"/>
    <x v="0"/>
    <x v="4"/>
    <x v="2"/>
    <x v="8"/>
  </r>
  <r>
    <x v="0"/>
    <n v="28"/>
    <x v="3"/>
    <x v="1"/>
    <x v="1"/>
    <x v="2"/>
    <n v="12000000"/>
    <n v="2"/>
    <d v="1899-12-30T00:07:30"/>
    <x v="0"/>
    <x v="0"/>
    <x v="0"/>
    <x v="0"/>
    <x v="0"/>
  </r>
  <r>
    <x v="0"/>
    <n v="8"/>
    <x v="3"/>
    <x v="0"/>
    <x v="1"/>
    <x v="2"/>
    <n v="12000000"/>
    <n v="3"/>
    <d v="1899-12-30T00:07:30"/>
    <x v="0"/>
    <x v="2"/>
    <x v="3"/>
    <x v="1"/>
    <x v="15"/>
  </r>
  <r>
    <x v="0"/>
    <n v="7"/>
    <x v="3"/>
    <x v="3"/>
    <x v="2"/>
    <x v="2"/>
    <n v="12000000"/>
    <n v="3"/>
    <d v="1899-12-30T00:07:30"/>
    <x v="0"/>
    <x v="7"/>
    <x v="4"/>
    <x v="0"/>
    <x v="10"/>
  </r>
  <r>
    <x v="0"/>
    <n v="9"/>
    <x v="3"/>
    <x v="4"/>
    <x v="2"/>
    <x v="1"/>
    <n v="15000000"/>
    <n v="1"/>
    <d v="1899-12-30T00:07:30"/>
    <x v="0"/>
    <x v="2"/>
    <x v="6"/>
    <x v="3"/>
    <x v="4"/>
  </r>
  <r>
    <x v="0"/>
    <n v="16"/>
    <x v="4"/>
    <x v="1"/>
    <x v="1"/>
    <x v="0"/>
    <n v="19000000"/>
    <n v="1"/>
    <d v="1899-12-30T00:07:30"/>
    <x v="1"/>
    <x v="0"/>
    <x v="3"/>
    <x v="1"/>
    <x v="2"/>
  </r>
  <r>
    <x v="0"/>
    <n v="22"/>
    <x v="4"/>
    <x v="1"/>
    <x v="1"/>
    <x v="1"/>
    <n v="11000000"/>
    <n v="3"/>
    <d v="1899-12-30T00:07:30"/>
    <x v="0"/>
    <x v="0"/>
    <x v="2"/>
    <x v="2"/>
    <x v="11"/>
  </r>
  <r>
    <x v="0"/>
    <n v="5"/>
    <x v="4"/>
    <x v="0"/>
    <x v="2"/>
    <x v="1"/>
    <n v="15000000"/>
    <n v="2"/>
    <d v="1899-12-30T00:07:30"/>
    <x v="0"/>
    <x v="8"/>
    <x v="4"/>
    <x v="3"/>
    <x v="13"/>
  </r>
  <r>
    <x v="0"/>
    <n v="29"/>
    <x v="4"/>
    <x v="3"/>
    <x v="2"/>
    <x v="1"/>
    <n v="15000000"/>
    <n v="4"/>
    <d v="1899-12-30T00:07:30"/>
    <x v="0"/>
    <x v="0"/>
    <x v="1"/>
    <x v="0"/>
    <x v="10"/>
  </r>
  <r>
    <x v="0"/>
    <n v="12"/>
    <x v="4"/>
    <x v="0"/>
    <x v="3"/>
    <x v="3"/>
    <n v="15000000"/>
    <n v="2"/>
    <d v="1899-12-30T00:07:30"/>
    <x v="0"/>
    <x v="0"/>
    <x v="6"/>
    <x v="0"/>
    <x v="5"/>
  </r>
  <r>
    <x v="0"/>
    <n v="11"/>
    <x v="5"/>
    <x v="0"/>
    <x v="2"/>
    <x v="2"/>
    <n v="38000000"/>
    <n v="4"/>
    <d v="1899-12-30T00:07:30"/>
    <x v="1"/>
    <x v="5"/>
    <x v="7"/>
    <x v="3"/>
    <x v="13"/>
  </r>
  <r>
    <x v="0"/>
    <n v="6"/>
    <x v="5"/>
    <x v="2"/>
    <x v="2"/>
    <x v="4"/>
    <n v="20000000"/>
    <n v="3"/>
    <d v="1899-12-30T00:07:30"/>
    <x v="0"/>
    <x v="2"/>
    <x v="1"/>
    <x v="1"/>
    <x v="1"/>
  </r>
  <r>
    <x v="0"/>
    <n v="1"/>
    <x v="0"/>
    <x v="0"/>
    <x v="3"/>
    <x v="2"/>
    <n v="12000000"/>
    <n v="1"/>
    <d v="1899-12-30T00:07:30"/>
    <x v="0"/>
    <x v="0"/>
    <x v="1"/>
    <x v="2"/>
    <x v="11"/>
  </r>
  <r>
    <x v="0"/>
    <n v="10"/>
    <x v="8"/>
    <x v="3"/>
    <x v="0"/>
    <x v="2"/>
    <n v="38000000"/>
    <n v="2"/>
    <d v="1899-12-30T00:07:30"/>
    <x v="4"/>
    <x v="5"/>
    <x v="5"/>
    <x v="1"/>
    <x v="6"/>
  </r>
  <r>
    <x v="0"/>
    <n v="1"/>
    <x v="8"/>
    <x v="5"/>
    <x v="2"/>
    <x v="1"/>
    <n v="15000000"/>
    <n v="1"/>
    <d v="1899-12-30T00:07:30"/>
    <x v="0"/>
    <x v="7"/>
    <x v="5"/>
    <x v="0"/>
    <x v="9"/>
  </r>
  <r>
    <x v="1"/>
    <n v="7"/>
    <x v="11"/>
    <x v="1"/>
    <x v="0"/>
    <x v="5"/>
    <n v="0"/>
    <n v="3"/>
    <d v="1899-12-30T00:07:30"/>
    <x v="3"/>
    <x v="9"/>
    <x v="7"/>
    <x v="2"/>
    <x v="11"/>
  </r>
  <r>
    <x v="1"/>
    <n v="12"/>
    <x v="1"/>
    <x v="4"/>
    <x v="1"/>
    <x v="5"/>
    <n v="0"/>
    <n v="2"/>
    <d v="1899-12-30T00:07:30"/>
    <x v="3"/>
    <x v="9"/>
    <x v="2"/>
    <x v="1"/>
    <x v="2"/>
  </r>
  <r>
    <x v="1"/>
    <n v="1"/>
    <x v="2"/>
    <x v="2"/>
    <x v="2"/>
    <x v="5"/>
    <n v="0"/>
    <n v="4"/>
    <d v="1899-12-30T00:07:30"/>
    <x v="3"/>
    <x v="9"/>
    <x v="2"/>
    <x v="0"/>
    <x v="10"/>
  </r>
  <r>
    <x v="1"/>
    <n v="29"/>
    <x v="2"/>
    <x v="3"/>
    <x v="2"/>
    <x v="5"/>
    <n v="0"/>
    <n v="2"/>
    <d v="1899-12-30T00:07:30"/>
    <x v="3"/>
    <x v="9"/>
    <x v="4"/>
    <x v="1"/>
    <x v="6"/>
  </r>
  <r>
    <x v="1"/>
    <n v="26"/>
    <x v="3"/>
    <x v="3"/>
    <x v="0"/>
    <x v="5"/>
    <n v="0"/>
    <n v="3"/>
    <d v="1899-12-30T00:07:30"/>
    <x v="3"/>
    <x v="9"/>
    <x v="2"/>
    <x v="0"/>
    <x v="5"/>
  </r>
  <r>
    <x v="1"/>
    <n v="30"/>
    <x v="10"/>
    <x v="4"/>
    <x v="0"/>
    <x v="5"/>
    <n v="0"/>
    <n v="7"/>
    <d v="1899-12-30T00:07:30"/>
    <x v="3"/>
    <x v="9"/>
    <x v="5"/>
    <x v="1"/>
    <x v="6"/>
  </r>
  <r>
    <x v="1"/>
    <n v="7"/>
    <x v="11"/>
    <x v="1"/>
    <x v="0"/>
    <x v="5"/>
    <n v="0"/>
    <n v="3"/>
    <d v="1899-12-30T00:07:30"/>
    <x v="3"/>
    <x v="9"/>
    <x v="7"/>
    <x v="2"/>
    <x v="11"/>
  </r>
  <r>
    <x v="0"/>
    <n v="16"/>
    <x v="6"/>
    <x v="3"/>
    <x v="1"/>
    <x v="1"/>
    <n v="11000000"/>
    <n v="3"/>
    <d v="1899-12-30T00:08:00"/>
    <x v="0"/>
    <x v="1"/>
    <x v="2"/>
    <x v="0"/>
    <x v="5"/>
  </r>
  <r>
    <x v="0"/>
    <n v="13"/>
    <x v="2"/>
    <x v="5"/>
    <x v="1"/>
    <x v="2"/>
    <n v="10000000"/>
    <n v="2"/>
    <d v="1899-12-30T00:08:00"/>
    <x v="0"/>
    <x v="0"/>
    <x v="3"/>
    <x v="0"/>
    <x v="5"/>
  </r>
  <r>
    <x v="0"/>
    <n v="16"/>
    <x v="2"/>
    <x v="0"/>
    <x v="2"/>
    <x v="2"/>
    <n v="12000000"/>
    <n v="2"/>
    <d v="1899-12-30T00:08:00"/>
    <x v="0"/>
    <x v="4"/>
    <x v="7"/>
    <x v="1"/>
    <x v="1"/>
  </r>
  <r>
    <x v="0"/>
    <n v="26"/>
    <x v="3"/>
    <x v="2"/>
    <x v="2"/>
    <x v="2"/>
    <n v="38000000"/>
    <n v="5"/>
    <d v="1899-12-30T00:08:00"/>
    <x v="1"/>
    <x v="2"/>
    <x v="6"/>
    <x v="1"/>
    <x v="2"/>
  </r>
  <r>
    <x v="0"/>
    <n v="9"/>
    <x v="3"/>
    <x v="1"/>
    <x v="2"/>
    <x v="3"/>
    <n v="20000000"/>
    <n v="1"/>
    <d v="1899-12-30T00:08:00"/>
    <x v="2"/>
    <x v="2"/>
    <x v="5"/>
    <x v="1"/>
    <x v="14"/>
  </r>
  <r>
    <x v="0"/>
    <n v="28"/>
    <x v="3"/>
    <x v="1"/>
    <x v="2"/>
    <x v="0"/>
    <n v="7000000"/>
    <n v="2"/>
    <d v="1899-12-30T00:08:00"/>
    <x v="0"/>
    <x v="2"/>
    <x v="6"/>
    <x v="1"/>
    <x v="6"/>
  </r>
  <r>
    <x v="0"/>
    <n v="30"/>
    <x v="3"/>
    <x v="2"/>
    <x v="0"/>
    <x v="1"/>
    <n v="15000000"/>
    <n v="4"/>
    <d v="1899-12-30T00:08:00"/>
    <x v="0"/>
    <x v="1"/>
    <x v="3"/>
    <x v="0"/>
    <x v="10"/>
  </r>
  <r>
    <x v="0"/>
    <n v="5"/>
    <x v="4"/>
    <x v="1"/>
    <x v="0"/>
    <x v="4"/>
    <n v="25000000"/>
    <n v="2"/>
    <d v="1899-12-30T00:08:00"/>
    <x v="0"/>
    <x v="0"/>
    <x v="1"/>
    <x v="3"/>
    <x v="4"/>
  </r>
  <r>
    <x v="0"/>
    <n v="16"/>
    <x v="6"/>
    <x v="3"/>
    <x v="1"/>
    <x v="1"/>
    <n v="11000000"/>
    <n v="3"/>
    <d v="1899-12-30T00:08:00"/>
    <x v="0"/>
    <x v="1"/>
    <x v="2"/>
    <x v="0"/>
    <x v="5"/>
  </r>
  <r>
    <x v="1"/>
    <n v="12"/>
    <x v="2"/>
    <x v="2"/>
    <x v="2"/>
    <x v="5"/>
    <n v="0"/>
    <n v="3"/>
    <d v="1899-12-30T00:08:00"/>
    <x v="3"/>
    <x v="9"/>
    <x v="2"/>
    <x v="3"/>
    <x v="13"/>
  </r>
  <r>
    <x v="1"/>
    <n v="1"/>
    <x v="3"/>
    <x v="4"/>
    <x v="2"/>
    <x v="5"/>
    <n v="0"/>
    <n v="1"/>
    <d v="1899-12-30T00:08:00"/>
    <x v="3"/>
    <x v="9"/>
    <x v="2"/>
    <x v="3"/>
    <x v="13"/>
  </r>
  <r>
    <x v="1"/>
    <n v="5"/>
    <x v="3"/>
    <x v="4"/>
    <x v="3"/>
    <x v="5"/>
    <n v="0"/>
    <n v="4"/>
    <d v="1899-12-30T00:08:00"/>
    <x v="3"/>
    <x v="9"/>
    <x v="5"/>
    <x v="2"/>
    <x v="11"/>
  </r>
  <r>
    <x v="1"/>
    <n v="27"/>
    <x v="4"/>
    <x v="0"/>
    <x v="0"/>
    <x v="5"/>
    <n v="0"/>
    <n v="1"/>
    <d v="1899-12-30T00:08:00"/>
    <x v="3"/>
    <x v="9"/>
    <x v="2"/>
    <x v="1"/>
    <x v="6"/>
  </r>
  <r>
    <x v="1"/>
    <n v="16"/>
    <x v="4"/>
    <x v="0"/>
    <x v="0"/>
    <x v="5"/>
    <n v="0"/>
    <n v="1"/>
    <d v="1899-12-30T00:08:00"/>
    <x v="3"/>
    <x v="9"/>
    <x v="4"/>
    <x v="0"/>
    <x v="0"/>
  </r>
  <r>
    <x v="0"/>
    <n v="11"/>
    <x v="6"/>
    <x v="2"/>
    <x v="2"/>
    <x v="3"/>
    <n v="20000000"/>
    <n v="1"/>
    <d v="1899-12-30T00:08:10"/>
    <x v="0"/>
    <x v="7"/>
    <x v="0"/>
    <x v="0"/>
    <x v="9"/>
  </r>
  <r>
    <x v="0"/>
    <n v="1"/>
    <x v="8"/>
    <x v="3"/>
    <x v="1"/>
    <x v="2"/>
    <n v="12000000"/>
    <n v="5"/>
    <d v="1899-12-30T00:08:10"/>
    <x v="0"/>
    <x v="3"/>
    <x v="4"/>
    <x v="3"/>
    <x v="4"/>
  </r>
  <r>
    <x v="0"/>
    <n v="10"/>
    <x v="2"/>
    <x v="3"/>
    <x v="2"/>
    <x v="2"/>
    <n v="38000000"/>
    <n v="2"/>
    <d v="1899-12-30T00:08:10"/>
    <x v="4"/>
    <x v="5"/>
    <x v="6"/>
    <x v="0"/>
    <x v="10"/>
  </r>
  <r>
    <x v="0"/>
    <n v="11"/>
    <x v="2"/>
    <x v="0"/>
    <x v="1"/>
    <x v="2"/>
    <n v="12000000"/>
    <n v="4"/>
    <d v="1899-12-30T00:08:10"/>
    <x v="0"/>
    <x v="4"/>
    <x v="2"/>
    <x v="1"/>
    <x v="2"/>
  </r>
  <r>
    <x v="0"/>
    <n v="12"/>
    <x v="2"/>
    <x v="3"/>
    <x v="0"/>
    <x v="1"/>
    <n v="15000000"/>
    <n v="4"/>
    <d v="1899-12-30T00:08:10"/>
    <x v="0"/>
    <x v="1"/>
    <x v="2"/>
    <x v="1"/>
    <x v="2"/>
  </r>
  <r>
    <x v="0"/>
    <n v="27"/>
    <x v="3"/>
    <x v="2"/>
    <x v="3"/>
    <x v="0"/>
    <n v="19000000"/>
    <n v="1"/>
    <d v="1899-12-30T00:08:10"/>
    <x v="1"/>
    <x v="0"/>
    <x v="3"/>
    <x v="0"/>
    <x v="5"/>
  </r>
  <r>
    <x v="0"/>
    <n v="30"/>
    <x v="3"/>
    <x v="3"/>
    <x v="2"/>
    <x v="3"/>
    <n v="11000000"/>
    <n v="3"/>
    <d v="1899-12-30T00:08:10"/>
    <x v="2"/>
    <x v="4"/>
    <x v="5"/>
    <x v="1"/>
    <x v="1"/>
  </r>
  <r>
    <x v="0"/>
    <n v="27"/>
    <x v="3"/>
    <x v="1"/>
    <x v="0"/>
    <x v="4"/>
    <n v="25000000"/>
    <n v="2"/>
    <d v="1899-12-30T00:08:10"/>
    <x v="0"/>
    <x v="4"/>
    <x v="4"/>
    <x v="1"/>
    <x v="6"/>
  </r>
  <r>
    <x v="0"/>
    <n v="9"/>
    <x v="3"/>
    <x v="0"/>
    <x v="2"/>
    <x v="1"/>
    <n v="15000000"/>
    <n v="4"/>
    <d v="1899-12-30T00:08:10"/>
    <x v="0"/>
    <x v="7"/>
    <x v="3"/>
    <x v="3"/>
    <x v="13"/>
  </r>
  <r>
    <x v="0"/>
    <n v="22"/>
    <x v="4"/>
    <x v="5"/>
    <x v="2"/>
    <x v="1"/>
    <n v="15000000"/>
    <n v="1"/>
    <d v="1899-12-30T00:08:10"/>
    <x v="0"/>
    <x v="2"/>
    <x v="6"/>
    <x v="3"/>
    <x v="4"/>
  </r>
  <r>
    <x v="0"/>
    <n v="23"/>
    <x v="10"/>
    <x v="3"/>
    <x v="2"/>
    <x v="4"/>
    <n v="21000000"/>
    <n v="1"/>
    <d v="1899-12-30T00:08:10"/>
    <x v="0"/>
    <x v="8"/>
    <x v="1"/>
    <x v="0"/>
    <x v="5"/>
  </r>
  <r>
    <x v="0"/>
    <n v="11"/>
    <x v="6"/>
    <x v="2"/>
    <x v="2"/>
    <x v="3"/>
    <n v="20000000"/>
    <n v="1"/>
    <d v="1899-12-30T00:08:10"/>
    <x v="0"/>
    <x v="7"/>
    <x v="0"/>
    <x v="0"/>
    <x v="9"/>
  </r>
  <r>
    <x v="0"/>
    <n v="1"/>
    <x v="8"/>
    <x v="3"/>
    <x v="1"/>
    <x v="2"/>
    <n v="12000000"/>
    <n v="5"/>
    <d v="1899-12-30T00:08:10"/>
    <x v="0"/>
    <x v="3"/>
    <x v="4"/>
    <x v="3"/>
    <x v="4"/>
  </r>
  <r>
    <x v="1"/>
    <n v="18"/>
    <x v="7"/>
    <x v="0"/>
    <x v="2"/>
    <x v="5"/>
    <n v="0"/>
    <n v="1"/>
    <d v="1899-12-30T00:08:10"/>
    <x v="3"/>
    <x v="9"/>
    <x v="0"/>
    <x v="1"/>
    <x v="2"/>
  </r>
  <r>
    <x v="1"/>
    <n v="2"/>
    <x v="11"/>
    <x v="0"/>
    <x v="1"/>
    <x v="5"/>
    <n v="0"/>
    <n v="4"/>
    <d v="1899-12-30T00:08:10"/>
    <x v="3"/>
    <x v="9"/>
    <x v="7"/>
    <x v="2"/>
    <x v="8"/>
  </r>
  <r>
    <x v="1"/>
    <n v="18"/>
    <x v="7"/>
    <x v="0"/>
    <x v="2"/>
    <x v="5"/>
    <n v="0"/>
    <n v="1"/>
    <d v="1899-12-30T00:08:10"/>
    <x v="3"/>
    <x v="9"/>
    <x v="0"/>
    <x v="1"/>
    <x v="2"/>
  </r>
  <r>
    <x v="1"/>
    <n v="2"/>
    <x v="11"/>
    <x v="0"/>
    <x v="1"/>
    <x v="5"/>
    <n v="0"/>
    <n v="4"/>
    <d v="1899-12-30T00:08:10"/>
    <x v="3"/>
    <x v="9"/>
    <x v="7"/>
    <x v="2"/>
    <x v="8"/>
  </r>
  <r>
    <x v="0"/>
    <n v="13"/>
    <x v="5"/>
    <x v="0"/>
    <x v="2"/>
    <x v="3"/>
    <n v="15000000"/>
    <n v="5"/>
    <d v="1899-12-30T00:08:12"/>
    <x v="0"/>
    <x v="3"/>
    <x v="6"/>
    <x v="1"/>
    <x v="6"/>
  </r>
  <r>
    <x v="0"/>
    <n v="11"/>
    <x v="6"/>
    <x v="1"/>
    <x v="0"/>
    <x v="2"/>
    <n v="38000000"/>
    <n v="2"/>
    <d v="1899-12-30T00:08:12"/>
    <x v="1"/>
    <x v="0"/>
    <x v="1"/>
    <x v="0"/>
    <x v="9"/>
  </r>
  <r>
    <x v="0"/>
    <n v="12"/>
    <x v="8"/>
    <x v="0"/>
    <x v="2"/>
    <x v="0"/>
    <n v="7000000"/>
    <n v="1"/>
    <d v="1899-12-30T00:08:12"/>
    <x v="0"/>
    <x v="4"/>
    <x v="0"/>
    <x v="2"/>
    <x v="11"/>
  </r>
  <r>
    <x v="0"/>
    <n v="27"/>
    <x v="1"/>
    <x v="2"/>
    <x v="4"/>
    <x v="4"/>
    <n v="25000000"/>
    <n v="4"/>
    <d v="1899-12-30T00:08:12"/>
    <x v="0"/>
    <x v="7"/>
    <x v="7"/>
    <x v="0"/>
    <x v="10"/>
  </r>
  <r>
    <x v="0"/>
    <n v="30"/>
    <x v="2"/>
    <x v="2"/>
    <x v="2"/>
    <x v="0"/>
    <n v="19000000"/>
    <n v="5"/>
    <d v="1899-12-30T00:08:12"/>
    <x v="1"/>
    <x v="7"/>
    <x v="4"/>
    <x v="0"/>
    <x v="10"/>
  </r>
  <r>
    <x v="0"/>
    <n v="19"/>
    <x v="2"/>
    <x v="2"/>
    <x v="4"/>
    <x v="4"/>
    <n v="20000000"/>
    <n v="5"/>
    <d v="1899-12-30T00:08:12"/>
    <x v="0"/>
    <x v="4"/>
    <x v="3"/>
    <x v="0"/>
    <x v="7"/>
  </r>
  <r>
    <x v="0"/>
    <n v="12"/>
    <x v="2"/>
    <x v="0"/>
    <x v="2"/>
    <x v="1"/>
    <n v="11000000"/>
    <n v="5"/>
    <d v="1899-12-30T00:08:12"/>
    <x v="0"/>
    <x v="8"/>
    <x v="1"/>
    <x v="3"/>
    <x v="13"/>
  </r>
  <r>
    <x v="0"/>
    <n v="21"/>
    <x v="3"/>
    <x v="0"/>
    <x v="1"/>
    <x v="2"/>
    <n v="12000000"/>
    <n v="1"/>
    <d v="1899-12-30T00:08:12"/>
    <x v="0"/>
    <x v="5"/>
    <x v="0"/>
    <x v="1"/>
    <x v="14"/>
  </r>
  <r>
    <x v="0"/>
    <n v="17"/>
    <x v="4"/>
    <x v="3"/>
    <x v="2"/>
    <x v="2"/>
    <n v="12000000"/>
    <n v="4"/>
    <d v="1899-12-30T00:08:12"/>
    <x v="0"/>
    <x v="8"/>
    <x v="0"/>
    <x v="3"/>
    <x v="4"/>
  </r>
  <r>
    <x v="0"/>
    <n v="15"/>
    <x v="10"/>
    <x v="1"/>
    <x v="4"/>
    <x v="3"/>
    <n v="20000000"/>
    <n v="2"/>
    <d v="1899-12-30T00:08:12"/>
    <x v="2"/>
    <x v="2"/>
    <x v="5"/>
    <x v="1"/>
    <x v="6"/>
  </r>
  <r>
    <x v="0"/>
    <n v="1"/>
    <x v="10"/>
    <x v="3"/>
    <x v="2"/>
    <x v="1"/>
    <n v="12000000"/>
    <n v="4"/>
    <d v="1899-12-30T00:08:12"/>
    <x v="0"/>
    <x v="0"/>
    <x v="5"/>
    <x v="2"/>
    <x v="8"/>
  </r>
  <r>
    <x v="0"/>
    <n v="13"/>
    <x v="5"/>
    <x v="0"/>
    <x v="2"/>
    <x v="3"/>
    <n v="15000000"/>
    <n v="5"/>
    <d v="1899-12-30T00:08:12"/>
    <x v="0"/>
    <x v="3"/>
    <x v="6"/>
    <x v="1"/>
    <x v="6"/>
  </r>
  <r>
    <x v="0"/>
    <n v="11"/>
    <x v="6"/>
    <x v="1"/>
    <x v="0"/>
    <x v="2"/>
    <n v="38000000"/>
    <n v="2"/>
    <d v="1899-12-30T00:08:12"/>
    <x v="1"/>
    <x v="0"/>
    <x v="1"/>
    <x v="0"/>
    <x v="9"/>
  </r>
  <r>
    <x v="0"/>
    <n v="12"/>
    <x v="8"/>
    <x v="0"/>
    <x v="2"/>
    <x v="0"/>
    <n v="7000000"/>
    <n v="1"/>
    <d v="1899-12-30T00:08:12"/>
    <x v="0"/>
    <x v="4"/>
    <x v="0"/>
    <x v="2"/>
    <x v="11"/>
  </r>
  <r>
    <x v="0"/>
    <n v="27"/>
    <x v="1"/>
    <x v="2"/>
    <x v="4"/>
    <x v="4"/>
    <n v="25000000"/>
    <n v="4"/>
    <d v="1899-12-30T00:08:12"/>
    <x v="0"/>
    <x v="7"/>
    <x v="7"/>
    <x v="0"/>
    <x v="10"/>
  </r>
  <r>
    <x v="1"/>
    <n v="12"/>
    <x v="7"/>
    <x v="4"/>
    <x v="1"/>
    <x v="5"/>
    <n v="0"/>
    <n v="3"/>
    <d v="1899-12-30T00:08:12"/>
    <x v="3"/>
    <x v="9"/>
    <x v="7"/>
    <x v="2"/>
    <x v="8"/>
  </r>
  <r>
    <x v="1"/>
    <n v="25"/>
    <x v="4"/>
    <x v="0"/>
    <x v="2"/>
    <x v="5"/>
    <n v="0"/>
    <n v="1"/>
    <d v="1899-12-30T00:08:12"/>
    <x v="3"/>
    <x v="9"/>
    <x v="6"/>
    <x v="3"/>
    <x v="13"/>
  </r>
  <r>
    <x v="1"/>
    <n v="12"/>
    <x v="7"/>
    <x v="4"/>
    <x v="1"/>
    <x v="5"/>
    <n v="0"/>
    <n v="3"/>
    <d v="1899-12-30T00:08:12"/>
    <x v="3"/>
    <x v="9"/>
    <x v="7"/>
    <x v="2"/>
    <x v="8"/>
  </r>
  <r>
    <x v="0"/>
    <n v="12"/>
    <x v="1"/>
    <x v="0"/>
    <x v="2"/>
    <x v="1"/>
    <n v="15000000"/>
    <n v="1"/>
    <d v="1899-12-30T00:08:20"/>
    <x v="0"/>
    <x v="3"/>
    <x v="4"/>
    <x v="1"/>
    <x v="1"/>
  </r>
  <r>
    <x v="0"/>
    <n v="30"/>
    <x v="2"/>
    <x v="1"/>
    <x v="2"/>
    <x v="2"/>
    <n v="12000000"/>
    <n v="2"/>
    <d v="1899-12-30T00:08:20"/>
    <x v="0"/>
    <x v="8"/>
    <x v="2"/>
    <x v="2"/>
    <x v="8"/>
  </r>
  <r>
    <x v="0"/>
    <n v="6"/>
    <x v="2"/>
    <x v="2"/>
    <x v="2"/>
    <x v="4"/>
    <n v="20000000"/>
    <n v="2"/>
    <d v="1899-12-30T00:08:20"/>
    <x v="0"/>
    <x v="4"/>
    <x v="5"/>
    <x v="0"/>
    <x v="7"/>
  </r>
  <r>
    <x v="0"/>
    <n v="21"/>
    <x v="3"/>
    <x v="1"/>
    <x v="1"/>
    <x v="0"/>
    <n v="7000000"/>
    <n v="2"/>
    <d v="1899-12-30T00:08:20"/>
    <x v="0"/>
    <x v="0"/>
    <x v="2"/>
    <x v="1"/>
    <x v="15"/>
  </r>
  <r>
    <x v="0"/>
    <n v="22"/>
    <x v="3"/>
    <x v="4"/>
    <x v="1"/>
    <x v="1"/>
    <n v="15000000"/>
    <n v="5"/>
    <d v="1899-12-30T00:08:20"/>
    <x v="0"/>
    <x v="4"/>
    <x v="6"/>
    <x v="0"/>
    <x v="12"/>
  </r>
  <r>
    <x v="0"/>
    <n v="12"/>
    <x v="3"/>
    <x v="1"/>
    <x v="2"/>
    <x v="3"/>
    <n v="15000000"/>
    <n v="4"/>
    <d v="1899-12-30T00:08:20"/>
    <x v="0"/>
    <x v="7"/>
    <x v="3"/>
    <x v="1"/>
    <x v="6"/>
  </r>
  <r>
    <x v="0"/>
    <n v="23"/>
    <x v="4"/>
    <x v="1"/>
    <x v="1"/>
    <x v="2"/>
    <n v="12000000"/>
    <n v="1"/>
    <d v="1899-12-30T00:08:20"/>
    <x v="0"/>
    <x v="3"/>
    <x v="1"/>
    <x v="0"/>
    <x v="5"/>
  </r>
  <r>
    <x v="0"/>
    <n v="29"/>
    <x v="4"/>
    <x v="3"/>
    <x v="0"/>
    <x v="2"/>
    <n v="12000000"/>
    <n v="2"/>
    <d v="1899-12-30T00:08:20"/>
    <x v="0"/>
    <x v="4"/>
    <x v="6"/>
    <x v="0"/>
    <x v="7"/>
  </r>
  <r>
    <x v="0"/>
    <n v="21"/>
    <x v="10"/>
    <x v="0"/>
    <x v="2"/>
    <x v="0"/>
    <n v="19000000"/>
    <n v="2"/>
    <d v="1899-12-30T00:08:20"/>
    <x v="1"/>
    <x v="7"/>
    <x v="2"/>
    <x v="0"/>
    <x v="12"/>
  </r>
  <r>
    <x v="0"/>
    <n v="24"/>
    <x v="10"/>
    <x v="0"/>
    <x v="1"/>
    <x v="1"/>
    <n v="15000000"/>
    <n v="1"/>
    <d v="1899-12-30T00:08:20"/>
    <x v="0"/>
    <x v="1"/>
    <x v="3"/>
    <x v="1"/>
    <x v="1"/>
  </r>
  <r>
    <x v="1"/>
    <n v="20"/>
    <x v="2"/>
    <x v="0"/>
    <x v="2"/>
    <x v="5"/>
    <n v="0"/>
    <n v="1"/>
    <d v="1899-12-30T00:08:20"/>
    <x v="3"/>
    <x v="9"/>
    <x v="6"/>
    <x v="1"/>
    <x v="6"/>
  </r>
  <r>
    <x v="1"/>
    <n v="8"/>
    <x v="3"/>
    <x v="3"/>
    <x v="2"/>
    <x v="5"/>
    <n v="0"/>
    <n v="5"/>
    <d v="1899-12-30T00:08:20"/>
    <x v="3"/>
    <x v="9"/>
    <x v="0"/>
    <x v="2"/>
    <x v="8"/>
  </r>
  <r>
    <x v="1"/>
    <n v="31"/>
    <x v="10"/>
    <x v="0"/>
    <x v="2"/>
    <x v="5"/>
    <n v="0"/>
    <n v="1"/>
    <d v="1899-12-30T00:08:20"/>
    <x v="3"/>
    <x v="9"/>
    <x v="7"/>
    <x v="3"/>
    <x v="4"/>
  </r>
  <r>
    <x v="0"/>
    <n v="30"/>
    <x v="1"/>
    <x v="1"/>
    <x v="0"/>
    <x v="2"/>
    <n v="38000000"/>
    <n v="2"/>
    <d v="1899-12-30T00:08:40"/>
    <x v="1"/>
    <x v="7"/>
    <x v="0"/>
    <x v="1"/>
    <x v="2"/>
  </r>
  <r>
    <x v="0"/>
    <n v="28"/>
    <x v="2"/>
    <x v="0"/>
    <x v="2"/>
    <x v="2"/>
    <n v="12000000"/>
    <n v="2"/>
    <d v="1899-12-30T00:08:40"/>
    <x v="0"/>
    <x v="2"/>
    <x v="2"/>
    <x v="3"/>
    <x v="13"/>
  </r>
  <r>
    <x v="0"/>
    <n v="28"/>
    <x v="2"/>
    <x v="3"/>
    <x v="1"/>
    <x v="1"/>
    <n v="15000000"/>
    <n v="2"/>
    <d v="1899-12-30T00:08:40"/>
    <x v="0"/>
    <x v="0"/>
    <x v="2"/>
    <x v="3"/>
    <x v="13"/>
  </r>
  <r>
    <x v="0"/>
    <n v="30"/>
    <x v="2"/>
    <x v="5"/>
    <x v="1"/>
    <x v="1"/>
    <n v="15000000"/>
    <n v="4"/>
    <d v="1899-12-30T00:08:40"/>
    <x v="0"/>
    <x v="7"/>
    <x v="3"/>
    <x v="1"/>
    <x v="1"/>
  </r>
  <r>
    <x v="0"/>
    <n v="30"/>
    <x v="2"/>
    <x v="2"/>
    <x v="0"/>
    <x v="2"/>
    <n v="12000000"/>
    <n v="2"/>
    <d v="1899-12-30T00:08:40"/>
    <x v="0"/>
    <x v="7"/>
    <x v="5"/>
    <x v="1"/>
    <x v="1"/>
  </r>
  <r>
    <x v="0"/>
    <n v="6"/>
    <x v="2"/>
    <x v="5"/>
    <x v="1"/>
    <x v="1"/>
    <n v="15000000"/>
    <n v="4"/>
    <d v="1899-12-30T00:08:40"/>
    <x v="0"/>
    <x v="4"/>
    <x v="6"/>
    <x v="1"/>
    <x v="1"/>
  </r>
  <r>
    <x v="0"/>
    <n v="27"/>
    <x v="3"/>
    <x v="0"/>
    <x v="1"/>
    <x v="3"/>
    <n v="20000000"/>
    <n v="5"/>
    <d v="1899-12-30T00:08:40"/>
    <x v="2"/>
    <x v="7"/>
    <x v="7"/>
    <x v="1"/>
    <x v="6"/>
  </r>
  <r>
    <x v="0"/>
    <n v="11"/>
    <x v="3"/>
    <x v="4"/>
    <x v="0"/>
    <x v="0"/>
    <n v="7000000"/>
    <n v="1"/>
    <d v="1899-12-30T00:08:40"/>
    <x v="0"/>
    <x v="0"/>
    <x v="2"/>
    <x v="2"/>
    <x v="8"/>
  </r>
  <r>
    <x v="0"/>
    <n v="29"/>
    <x v="3"/>
    <x v="3"/>
    <x v="2"/>
    <x v="2"/>
    <n v="12000000"/>
    <n v="2"/>
    <d v="1899-12-30T00:08:40"/>
    <x v="0"/>
    <x v="3"/>
    <x v="2"/>
    <x v="0"/>
    <x v="5"/>
  </r>
  <r>
    <x v="0"/>
    <n v="7"/>
    <x v="3"/>
    <x v="3"/>
    <x v="0"/>
    <x v="2"/>
    <n v="12000000"/>
    <n v="7"/>
    <d v="1899-12-30T00:08:40"/>
    <x v="0"/>
    <x v="0"/>
    <x v="0"/>
    <x v="2"/>
    <x v="11"/>
  </r>
  <r>
    <x v="0"/>
    <n v="8"/>
    <x v="3"/>
    <x v="0"/>
    <x v="2"/>
    <x v="1"/>
    <n v="15000000"/>
    <n v="2"/>
    <d v="1899-12-30T00:08:40"/>
    <x v="0"/>
    <x v="1"/>
    <x v="5"/>
    <x v="1"/>
    <x v="14"/>
  </r>
  <r>
    <x v="0"/>
    <n v="11"/>
    <x v="3"/>
    <x v="1"/>
    <x v="4"/>
    <x v="3"/>
    <n v="20000000"/>
    <n v="5"/>
    <d v="1899-12-30T00:08:40"/>
    <x v="0"/>
    <x v="4"/>
    <x v="7"/>
    <x v="2"/>
    <x v="8"/>
  </r>
  <r>
    <x v="0"/>
    <n v="22"/>
    <x v="4"/>
    <x v="1"/>
    <x v="0"/>
    <x v="0"/>
    <n v="19000000"/>
    <n v="1"/>
    <d v="1899-12-30T00:08:40"/>
    <x v="1"/>
    <x v="2"/>
    <x v="4"/>
    <x v="1"/>
    <x v="1"/>
  </r>
  <r>
    <x v="0"/>
    <n v="6"/>
    <x v="4"/>
    <x v="0"/>
    <x v="2"/>
    <x v="3"/>
    <n v="20000000"/>
    <n v="1"/>
    <d v="1899-12-30T00:08:40"/>
    <x v="2"/>
    <x v="8"/>
    <x v="2"/>
    <x v="0"/>
    <x v="12"/>
  </r>
  <r>
    <x v="0"/>
    <n v="1"/>
    <x v="4"/>
    <x v="2"/>
    <x v="0"/>
    <x v="2"/>
    <n v="12000000"/>
    <n v="1"/>
    <d v="1899-12-30T00:08:40"/>
    <x v="0"/>
    <x v="2"/>
    <x v="2"/>
    <x v="0"/>
    <x v="7"/>
  </r>
  <r>
    <x v="0"/>
    <n v="14"/>
    <x v="4"/>
    <x v="3"/>
    <x v="2"/>
    <x v="4"/>
    <n v="25000000"/>
    <n v="1"/>
    <d v="1899-12-30T00:08:40"/>
    <x v="0"/>
    <x v="6"/>
    <x v="2"/>
    <x v="1"/>
    <x v="2"/>
  </r>
  <r>
    <x v="0"/>
    <n v="10"/>
    <x v="4"/>
    <x v="0"/>
    <x v="1"/>
    <x v="0"/>
    <n v="7000000"/>
    <n v="2"/>
    <d v="1899-12-30T00:08:40"/>
    <x v="0"/>
    <x v="8"/>
    <x v="6"/>
    <x v="0"/>
    <x v="12"/>
  </r>
  <r>
    <x v="0"/>
    <n v="13"/>
    <x v="10"/>
    <x v="2"/>
    <x v="2"/>
    <x v="0"/>
    <n v="19000000"/>
    <n v="2"/>
    <d v="1899-12-30T00:08:40"/>
    <x v="1"/>
    <x v="0"/>
    <x v="7"/>
    <x v="0"/>
    <x v="5"/>
  </r>
  <r>
    <x v="0"/>
    <n v="16"/>
    <x v="10"/>
    <x v="0"/>
    <x v="0"/>
    <x v="4"/>
    <n v="20000000"/>
    <n v="4"/>
    <d v="1899-12-30T00:08:40"/>
    <x v="0"/>
    <x v="7"/>
    <x v="3"/>
    <x v="1"/>
    <x v="6"/>
  </r>
  <r>
    <x v="0"/>
    <n v="17"/>
    <x v="10"/>
    <x v="2"/>
    <x v="2"/>
    <x v="4"/>
    <n v="21000000"/>
    <n v="6"/>
    <d v="1899-12-30T00:08:40"/>
    <x v="0"/>
    <x v="2"/>
    <x v="3"/>
    <x v="3"/>
    <x v="4"/>
  </r>
  <r>
    <x v="0"/>
    <n v="30"/>
    <x v="1"/>
    <x v="1"/>
    <x v="0"/>
    <x v="2"/>
    <n v="38000000"/>
    <n v="2"/>
    <d v="1899-12-30T00:08:40"/>
    <x v="1"/>
    <x v="7"/>
    <x v="0"/>
    <x v="1"/>
    <x v="2"/>
  </r>
  <r>
    <x v="1"/>
    <n v="5"/>
    <x v="5"/>
    <x v="0"/>
    <x v="3"/>
    <x v="5"/>
    <n v="0"/>
    <n v="4"/>
    <d v="1899-12-30T00:08:40"/>
    <x v="3"/>
    <x v="9"/>
    <x v="6"/>
    <x v="1"/>
    <x v="1"/>
  </r>
  <r>
    <x v="1"/>
    <n v="10"/>
    <x v="11"/>
    <x v="3"/>
    <x v="1"/>
    <x v="5"/>
    <n v="0"/>
    <n v="3"/>
    <d v="1899-12-30T00:08:40"/>
    <x v="3"/>
    <x v="9"/>
    <x v="7"/>
    <x v="3"/>
    <x v="4"/>
  </r>
  <r>
    <x v="1"/>
    <n v="12"/>
    <x v="1"/>
    <x v="3"/>
    <x v="3"/>
    <x v="5"/>
    <n v="0"/>
    <n v="1"/>
    <d v="1899-12-30T00:08:40"/>
    <x v="3"/>
    <x v="9"/>
    <x v="2"/>
    <x v="0"/>
    <x v="12"/>
  </r>
  <r>
    <x v="1"/>
    <n v="30"/>
    <x v="2"/>
    <x v="3"/>
    <x v="1"/>
    <x v="5"/>
    <n v="0"/>
    <n v="2"/>
    <d v="1899-12-30T00:08:40"/>
    <x v="3"/>
    <x v="9"/>
    <x v="7"/>
    <x v="0"/>
    <x v="5"/>
  </r>
  <r>
    <x v="1"/>
    <n v="30"/>
    <x v="10"/>
    <x v="0"/>
    <x v="2"/>
    <x v="5"/>
    <n v="0"/>
    <n v="5"/>
    <d v="1899-12-30T00:08:40"/>
    <x v="3"/>
    <x v="9"/>
    <x v="2"/>
    <x v="2"/>
    <x v="8"/>
  </r>
  <r>
    <x v="1"/>
    <n v="30"/>
    <x v="10"/>
    <x v="4"/>
    <x v="0"/>
    <x v="5"/>
    <n v="0"/>
    <n v="3"/>
    <d v="1899-12-30T00:08:40"/>
    <x v="3"/>
    <x v="9"/>
    <x v="4"/>
    <x v="3"/>
    <x v="13"/>
  </r>
  <r>
    <x v="1"/>
    <n v="5"/>
    <x v="5"/>
    <x v="0"/>
    <x v="3"/>
    <x v="5"/>
    <n v="0"/>
    <n v="4"/>
    <d v="1899-12-30T00:08:40"/>
    <x v="3"/>
    <x v="9"/>
    <x v="6"/>
    <x v="1"/>
    <x v="1"/>
  </r>
  <r>
    <x v="1"/>
    <n v="10"/>
    <x v="11"/>
    <x v="3"/>
    <x v="1"/>
    <x v="5"/>
    <n v="0"/>
    <n v="3"/>
    <d v="1899-12-30T00:08:40"/>
    <x v="3"/>
    <x v="9"/>
    <x v="7"/>
    <x v="3"/>
    <x v="4"/>
  </r>
  <r>
    <x v="0"/>
    <n v="26"/>
    <x v="1"/>
    <x v="1"/>
    <x v="2"/>
    <x v="1"/>
    <n v="15000000"/>
    <n v="2"/>
    <d v="1899-12-30T00:09:00"/>
    <x v="0"/>
    <x v="3"/>
    <x v="0"/>
    <x v="0"/>
    <x v="10"/>
  </r>
  <r>
    <x v="0"/>
    <n v="27"/>
    <x v="2"/>
    <x v="2"/>
    <x v="1"/>
    <x v="1"/>
    <n v="15000000"/>
    <n v="4"/>
    <d v="1899-12-30T00:09:00"/>
    <x v="0"/>
    <x v="7"/>
    <x v="4"/>
    <x v="1"/>
    <x v="2"/>
  </r>
  <r>
    <x v="0"/>
    <n v="30"/>
    <x v="2"/>
    <x v="5"/>
    <x v="3"/>
    <x v="1"/>
    <n v="15000000"/>
    <n v="2"/>
    <d v="1899-12-30T00:09:00"/>
    <x v="0"/>
    <x v="0"/>
    <x v="5"/>
    <x v="2"/>
    <x v="11"/>
  </r>
  <r>
    <x v="0"/>
    <n v="5"/>
    <x v="3"/>
    <x v="2"/>
    <x v="2"/>
    <x v="0"/>
    <n v="7000000"/>
    <n v="4"/>
    <d v="1899-12-30T00:09:00"/>
    <x v="0"/>
    <x v="2"/>
    <x v="2"/>
    <x v="0"/>
    <x v="12"/>
  </r>
  <r>
    <x v="0"/>
    <n v="28"/>
    <x v="3"/>
    <x v="0"/>
    <x v="2"/>
    <x v="4"/>
    <n v="20000000"/>
    <n v="2"/>
    <d v="1899-12-30T00:09:00"/>
    <x v="0"/>
    <x v="7"/>
    <x v="1"/>
    <x v="1"/>
    <x v="6"/>
  </r>
  <r>
    <x v="0"/>
    <n v="7"/>
    <x v="3"/>
    <x v="0"/>
    <x v="2"/>
    <x v="2"/>
    <n v="12000000"/>
    <n v="2"/>
    <d v="1899-12-30T00:09:00"/>
    <x v="0"/>
    <x v="0"/>
    <x v="6"/>
    <x v="0"/>
    <x v="10"/>
  </r>
  <r>
    <x v="0"/>
    <n v="20"/>
    <x v="4"/>
    <x v="0"/>
    <x v="2"/>
    <x v="3"/>
    <n v="20000000"/>
    <n v="2"/>
    <d v="1899-12-30T00:09:00"/>
    <x v="2"/>
    <x v="4"/>
    <x v="7"/>
    <x v="1"/>
    <x v="2"/>
  </r>
  <r>
    <x v="0"/>
    <n v="15"/>
    <x v="4"/>
    <x v="5"/>
    <x v="1"/>
    <x v="2"/>
    <n v="12000000"/>
    <n v="3"/>
    <d v="1899-12-30T00:09:00"/>
    <x v="0"/>
    <x v="8"/>
    <x v="3"/>
    <x v="0"/>
    <x v="12"/>
  </r>
  <r>
    <x v="0"/>
    <n v="18"/>
    <x v="4"/>
    <x v="0"/>
    <x v="1"/>
    <x v="2"/>
    <n v="12000000"/>
    <n v="1"/>
    <d v="1899-12-30T00:09:00"/>
    <x v="0"/>
    <x v="7"/>
    <x v="4"/>
    <x v="1"/>
    <x v="6"/>
  </r>
  <r>
    <x v="0"/>
    <n v="3"/>
    <x v="4"/>
    <x v="3"/>
    <x v="0"/>
    <x v="3"/>
    <n v="20000000"/>
    <n v="1"/>
    <d v="1899-12-30T00:09:00"/>
    <x v="0"/>
    <x v="4"/>
    <x v="5"/>
    <x v="0"/>
    <x v="7"/>
  </r>
  <r>
    <x v="1"/>
    <n v="11"/>
    <x v="7"/>
    <x v="0"/>
    <x v="0"/>
    <x v="5"/>
    <n v="0"/>
    <n v="1"/>
    <d v="1899-12-30T00:09:00"/>
    <x v="3"/>
    <x v="9"/>
    <x v="2"/>
    <x v="1"/>
    <x v="6"/>
  </r>
  <r>
    <x v="1"/>
    <n v="30"/>
    <x v="10"/>
    <x v="3"/>
    <x v="0"/>
    <x v="5"/>
    <n v="0"/>
    <n v="3"/>
    <d v="1899-12-30T00:09:00"/>
    <x v="3"/>
    <x v="9"/>
    <x v="2"/>
    <x v="3"/>
    <x v="13"/>
  </r>
  <r>
    <x v="1"/>
    <n v="27"/>
    <x v="10"/>
    <x v="4"/>
    <x v="2"/>
    <x v="5"/>
    <n v="0"/>
    <n v="1"/>
    <d v="1899-12-30T00:09:00"/>
    <x v="3"/>
    <x v="9"/>
    <x v="6"/>
    <x v="2"/>
    <x v="3"/>
  </r>
  <r>
    <x v="1"/>
    <n v="11"/>
    <x v="7"/>
    <x v="0"/>
    <x v="0"/>
    <x v="5"/>
    <n v="0"/>
    <n v="1"/>
    <d v="1899-12-30T00:09:00"/>
    <x v="3"/>
    <x v="9"/>
    <x v="2"/>
    <x v="1"/>
    <x v="6"/>
  </r>
  <r>
    <x v="0"/>
    <n v="31"/>
    <x v="8"/>
    <x v="4"/>
    <x v="2"/>
    <x v="2"/>
    <n v="12000000"/>
    <n v="4"/>
    <d v="1899-12-30T00:09:12"/>
    <x v="0"/>
    <x v="7"/>
    <x v="2"/>
    <x v="1"/>
    <x v="1"/>
  </r>
  <r>
    <x v="0"/>
    <n v="7"/>
    <x v="2"/>
    <x v="0"/>
    <x v="3"/>
    <x v="3"/>
    <n v="11000000"/>
    <n v="5"/>
    <d v="1899-12-30T00:09:12"/>
    <x v="2"/>
    <x v="4"/>
    <x v="3"/>
    <x v="1"/>
    <x v="6"/>
  </r>
  <r>
    <x v="0"/>
    <n v="21"/>
    <x v="3"/>
    <x v="0"/>
    <x v="4"/>
    <x v="3"/>
    <n v="20000000"/>
    <n v="2"/>
    <d v="1899-12-30T00:09:12"/>
    <x v="0"/>
    <x v="3"/>
    <x v="2"/>
    <x v="1"/>
    <x v="6"/>
  </r>
  <r>
    <x v="0"/>
    <n v="8"/>
    <x v="3"/>
    <x v="0"/>
    <x v="4"/>
    <x v="1"/>
    <n v="15000000"/>
    <n v="1"/>
    <d v="1899-12-30T00:09:12"/>
    <x v="0"/>
    <x v="8"/>
    <x v="4"/>
    <x v="0"/>
    <x v="7"/>
  </r>
  <r>
    <x v="0"/>
    <n v="8"/>
    <x v="3"/>
    <x v="3"/>
    <x v="2"/>
    <x v="2"/>
    <n v="12000000"/>
    <n v="4"/>
    <d v="1899-12-30T00:09:12"/>
    <x v="0"/>
    <x v="4"/>
    <x v="1"/>
    <x v="2"/>
    <x v="8"/>
  </r>
  <r>
    <x v="0"/>
    <n v="22"/>
    <x v="4"/>
    <x v="1"/>
    <x v="0"/>
    <x v="0"/>
    <n v="7000000"/>
    <n v="1"/>
    <d v="1899-12-30T00:09:12"/>
    <x v="0"/>
    <x v="2"/>
    <x v="7"/>
    <x v="3"/>
    <x v="13"/>
  </r>
  <r>
    <x v="0"/>
    <n v="25"/>
    <x v="4"/>
    <x v="0"/>
    <x v="2"/>
    <x v="1"/>
    <n v="15000000"/>
    <n v="3"/>
    <d v="1899-12-30T00:09:12"/>
    <x v="0"/>
    <x v="0"/>
    <x v="2"/>
    <x v="0"/>
    <x v="5"/>
  </r>
  <r>
    <x v="0"/>
    <n v="7"/>
    <x v="4"/>
    <x v="0"/>
    <x v="2"/>
    <x v="4"/>
    <n v="25000000"/>
    <n v="3"/>
    <d v="1899-12-30T00:09:12"/>
    <x v="0"/>
    <x v="1"/>
    <x v="0"/>
    <x v="0"/>
    <x v="9"/>
  </r>
  <r>
    <x v="0"/>
    <n v="1"/>
    <x v="10"/>
    <x v="1"/>
    <x v="3"/>
    <x v="4"/>
    <n v="25000000"/>
    <n v="3"/>
    <d v="1899-12-30T00:09:12"/>
    <x v="0"/>
    <x v="4"/>
    <x v="2"/>
    <x v="2"/>
    <x v="11"/>
  </r>
  <r>
    <x v="0"/>
    <n v="17"/>
    <x v="10"/>
    <x v="0"/>
    <x v="2"/>
    <x v="2"/>
    <n v="12000000"/>
    <n v="2"/>
    <d v="1899-12-30T00:09:12"/>
    <x v="0"/>
    <x v="7"/>
    <x v="5"/>
    <x v="1"/>
    <x v="6"/>
  </r>
  <r>
    <x v="0"/>
    <n v="31"/>
    <x v="8"/>
    <x v="4"/>
    <x v="2"/>
    <x v="2"/>
    <n v="12000000"/>
    <n v="4"/>
    <d v="1899-12-30T00:09:12"/>
    <x v="0"/>
    <x v="7"/>
    <x v="2"/>
    <x v="1"/>
    <x v="1"/>
  </r>
  <r>
    <x v="1"/>
    <n v="12"/>
    <x v="1"/>
    <x v="3"/>
    <x v="1"/>
    <x v="5"/>
    <n v="0"/>
    <n v="3"/>
    <d v="1899-12-30T00:09:12"/>
    <x v="3"/>
    <x v="9"/>
    <x v="6"/>
    <x v="3"/>
    <x v="13"/>
  </r>
  <r>
    <x v="1"/>
    <n v="17"/>
    <x v="4"/>
    <x v="1"/>
    <x v="1"/>
    <x v="5"/>
    <n v="0"/>
    <n v="1"/>
    <d v="1899-12-30T00:09:12"/>
    <x v="3"/>
    <x v="9"/>
    <x v="6"/>
    <x v="2"/>
    <x v="8"/>
  </r>
  <r>
    <x v="1"/>
    <n v="14"/>
    <x v="10"/>
    <x v="1"/>
    <x v="2"/>
    <x v="5"/>
    <n v="0"/>
    <n v="4"/>
    <d v="1899-12-30T00:09:12"/>
    <x v="3"/>
    <x v="9"/>
    <x v="7"/>
    <x v="1"/>
    <x v="2"/>
  </r>
  <r>
    <x v="0"/>
    <n v="11"/>
    <x v="5"/>
    <x v="2"/>
    <x v="1"/>
    <x v="2"/>
    <n v="38000000"/>
    <n v="1"/>
    <d v="1899-12-30T00:09:15"/>
    <x v="1"/>
    <x v="2"/>
    <x v="7"/>
    <x v="3"/>
    <x v="13"/>
  </r>
  <r>
    <x v="0"/>
    <n v="11"/>
    <x v="6"/>
    <x v="0"/>
    <x v="2"/>
    <x v="4"/>
    <n v="25000000"/>
    <n v="1"/>
    <d v="1899-12-30T00:09:15"/>
    <x v="0"/>
    <x v="2"/>
    <x v="7"/>
    <x v="0"/>
    <x v="5"/>
  </r>
  <r>
    <x v="0"/>
    <n v="1"/>
    <x v="9"/>
    <x v="4"/>
    <x v="1"/>
    <x v="2"/>
    <n v="12000000"/>
    <n v="1"/>
    <d v="1899-12-30T00:09:15"/>
    <x v="0"/>
    <x v="2"/>
    <x v="5"/>
    <x v="1"/>
    <x v="6"/>
  </r>
  <r>
    <x v="0"/>
    <n v="29"/>
    <x v="1"/>
    <x v="1"/>
    <x v="0"/>
    <x v="4"/>
    <n v="21000000"/>
    <n v="5"/>
    <d v="1899-12-30T00:09:15"/>
    <x v="0"/>
    <x v="0"/>
    <x v="2"/>
    <x v="2"/>
    <x v="8"/>
  </r>
  <r>
    <x v="0"/>
    <n v="30"/>
    <x v="2"/>
    <x v="2"/>
    <x v="1"/>
    <x v="2"/>
    <n v="12000000"/>
    <n v="4"/>
    <d v="1899-12-30T00:09:15"/>
    <x v="0"/>
    <x v="0"/>
    <x v="3"/>
    <x v="0"/>
    <x v="12"/>
  </r>
  <r>
    <x v="0"/>
    <n v="25"/>
    <x v="3"/>
    <x v="0"/>
    <x v="0"/>
    <x v="0"/>
    <n v="19000000"/>
    <n v="3"/>
    <d v="1899-12-30T00:09:15"/>
    <x v="1"/>
    <x v="1"/>
    <x v="2"/>
    <x v="1"/>
    <x v="1"/>
  </r>
  <r>
    <x v="0"/>
    <n v="10"/>
    <x v="3"/>
    <x v="0"/>
    <x v="0"/>
    <x v="3"/>
    <n v="11000000"/>
    <n v="5"/>
    <d v="1899-12-30T00:09:15"/>
    <x v="2"/>
    <x v="2"/>
    <x v="6"/>
    <x v="1"/>
    <x v="1"/>
  </r>
  <r>
    <x v="0"/>
    <n v="28"/>
    <x v="3"/>
    <x v="4"/>
    <x v="2"/>
    <x v="0"/>
    <n v="7000000"/>
    <n v="1"/>
    <d v="1899-12-30T00:09:15"/>
    <x v="0"/>
    <x v="7"/>
    <x v="4"/>
    <x v="0"/>
    <x v="12"/>
  </r>
  <r>
    <x v="0"/>
    <n v="13"/>
    <x v="4"/>
    <x v="3"/>
    <x v="1"/>
    <x v="3"/>
    <n v="20000000"/>
    <n v="5"/>
    <d v="1899-12-30T00:09:15"/>
    <x v="0"/>
    <x v="1"/>
    <x v="2"/>
    <x v="1"/>
    <x v="2"/>
  </r>
  <r>
    <x v="0"/>
    <n v="3"/>
    <x v="4"/>
    <x v="0"/>
    <x v="2"/>
    <x v="1"/>
    <n v="15000000"/>
    <n v="2"/>
    <d v="1899-12-30T00:09:15"/>
    <x v="0"/>
    <x v="7"/>
    <x v="1"/>
    <x v="2"/>
    <x v="8"/>
  </r>
  <r>
    <x v="0"/>
    <n v="11"/>
    <x v="5"/>
    <x v="2"/>
    <x v="1"/>
    <x v="2"/>
    <n v="38000000"/>
    <n v="1"/>
    <d v="1899-12-30T00:09:15"/>
    <x v="1"/>
    <x v="2"/>
    <x v="7"/>
    <x v="3"/>
    <x v="13"/>
  </r>
  <r>
    <x v="0"/>
    <n v="11"/>
    <x v="6"/>
    <x v="0"/>
    <x v="2"/>
    <x v="4"/>
    <n v="25000000"/>
    <n v="1"/>
    <d v="1899-12-30T00:09:15"/>
    <x v="0"/>
    <x v="2"/>
    <x v="7"/>
    <x v="0"/>
    <x v="5"/>
  </r>
  <r>
    <x v="0"/>
    <n v="1"/>
    <x v="9"/>
    <x v="4"/>
    <x v="1"/>
    <x v="2"/>
    <n v="12000000"/>
    <n v="1"/>
    <d v="1899-12-30T00:09:15"/>
    <x v="0"/>
    <x v="2"/>
    <x v="5"/>
    <x v="1"/>
    <x v="6"/>
  </r>
  <r>
    <x v="0"/>
    <n v="29"/>
    <x v="1"/>
    <x v="1"/>
    <x v="0"/>
    <x v="4"/>
    <n v="21000000"/>
    <n v="5"/>
    <d v="1899-12-30T00:09:15"/>
    <x v="0"/>
    <x v="0"/>
    <x v="2"/>
    <x v="2"/>
    <x v="8"/>
  </r>
  <r>
    <x v="1"/>
    <n v="13"/>
    <x v="5"/>
    <x v="0"/>
    <x v="3"/>
    <x v="5"/>
    <n v="0"/>
    <n v="2"/>
    <d v="1899-12-30T00:09:15"/>
    <x v="3"/>
    <x v="9"/>
    <x v="5"/>
    <x v="3"/>
    <x v="13"/>
  </r>
  <r>
    <x v="1"/>
    <n v="29"/>
    <x v="2"/>
    <x v="1"/>
    <x v="1"/>
    <x v="5"/>
    <n v="0"/>
    <n v="2"/>
    <d v="1899-12-30T00:09:15"/>
    <x v="3"/>
    <x v="9"/>
    <x v="5"/>
    <x v="1"/>
    <x v="1"/>
  </r>
  <r>
    <x v="1"/>
    <n v="30"/>
    <x v="10"/>
    <x v="1"/>
    <x v="2"/>
    <x v="5"/>
    <n v="0"/>
    <n v="4"/>
    <d v="1899-12-30T00:09:15"/>
    <x v="3"/>
    <x v="9"/>
    <x v="2"/>
    <x v="2"/>
    <x v="11"/>
  </r>
  <r>
    <x v="1"/>
    <n v="13"/>
    <x v="5"/>
    <x v="0"/>
    <x v="3"/>
    <x v="5"/>
    <n v="0"/>
    <n v="2"/>
    <d v="1899-12-30T00:09:15"/>
    <x v="3"/>
    <x v="9"/>
    <x v="5"/>
    <x v="3"/>
    <x v="13"/>
  </r>
  <r>
    <x v="0"/>
    <n v="12"/>
    <x v="5"/>
    <x v="2"/>
    <x v="2"/>
    <x v="2"/>
    <n v="12000000"/>
    <n v="3"/>
    <d v="1899-12-30T00:09:36"/>
    <x v="0"/>
    <x v="0"/>
    <x v="2"/>
    <x v="2"/>
    <x v="8"/>
  </r>
  <r>
    <x v="0"/>
    <n v="1"/>
    <x v="11"/>
    <x v="1"/>
    <x v="2"/>
    <x v="4"/>
    <n v="25000000"/>
    <n v="1"/>
    <d v="1899-12-30T00:09:36"/>
    <x v="0"/>
    <x v="2"/>
    <x v="5"/>
    <x v="1"/>
    <x v="2"/>
  </r>
  <r>
    <x v="0"/>
    <n v="11"/>
    <x v="2"/>
    <x v="4"/>
    <x v="4"/>
    <x v="0"/>
    <n v="7000000"/>
    <n v="2"/>
    <d v="1899-12-30T00:09:36"/>
    <x v="0"/>
    <x v="7"/>
    <x v="7"/>
    <x v="3"/>
    <x v="13"/>
  </r>
  <r>
    <x v="0"/>
    <n v="12"/>
    <x v="3"/>
    <x v="0"/>
    <x v="2"/>
    <x v="2"/>
    <n v="38000000"/>
    <n v="3"/>
    <d v="1899-12-30T00:09:36"/>
    <x v="1"/>
    <x v="7"/>
    <x v="6"/>
    <x v="1"/>
    <x v="6"/>
  </r>
  <r>
    <x v="0"/>
    <n v="28"/>
    <x v="3"/>
    <x v="4"/>
    <x v="0"/>
    <x v="1"/>
    <n v="15000000"/>
    <n v="1"/>
    <d v="1899-12-30T00:09:36"/>
    <x v="0"/>
    <x v="1"/>
    <x v="3"/>
    <x v="0"/>
    <x v="5"/>
  </r>
  <r>
    <x v="0"/>
    <n v="8"/>
    <x v="3"/>
    <x v="2"/>
    <x v="3"/>
    <x v="2"/>
    <n v="12000000"/>
    <n v="4"/>
    <d v="1899-12-30T00:09:36"/>
    <x v="0"/>
    <x v="2"/>
    <x v="7"/>
    <x v="1"/>
    <x v="2"/>
  </r>
  <r>
    <x v="0"/>
    <n v="11"/>
    <x v="4"/>
    <x v="1"/>
    <x v="0"/>
    <x v="2"/>
    <n v="12000000"/>
    <n v="1"/>
    <d v="1899-12-30T00:09:36"/>
    <x v="0"/>
    <x v="4"/>
    <x v="5"/>
    <x v="1"/>
    <x v="1"/>
  </r>
  <r>
    <x v="0"/>
    <n v="22"/>
    <x v="4"/>
    <x v="2"/>
    <x v="0"/>
    <x v="3"/>
    <n v="20000000"/>
    <n v="4"/>
    <d v="1899-12-30T00:09:36"/>
    <x v="0"/>
    <x v="0"/>
    <x v="4"/>
    <x v="0"/>
    <x v="5"/>
  </r>
  <r>
    <x v="0"/>
    <n v="12"/>
    <x v="5"/>
    <x v="2"/>
    <x v="2"/>
    <x v="2"/>
    <n v="12000000"/>
    <n v="3"/>
    <d v="1899-12-30T00:09:36"/>
    <x v="0"/>
    <x v="0"/>
    <x v="2"/>
    <x v="2"/>
    <x v="8"/>
  </r>
  <r>
    <x v="0"/>
    <n v="1"/>
    <x v="11"/>
    <x v="1"/>
    <x v="2"/>
    <x v="4"/>
    <n v="25000000"/>
    <n v="1"/>
    <d v="1899-12-30T00:09:36"/>
    <x v="0"/>
    <x v="2"/>
    <x v="5"/>
    <x v="1"/>
    <x v="2"/>
  </r>
  <r>
    <x v="1"/>
    <n v="27"/>
    <x v="2"/>
    <x v="0"/>
    <x v="0"/>
    <x v="5"/>
    <n v="0"/>
    <n v="1"/>
    <d v="1899-12-30T00:09:36"/>
    <x v="3"/>
    <x v="9"/>
    <x v="3"/>
    <x v="2"/>
    <x v="11"/>
  </r>
  <r>
    <x v="1"/>
    <n v="3"/>
    <x v="3"/>
    <x v="0"/>
    <x v="2"/>
    <x v="5"/>
    <n v="0"/>
    <n v="1"/>
    <d v="1899-12-30T00:09:36"/>
    <x v="3"/>
    <x v="9"/>
    <x v="2"/>
    <x v="0"/>
    <x v="9"/>
  </r>
  <r>
    <x v="1"/>
    <n v="11"/>
    <x v="4"/>
    <x v="0"/>
    <x v="0"/>
    <x v="5"/>
    <n v="0"/>
    <n v="3"/>
    <d v="1899-12-30T00:09:36"/>
    <x v="3"/>
    <x v="9"/>
    <x v="4"/>
    <x v="0"/>
    <x v="5"/>
  </r>
  <r>
    <x v="1"/>
    <n v="10"/>
    <x v="4"/>
    <x v="2"/>
    <x v="1"/>
    <x v="5"/>
    <n v="0"/>
    <n v="5"/>
    <d v="1899-12-30T00:09:36"/>
    <x v="3"/>
    <x v="9"/>
    <x v="7"/>
    <x v="0"/>
    <x v="10"/>
  </r>
  <r>
    <x v="0"/>
    <n v="12"/>
    <x v="9"/>
    <x v="1"/>
    <x v="2"/>
    <x v="1"/>
    <n v="15000000"/>
    <n v="3"/>
    <d v="1899-12-30T00:10:10"/>
    <x v="0"/>
    <x v="8"/>
    <x v="6"/>
    <x v="2"/>
    <x v="11"/>
  </r>
  <r>
    <x v="0"/>
    <n v="13"/>
    <x v="1"/>
    <x v="0"/>
    <x v="2"/>
    <x v="1"/>
    <n v="15000000"/>
    <n v="1"/>
    <d v="1899-12-30T00:10:10"/>
    <x v="0"/>
    <x v="5"/>
    <x v="3"/>
    <x v="1"/>
    <x v="2"/>
  </r>
  <r>
    <x v="0"/>
    <n v="11"/>
    <x v="1"/>
    <x v="4"/>
    <x v="0"/>
    <x v="0"/>
    <n v="7000000"/>
    <n v="3"/>
    <d v="1899-12-30T00:10:10"/>
    <x v="0"/>
    <x v="7"/>
    <x v="0"/>
    <x v="0"/>
    <x v="5"/>
  </r>
  <r>
    <x v="0"/>
    <n v="7"/>
    <x v="2"/>
    <x v="2"/>
    <x v="2"/>
    <x v="2"/>
    <n v="12000000"/>
    <n v="4"/>
    <d v="1899-12-30T00:10:10"/>
    <x v="0"/>
    <x v="4"/>
    <x v="4"/>
    <x v="0"/>
    <x v="9"/>
  </r>
  <r>
    <x v="0"/>
    <n v="9"/>
    <x v="2"/>
    <x v="1"/>
    <x v="1"/>
    <x v="1"/>
    <n v="15000000"/>
    <n v="4"/>
    <d v="1899-12-30T00:10:10"/>
    <x v="0"/>
    <x v="0"/>
    <x v="3"/>
    <x v="2"/>
    <x v="8"/>
  </r>
  <r>
    <x v="0"/>
    <n v="24"/>
    <x v="2"/>
    <x v="1"/>
    <x v="3"/>
    <x v="2"/>
    <n v="12000000"/>
    <n v="2"/>
    <d v="1899-12-30T00:10:10"/>
    <x v="0"/>
    <x v="4"/>
    <x v="7"/>
    <x v="1"/>
    <x v="6"/>
  </r>
  <r>
    <x v="0"/>
    <n v="28"/>
    <x v="3"/>
    <x v="3"/>
    <x v="2"/>
    <x v="3"/>
    <n v="20000000"/>
    <n v="1"/>
    <d v="1899-12-30T00:10:10"/>
    <x v="0"/>
    <x v="0"/>
    <x v="2"/>
    <x v="0"/>
    <x v="9"/>
  </r>
  <r>
    <x v="0"/>
    <n v="25"/>
    <x v="3"/>
    <x v="1"/>
    <x v="4"/>
    <x v="4"/>
    <n v="20000000"/>
    <n v="5"/>
    <d v="1899-12-30T00:10:10"/>
    <x v="0"/>
    <x v="3"/>
    <x v="5"/>
    <x v="1"/>
    <x v="2"/>
  </r>
  <r>
    <x v="0"/>
    <n v="29"/>
    <x v="3"/>
    <x v="1"/>
    <x v="1"/>
    <x v="2"/>
    <n v="12000000"/>
    <n v="2"/>
    <d v="1899-12-30T00:10:10"/>
    <x v="0"/>
    <x v="5"/>
    <x v="7"/>
    <x v="1"/>
    <x v="1"/>
  </r>
  <r>
    <x v="0"/>
    <n v="25"/>
    <x v="10"/>
    <x v="0"/>
    <x v="1"/>
    <x v="3"/>
    <n v="20000000"/>
    <n v="1"/>
    <d v="1899-12-30T00:10:10"/>
    <x v="2"/>
    <x v="6"/>
    <x v="5"/>
    <x v="3"/>
    <x v="13"/>
  </r>
  <r>
    <x v="0"/>
    <n v="12"/>
    <x v="9"/>
    <x v="1"/>
    <x v="2"/>
    <x v="1"/>
    <n v="15000000"/>
    <n v="3"/>
    <d v="1899-12-30T00:10:10"/>
    <x v="0"/>
    <x v="8"/>
    <x v="6"/>
    <x v="2"/>
    <x v="11"/>
  </r>
  <r>
    <x v="0"/>
    <n v="13"/>
    <x v="1"/>
    <x v="0"/>
    <x v="2"/>
    <x v="1"/>
    <n v="15000000"/>
    <n v="1"/>
    <d v="1899-12-30T00:10:10"/>
    <x v="0"/>
    <x v="5"/>
    <x v="3"/>
    <x v="1"/>
    <x v="2"/>
  </r>
  <r>
    <x v="1"/>
    <n v="21"/>
    <x v="2"/>
    <x v="0"/>
    <x v="2"/>
    <x v="5"/>
    <n v="0"/>
    <n v="2"/>
    <d v="1899-12-30T00:10:10"/>
    <x v="3"/>
    <x v="9"/>
    <x v="3"/>
    <x v="0"/>
    <x v="12"/>
  </r>
  <r>
    <x v="1"/>
    <n v="25"/>
    <x v="4"/>
    <x v="1"/>
    <x v="2"/>
    <x v="5"/>
    <n v="0"/>
    <n v="2"/>
    <d v="1899-12-30T00:10:10"/>
    <x v="3"/>
    <x v="9"/>
    <x v="1"/>
    <x v="1"/>
    <x v="6"/>
  </r>
  <r>
    <x v="1"/>
    <n v="11"/>
    <x v="4"/>
    <x v="2"/>
    <x v="4"/>
    <x v="5"/>
    <n v="0"/>
    <n v="2"/>
    <d v="1899-12-30T00:10:10"/>
    <x v="3"/>
    <x v="9"/>
    <x v="6"/>
    <x v="0"/>
    <x v="5"/>
  </r>
  <r>
    <x v="0"/>
    <n v="1"/>
    <x v="0"/>
    <x v="1"/>
    <x v="1"/>
    <x v="4"/>
    <n v="25000000"/>
    <n v="1"/>
    <d v="1899-12-30T00:11:20"/>
    <x v="0"/>
    <x v="0"/>
    <x v="5"/>
    <x v="3"/>
    <x v="4"/>
  </r>
  <r>
    <x v="0"/>
    <n v="11"/>
    <x v="0"/>
    <x v="4"/>
    <x v="1"/>
    <x v="1"/>
    <n v="15000000"/>
    <n v="2"/>
    <d v="1899-12-30T00:11:20"/>
    <x v="0"/>
    <x v="3"/>
    <x v="6"/>
    <x v="2"/>
    <x v="11"/>
  </r>
  <r>
    <x v="0"/>
    <n v="4"/>
    <x v="8"/>
    <x v="1"/>
    <x v="2"/>
    <x v="3"/>
    <n v="20000000"/>
    <n v="1"/>
    <d v="1899-12-30T00:11:20"/>
    <x v="2"/>
    <x v="7"/>
    <x v="2"/>
    <x v="1"/>
    <x v="14"/>
  </r>
  <r>
    <x v="0"/>
    <n v="30"/>
    <x v="2"/>
    <x v="1"/>
    <x v="2"/>
    <x v="2"/>
    <n v="10000000"/>
    <n v="1"/>
    <d v="1899-12-30T00:11:20"/>
    <x v="0"/>
    <x v="7"/>
    <x v="0"/>
    <x v="0"/>
    <x v="0"/>
  </r>
  <r>
    <x v="0"/>
    <n v="14"/>
    <x v="3"/>
    <x v="0"/>
    <x v="1"/>
    <x v="0"/>
    <n v="19000000"/>
    <n v="2"/>
    <d v="1899-12-30T00:11:20"/>
    <x v="1"/>
    <x v="2"/>
    <x v="6"/>
    <x v="3"/>
    <x v="4"/>
  </r>
  <r>
    <x v="0"/>
    <n v="19"/>
    <x v="3"/>
    <x v="1"/>
    <x v="1"/>
    <x v="0"/>
    <n v="7000000"/>
    <n v="4"/>
    <d v="1899-12-30T00:11:20"/>
    <x v="0"/>
    <x v="1"/>
    <x v="3"/>
    <x v="1"/>
    <x v="14"/>
  </r>
  <r>
    <x v="0"/>
    <n v="3"/>
    <x v="3"/>
    <x v="0"/>
    <x v="3"/>
    <x v="1"/>
    <n v="12000000"/>
    <n v="2"/>
    <d v="1899-12-30T00:11:20"/>
    <x v="0"/>
    <x v="4"/>
    <x v="7"/>
    <x v="1"/>
    <x v="1"/>
  </r>
  <r>
    <x v="0"/>
    <n v="3"/>
    <x v="4"/>
    <x v="2"/>
    <x v="1"/>
    <x v="2"/>
    <n v="38000000"/>
    <n v="2"/>
    <d v="1899-12-30T00:11:20"/>
    <x v="1"/>
    <x v="8"/>
    <x v="3"/>
    <x v="1"/>
    <x v="2"/>
  </r>
  <r>
    <x v="0"/>
    <n v="12"/>
    <x v="4"/>
    <x v="4"/>
    <x v="2"/>
    <x v="1"/>
    <n v="15000000"/>
    <n v="1"/>
    <d v="1899-12-30T00:11:20"/>
    <x v="0"/>
    <x v="2"/>
    <x v="7"/>
    <x v="0"/>
    <x v="7"/>
  </r>
  <r>
    <x v="0"/>
    <n v="22"/>
    <x v="4"/>
    <x v="0"/>
    <x v="4"/>
    <x v="2"/>
    <n v="12000000"/>
    <n v="3"/>
    <d v="1899-12-30T00:11:20"/>
    <x v="0"/>
    <x v="0"/>
    <x v="4"/>
    <x v="0"/>
    <x v="10"/>
  </r>
  <r>
    <x v="0"/>
    <n v="1"/>
    <x v="0"/>
    <x v="1"/>
    <x v="1"/>
    <x v="4"/>
    <n v="25000000"/>
    <n v="1"/>
    <d v="1899-12-30T00:11:20"/>
    <x v="0"/>
    <x v="0"/>
    <x v="5"/>
    <x v="3"/>
    <x v="4"/>
  </r>
  <r>
    <x v="0"/>
    <n v="11"/>
    <x v="0"/>
    <x v="4"/>
    <x v="1"/>
    <x v="1"/>
    <n v="15000000"/>
    <n v="2"/>
    <d v="1899-12-30T00:11:20"/>
    <x v="0"/>
    <x v="3"/>
    <x v="6"/>
    <x v="2"/>
    <x v="11"/>
  </r>
  <r>
    <x v="0"/>
    <n v="4"/>
    <x v="8"/>
    <x v="1"/>
    <x v="2"/>
    <x v="3"/>
    <n v="20000000"/>
    <n v="1"/>
    <d v="1899-12-30T00:11:20"/>
    <x v="2"/>
    <x v="7"/>
    <x v="2"/>
    <x v="1"/>
    <x v="14"/>
  </r>
  <r>
    <x v="1"/>
    <n v="5"/>
    <x v="3"/>
    <x v="0"/>
    <x v="2"/>
    <x v="5"/>
    <n v="0"/>
    <n v="3"/>
    <d v="1899-12-30T00:11:20"/>
    <x v="3"/>
    <x v="9"/>
    <x v="2"/>
    <x v="1"/>
    <x v="2"/>
  </r>
  <r>
    <x v="1"/>
    <n v="10"/>
    <x v="10"/>
    <x v="0"/>
    <x v="1"/>
    <x v="5"/>
    <n v="0"/>
    <n v="2"/>
    <d v="1899-12-30T00:11:20"/>
    <x v="3"/>
    <x v="9"/>
    <x v="4"/>
    <x v="3"/>
    <x v="4"/>
  </r>
  <r>
    <x v="1"/>
    <n v="10"/>
    <x v="10"/>
    <x v="4"/>
    <x v="2"/>
    <x v="5"/>
    <n v="0"/>
    <n v="2"/>
    <d v="1899-12-30T00:11:20"/>
    <x v="3"/>
    <x v="9"/>
    <x v="0"/>
    <x v="0"/>
    <x v="7"/>
  </r>
  <r>
    <x v="0"/>
    <n v="17"/>
    <x v="5"/>
    <x v="1"/>
    <x v="2"/>
    <x v="2"/>
    <n v="38000000"/>
    <n v="4"/>
    <d v="1899-12-30T00:12:45"/>
    <x v="1"/>
    <x v="2"/>
    <x v="3"/>
    <x v="1"/>
    <x v="2"/>
  </r>
  <r>
    <x v="0"/>
    <n v="2"/>
    <x v="8"/>
    <x v="0"/>
    <x v="2"/>
    <x v="4"/>
    <n v="25000000"/>
    <n v="1"/>
    <d v="1899-12-30T00:12:45"/>
    <x v="0"/>
    <x v="0"/>
    <x v="7"/>
    <x v="0"/>
    <x v="0"/>
  </r>
  <r>
    <x v="0"/>
    <n v="5"/>
    <x v="1"/>
    <x v="0"/>
    <x v="0"/>
    <x v="3"/>
    <n v="20000000"/>
    <n v="3"/>
    <d v="1899-12-30T00:12:45"/>
    <x v="2"/>
    <x v="5"/>
    <x v="3"/>
    <x v="0"/>
    <x v="12"/>
  </r>
  <r>
    <x v="0"/>
    <n v="11"/>
    <x v="1"/>
    <x v="1"/>
    <x v="1"/>
    <x v="0"/>
    <n v="7000000"/>
    <n v="6"/>
    <d v="1899-12-30T00:12:45"/>
    <x v="0"/>
    <x v="2"/>
    <x v="1"/>
    <x v="1"/>
    <x v="14"/>
  </r>
  <r>
    <x v="0"/>
    <n v="28"/>
    <x v="2"/>
    <x v="2"/>
    <x v="2"/>
    <x v="1"/>
    <n v="11000000"/>
    <n v="2"/>
    <d v="1899-12-30T00:12:45"/>
    <x v="0"/>
    <x v="2"/>
    <x v="1"/>
    <x v="0"/>
    <x v="0"/>
  </r>
  <r>
    <x v="0"/>
    <n v="16"/>
    <x v="2"/>
    <x v="1"/>
    <x v="1"/>
    <x v="4"/>
    <n v="20000000"/>
    <n v="5"/>
    <d v="1899-12-30T00:12:45"/>
    <x v="0"/>
    <x v="0"/>
    <x v="4"/>
    <x v="2"/>
    <x v="11"/>
  </r>
  <r>
    <x v="0"/>
    <n v="30"/>
    <x v="2"/>
    <x v="4"/>
    <x v="0"/>
    <x v="2"/>
    <n v="10000000"/>
    <n v="1"/>
    <d v="1899-12-30T00:12:45"/>
    <x v="0"/>
    <x v="0"/>
    <x v="6"/>
    <x v="3"/>
    <x v="13"/>
  </r>
  <r>
    <x v="0"/>
    <n v="8"/>
    <x v="3"/>
    <x v="1"/>
    <x v="2"/>
    <x v="0"/>
    <n v="19000000"/>
    <n v="4"/>
    <d v="1899-12-30T00:12:45"/>
    <x v="1"/>
    <x v="0"/>
    <x v="5"/>
    <x v="3"/>
    <x v="13"/>
  </r>
  <r>
    <x v="0"/>
    <n v="17"/>
    <x v="5"/>
    <x v="1"/>
    <x v="2"/>
    <x v="2"/>
    <n v="38000000"/>
    <n v="4"/>
    <d v="1899-12-30T00:12:45"/>
    <x v="1"/>
    <x v="2"/>
    <x v="3"/>
    <x v="1"/>
    <x v="2"/>
  </r>
  <r>
    <x v="0"/>
    <n v="2"/>
    <x v="8"/>
    <x v="0"/>
    <x v="2"/>
    <x v="4"/>
    <n v="25000000"/>
    <n v="1"/>
    <d v="1899-12-30T00:12:45"/>
    <x v="0"/>
    <x v="0"/>
    <x v="7"/>
    <x v="0"/>
    <x v="0"/>
  </r>
  <r>
    <x v="0"/>
    <n v="5"/>
    <x v="1"/>
    <x v="0"/>
    <x v="0"/>
    <x v="3"/>
    <n v="20000000"/>
    <n v="3"/>
    <d v="1899-12-30T00:12:45"/>
    <x v="2"/>
    <x v="5"/>
    <x v="3"/>
    <x v="0"/>
    <x v="12"/>
  </r>
  <r>
    <x v="1"/>
    <n v="22"/>
    <x v="2"/>
    <x v="3"/>
    <x v="1"/>
    <x v="5"/>
    <n v="0"/>
    <n v="3"/>
    <d v="1899-12-30T00:12:45"/>
    <x v="3"/>
    <x v="9"/>
    <x v="2"/>
    <x v="1"/>
    <x v="2"/>
  </r>
  <r>
    <x v="1"/>
    <n v="25"/>
    <x v="3"/>
    <x v="3"/>
    <x v="1"/>
    <x v="5"/>
    <n v="0"/>
    <n v="5"/>
    <d v="1899-12-30T00:12:45"/>
    <x v="3"/>
    <x v="9"/>
    <x v="5"/>
    <x v="0"/>
    <x v="0"/>
  </r>
  <r>
    <x v="1"/>
    <n v="16"/>
    <x v="4"/>
    <x v="0"/>
    <x v="2"/>
    <x v="5"/>
    <n v="0"/>
    <n v="3"/>
    <d v="1899-12-30T00:12:45"/>
    <x v="3"/>
    <x v="9"/>
    <x v="3"/>
    <x v="3"/>
    <x v="13"/>
  </r>
  <r>
    <x v="1"/>
    <n v="30"/>
    <x v="4"/>
    <x v="2"/>
    <x v="2"/>
    <x v="5"/>
    <n v="0"/>
    <n v="5"/>
    <d v="1899-12-30T00:12:45"/>
    <x v="3"/>
    <x v="9"/>
    <x v="6"/>
    <x v="1"/>
    <x v="6"/>
  </r>
  <r>
    <x v="1"/>
    <n v="1"/>
    <x v="10"/>
    <x v="1"/>
    <x v="0"/>
    <x v="5"/>
    <n v="0"/>
    <n v="2"/>
    <d v="1899-12-30T00:12:45"/>
    <x v="3"/>
    <x v="9"/>
    <x v="1"/>
    <x v="1"/>
    <x v="1"/>
  </r>
  <r>
    <x v="0"/>
    <n v="13"/>
    <x v="6"/>
    <x v="2"/>
    <x v="0"/>
    <x v="0"/>
    <n v="7000000"/>
    <n v="6"/>
    <d v="1899-12-30T00:12:55"/>
    <x v="0"/>
    <x v="5"/>
    <x v="3"/>
    <x v="3"/>
    <x v="4"/>
  </r>
  <r>
    <x v="0"/>
    <n v="10"/>
    <x v="0"/>
    <x v="4"/>
    <x v="0"/>
    <x v="1"/>
    <n v="15000000"/>
    <n v="1"/>
    <d v="1899-12-30T00:12:55"/>
    <x v="0"/>
    <x v="7"/>
    <x v="2"/>
    <x v="0"/>
    <x v="9"/>
  </r>
  <r>
    <x v="0"/>
    <n v="9"/>
    <x v="11"/>
    <x v="0"/>
    <x v="2"/>
    <x v="3"/>
    <n v="11000000"/>
    <n v="1"/>
    <d v="1899-12-30T00:12:55"/>
    <x v="2"/>
    <x v="0"/>
    <x v="3"/>
    <x v="0"/>
    <x v="10"/>
  </r>
  <r>
    <x v="0"/>
    <n v="21"/>
    <x v="2"/>
    <x v="0"/>
    <x v="1"/>
    <x v="2"/>
    <n v="38000000"/>
    <n v="3"/>
    <d v="1899-12-30T00:12:55"/>
    <x v="1"/>
    <x v="4"/>
    <x v="1"/>
    <x v="1"/>
    <x v="6"/>
  </r>
  <r>
    <x v="0"/>
    <n v="30"/>
    <x v="2"/>
    <x v="3"/>
    <x v="2"/>
    <x v="1"/>
    <n v="15000000"/>
    <n v="5"/>
    <d v="1899-12-30T00:12:55"/>
    <x v="0"/>
    <x v="0"/>
    <x v="7"/>
    <x v="1"/>
    <x v="15"/>
  </r>
  <r>
    <x v="0"/>
    <n v="13"/>
    <x v="3"/>
    <x v="0"/>
    <x v="2"/>
    <x v="2"/>
    <n v="38000000"/>
    <n v="1"/>
    <d v="1899-12-30T00:12:55"/>
    <x v="1"/>
    <x v="6"/>
    <x v="7"/>
    <x v="3"/>
    <x v="13"/>
  </r>
  <r>
    <x v="0"/>
    <n v="2"/>
    <x v="3"/>
    <x v="0"/>
    <x v="1"/>
    <x v="2"/>
    <n v="10000000"/>
    <n v="5"/>
    <d v="1899-12-30T00:12:55"/>
    <x v="0"/>
    <x v="0"/>
    <x v="2"/>
    <x v="0"/>
    <x v="7"/>
  </r>
  <r>
    <x v="0"/>
    <n v="4"/>
    <x v="3"/>
    <x v="1"/>
    <x v="1"/>
    <x v="3"/>
    <n v="20000000"/>
    <n v="2"/>
    <d v="1899-12-30T00:12:55"/>
    <x v="0"/>
    <x v="2"/>
    <x v="2"/>
    <x v="2"/>
    <x v="8"/>
  </r>
  <r>
    <x v="0"/>
    <n v="6"/>
    <x v="3"/>
    <x v="3"/>
    <x v="3"/>
    <x v="2"/>
    <n v="12000000"/>
    <n v="2"/>
    <d v="1899-12-30T00:12:55"/>
    <x v="0"/>
    <x v="7"/>
    <x v="2"/>
    <x v="1"/>
    <x v="1"/>
  </r>
  <r>
    <x v="0"/>
    <n v="23"/>
    <x v="3"/>
    <x v="5"/>
    <x v="0"/>
    <x v="1"/>
    <n v="15000000"/>
    <n v="1"/>
    <d v="1899-12-30T00:12:55"/>
    <x v="0"/>
    <x v="3"/>
    <x v="7"/>
    <x v="0"/>
    <x v="12"/>
  </r>
  <r>
    <x v="0"/>
    <n v="8"/>
    <x v="3"/>
    <x v="3"/>
    <x v="2"/>
    <x v="2"/>
    <n v="12000000"/>
    <n v="2"/>
    <d v="1899-12-30T00:12:55"/>
    <x v="0"/>
    <x v="4"/>
    <x v="4"/>
    <x v="0"/>
    <x v="0"/>
  </r>
  <r>
    <x v="0"/>
    <n v="1"/>
    <x v="3"/>
    <x v="1"/>
    <x v="1"/>
    <x v="2"/>
    <n v="12000000"/>
    <n v="2"/>
    <d v="1899-12-30T00:12:55"/>
    <x v="0"/>
    <x v="0"/>
    <x v="5"/>
    <x v="1"/>
    <x v="1"/>
  </r>
  <r>
    <x v="0"/>
    <n v="20"/>
    <x v="3"/>
    <x v="3"/>
    <x v="1"/>
    <x v="4"/>
    <n v="21000000"/>
    <n v="2"/>
    <d v="1899-12-30T00:12:55"/>
    <x v="0"/>
    <x v="7"/>
    <x v="5"/>
    <x v="0"/>
    <x v="7"/>
  </r>
  <r>
    <x v="0"/>
    <n v="11"/>
    <x v="4"/>
    <x v="2"/>
    <x v="2"/>
    <x v="2"/>
    <n v="12000000"/>
    <n v="1"/>
    <d v="1899-12-30T00:12:55"/>
    <x v="0"/>
    <x v="2"/>
    <x v="0"/>
    <x v="0"/>
    <x v="0"/>
  </r>
  <r>
    <x v="0"/>
    <n v="3"/>
    <x v="4"/>
    <x v="5"/>
    <x v="2"/>
    <x v="4"/>
    <n v="25000000"/>
    <n v="1"/>
    <d v="1899-12-30T00:12:55"/>
    <x v="0"/>
    <x v="1"/>
    <x v="5"/>
    <x v="1"/>
    <x v="6"/>
  </r>
  <r>
    <x v="0"/>
    <n v="30"/>
    <x v="10"/>
    <x v="3"/>
    <x v="1"/>
    <x v="0"/>
    <n v="19000000"/>
    <n v="2"/>
    <d v="1899-12-30T00:12:55"/>
    <x v="1"/>
    <x v="2"/>
    <x v="6"/>
    <x v="1"/>
    <x v="15"/>
  </r>
  <r>
    <x v="0"/>
    <n v="28"/>
    <x v="10"/>
    <x v="3"/>
    <x v="0"/>
    <x v="3"/>
    <n v="20000000"/>
    <n v="1"/>
    <d v="1899-12-30T00:12:55"/>
    <x v="2"/>
    <x v="2"/>
    <x v="3"/>
    <x v="3"/>
    <x v="4"/>
  </r>
  <r>
    <x v="0"/>
    <n v="1"/>
    <x v="10"/>
    <x v="0"/>
    <x v="2"/>
    <x v="4"/>
    <n v="25000000"/>
    <n v="3"/>
    <d v="1899-12-30T00:12:55"/>
    <x v="0"/>
    <x v="1"/>
    <x v="2"/>
    <x v="3"/>
    <x v="4"/>
  </r>
  <r>
    <x v="0"/>
    <n v="30"/>
    <x v="10"/>
    <x v="1"/>
    <x v="2"/>
    <x v="0"/>
    <n v="7000000"/>
    <n v="1"/>
    <d v="1899-12-30T00:12:55"/>
    <x v="0"/>
    <x v="7"/>
    <x v="2"/>
    <x v="0"/>
    <x v="9"/>
  </r>
  <r>
    <x v="0"/>
    <n v="13"/>
    <x v="6"/>
    <x v="2"/>
    <x v="0"/>
    <x v="0"/>
    <n v="7000000"/>
    <n v="6"/>
    <d v="1899-12-30T00:12:55"/>
    <x v="0"/>
    <x v="5"/>
    <x v="3"/>
    <x v="3"/>
    <x v="4"/>
  </r>
  <r>
    <x v="0"/>
    <n v="10"/>
    <x v="0"/>
    <x v="4"/>
    <x v="0"/>
    <x v="1"/>
    <n v="15000000"/>
    <n v="1"/>
    <d v="1899-12-30T00:12:55"/>
    <x v="0"/>
    <x v="7"/>
    <x v="2"/>
    <x v="0"/>
    <x v="9"/>
  </r>
  <r>
    <x v="0"/>
    <n v="9"/>
    <x v="11"/>
    <x v="0"/>
    <x v="2"/>
    <x v="3"/>
    <n v="11000000"/>
    <n v="1"/>
    <d v="1899-12-30T00:12:55"/>
    <x v="2"/>
    <x v="0"/>
    <x v="3"/>
    <x v="0"/>
    <x v="10"/>
  </r>
  <r>
    <x v="1"/>
    <n v="11"/>
    <x v="6"/>
    <x v="2"/>
    <x v="1"/>
    <x v="5"/>
    <n v="0"/>
    <n v="2"/>
    <d v="1899-12-30T00:12:55"/>
    <x v="3"/>
    <x v="9"/>
    <x v="6"/>
    <x v="1"/>
    <x v="6"/>
  </r>
  <r>
    <x v="1"/>
    <n v="12"/>
    <x v="7"/>
    <x v="0"/>
    <x v="1"/>
    <x v="5"/>
    <n v="0"/>
    <n v="2"/>
    <d v="1899-12-30T00:12:55"/>
    <x v="3"/>
    <x v="9"/>
    <x v="6"/>
    <x v="2"/>
    <x v="8"/>
  </r>
  <r>
    <x v="1"/>
    <n v="30"/>
    <x v="2"/>
    <x v="2"/>
    <x v="4"/>
    <x v="5"/>
    <n v="0"/>
    <n v="2"/>
    <d v="1899-12-30T00:12:55"/>
    <x v="3"/>
    <x v="9"/>
    <x v="7"/>
    <x v="0"/>
    <x v="0"/>
  </r>
  <r>
    <x v="1"/>
    <n v="14"/>
    <x v="3"/>
    <x v="5"/>
    <x v="3"/>
    <x v="5"/>
    <n v="0"/>
    <n v="2"/>
    <d v="1899-12-30T00:12:55"/>
    <x v="3"/>
    <x v="9"/>
    <x v="0"/>
    <x v="2"/>
    <x v="8"/>
  </r>
  <r>
    <x v="1"/>
    <n v="18"/>
    <x v="4"/>
    <x v="2"/>
    <x v="1"/>
    <x v="5"/>
    <n v="0"/>
    <n v="2"/>
    <d v="1899-12-30T00:12:55"/>
    <x v="3"/>
    <x v="9"/>
    <x v="2"/>
    <x v="3"/>
    <x v="4"/>
  </r>
  <r>
    <x v="1"/>
    <n v="24"/>
    <x v="4"/>
    <x v="3"/>
    <x v="2"/>
    <x v="5"/>
    <n v="0"/>
    <n v="2"/>
    <d v="1899-12-30T00:12:55"/>
    <x v="3"/>
    <x v="9"/>
    <x v="0"/>
    <x v="1"/>
    <x v="1"/>
  </r>
  <r>
    <x v="1"/>
    <n v="9"/>
    <x v="10"/>
    <x v="0"/>
    <x v="1"/>
    <x v="5"/>
    <n v="0"/>
    <n v="1"/>
    <d v="1899-12-30T00:12:55"/>
    <x v="3"/>
    <x v="9"/>
    <x v="4"/>
    <x v="1"/>
    <x v="6"/>
  </r>
  <r>
    <x v="1"/>
    <n v="11"/>
    <x v="6"/>
    <x v="2"/>
    <x v="1"/>
    <x v="5"/>
    <n v="0"/>
    <n v="2"/>
    <d v="1899-12-30T00:12:55"/>
    <x v="3"/>
    <x v="9"/>
    <x v="6"/>
    <x v="1"/>
    <x v="6"/>
  </r>
  <r>
    <x v="1"/>
    <n v="12"/>
    <x v="7"/>
    <x v="0"/>
    <x v="1"/>
    <x v="5"/>
    <n v="0"/>
    <n v="2"/>
    <d v="1899-12-30T00:12:55"/>
    <x v="3"/>
    <x v="9"/>
    <x v="6"/>
    <x v="2"/>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2CA180-CE38-4FD5-B2D9-9D4A9CEBBA8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B4:AB5" firstHeaderRow="1" firstDataRow="1" firstDataCol="0"/>
  <pivotFields count="14">
    <pivotField showAll="0"/>
    <pivotField numFmtId="1" showAll="0"/>
    <pivotField showAll="0">
      <items count="13">
        <item x="5"/>
        <item x="6"/>
        <item x="7"/>
        <item x="0"/>
        <item x="8"/>
        <item x="9"/>
        <item x="11"/>
        <item x="1"/>
        <item x="2"/>
        <item x="3"/>
        <item x="4"/>
        <item x="10"/>
        <item t="default"/>
      </items>
    </pivotField>
    <pivotField showAll="0"/>
    <pivotField showAll="0"/>
    <pivotField dataField="1" numFmtId="3" showAll="0">
      <items count="7">
        <item x="5"/>
        <item x="0"/>
        <item x="2"/>
        <item x="1"/>
        <item x="3"/>
        <item x="4"/>
        <item t="default"/>
      </items>
    </pivotField>
    <pivotField numFmtId="165" showAll="0"/>
    <pivotField showAll="0"/>
    <pivotField numFmtId="45" showAll="0"/>
    <pivotField showAll="0"/>
    <pivotField showAll="0"/>
    <pivotField showAll="0"/>
    <pivotField showAll="0">
      <items count="5">
        <item x="2"/>
        <item x="3"/>
        <item x="1"/>
        <item x="0"/>
        <item t="default"/>
      </items>
    </pivotField>
    <pivotField showAll="0">
      <items count="17">
        <item x="5"/>
        <item x="2"/>
        <item x="8"/>
        <item x="6"/>
        <item x="1"/>
        <item x="4"/>
        <item x="14"/>
        <item x="0"/>
        <item x="10"/>
        <item x="11"/>
        <item x="13"/>
        <item x="15"/>
        <item x="9"/>
        <item x="7"/>
        <item x="12"/>
        <item x="3"/>
        <item t="default"/>
      </items>
    </pivotField>
  </pivotFields>
  <rowItems count="1">
    <i/>
  </rowItems>
  <colItems count="1">
    <i/>
  </colItems>
  <dataFields count="1">
    <dataField name="Avg of Enrolled Courses" fld="5" subtotal="average"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6D61EF-3D21-4DCD-837E-499C50D8EF4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E5" firstHeaderRow="1" firstDataRow="1" firstDataCol="1"/>
  <pivotFields count="14">
    <pivotField axis="axisRow" dataField="1" showAll="0">
      <items count="3">
        <item x="1"/>
        <item x="0"/>
        <item t="default"/>
      </items>
    </pivotField>
    <pivotField numFmtId="1" showAll="0"/>
    <pivotField showAll="0">
      <items count="13">
        <item x="5"/>
        <item x="6"/>
        <item x="7"/>
        <item x="0"/>
        <item x="8"/>
        <item x="9"/>
        <item x="11"/>
        <item x="1"/>
        <item x="2"/>
        <item x="3"/>
        <item x="4"/>
        <item x="10"/>
        <item t="default"/>
      </items>
    </pivotField>
    <pivotField showAll="0"/>
    <pivotField showAll="0"/>
    <pivotField numFmtId="3" showAll="0"/>
    <pivotField numFmtId="165" showAll="0"/>
    <pivotField showAll="0"/>
    <pivotField numFmtId="45" showAll="0"/>
    <pivotField showAll="0"/>
    <pivotField showAll="0"/>
    <pivotField showAll="0"/>
    <pivotField showAll="0">
      <items count="5">
        <item x="2"/>
        <item x="3"/>
        <item x="1"/>
        <item x="0"/>
        <item t="default"/>
      </items>
    </pivotField>
    <pivotField showAll="0"/>
  </pivotFields>
  <rowFields count="1">
    <field x="0"/>
  </rowFields>
  <rowItems count="3">
    <i>
      <x/>
    </i>
    <i>
      <x v="1"/>
    </i>
    <i t="grand">
      <x/>
    </i>
  </rowItems>
  <colItems count="1">
    <i/>
  </colItems>
  <dataFields count="1">
    <dataField name="Count of Fees Statu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F59276-F05F-44E9-976A-B7FD5206EDF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B8:AB9" firstHeaderRow="1" firstDataRow="1" firstDataCol="0"/>
  <pivotFields count="14">
    <pivotField showAll="0"/>
    <pivotField numFmtId="1" showAll="0"/>
    <pivotField showAll="0">
      <items count="13">
        <item x="5"/>
        <item x="6"/>
        <item x="7"/>
        <item x="0"/>
        <item x="8"/>
        <item x="9"/>
        <item x="11"/>
        <item x="1"/>
        <item x="2"/>
        <item x="3"/>
        <item x="4"/>
        <item x="10"/>
        <item t="default"/>
      </items>
    </pivotField>
    <pivotField showAll="0"/>
    <pivotField showAll="0"/>
    <pivotField dataField="1" numFmtId="3" showAll="0">
      <items count="7">
        <item x="5"/>
        <item x="0"/>
        <item x="2"/>
        <item x="1"/>
        <item x="3"/>
        <item x="4"/>
        <item t="default"/>
      </items>
    </pivotField>
    <pivotField numFmtId="165" showAll="0"/>
    <pivotField showAll="0"/>
    <pivotField numFmtId="45" showAll="0"/>
    <pivotField showAll="0"/>
    <pivotField showAll="0"/>
    <pivotField showAll="0"/>
    <pivotField showAll="0">
      <items count="5">
        <item x="2"/>
        <item x="3"/>
        <item x="1"/>
        <item x="0"/>
        <item t="default"/>
      </items>
    </pivotField>
    <pivotField showAll="0">
      <items count="17">
        <item x="5"/>
        <item x="2"/>
        <item x="8"/>
        <item x="6"/>
        <item x="1"/>
        <item x="4"/>
        <item x="14"/>
        <item x="0"/>
        <item x="10"/>
        <item x="11"/>
        <item x="13"/>
        <item x="15"/>
        <item x="9"/>
        <item x="7"/>
        <item x="12"/>
        <item x="3"/>
        <item t="default"/>
      </items>
    </pivotField>
  </pivotFields>
  <rowItems count="1">
    <i/>
  </rowItems>
  <colItems count="1">
    <i/>
  </colItems>
  <dataFields count="1">
    <dataField name="Sum of Enrolled Courses" fld="5"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32A9D3-4D3A-4048-81D4-C16C54624049}"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8">
  <location ref="CC48:CC54" firstHeaderRow="1" firstDataRow="1" firstDataCol="1"/>
  <pivotFields count="14">
    <pivotField showAll="0">
      <items count="3">
        <item x="1"/>
        <item x="0"/>
        <item t="default"/>
      </items>
    </pivotField>
    <pivotField numFmtId="1" showAll="0"/>
    <pivotField showAll="0">
      <items count="13">
        <item x="5"/>
        <item x="6"/>
        <item x="7"/>
        <item x="0"/>
        <item x="8"/>
        <item x="9"/>
        <item x="11"/>
        <item x="1"/>
        <item x="2"/>
        <item x="3"/>
        <item x="4"/>
        <item x="10"/>
        <item t="default"/>
      </items>
    </pivotField>
    <pivotField showAll="0">
      <items count="7">
        <item x="1"/>
        <item x="2"/>
        <item x="4"/>
        <item x="0"/>
        <item x="3"/>
        <item x="5"/>
        <item t="default"/>
      </items>
    </pivotField>
    <pivotField axis="axisRow" showAll="0">
      <items count="6">
        <item x="1"/>
        <item x="2"/>
        <item x="3"/>
        <item x="0"/>
        <item x="4"/>
        <item t="default"/>
      </items>
    </pivotField>
    <pivotField numFmtId="3" showAll="0">
      <items count="7">
        <item x="5"/>
        <item x="0"/>
        <item x="2"/>
        <item x="1"/>
        <item x="3"/>
        <item x="4"/>
        <item t="default"/>
      </items>
    </pivotField>
    <pivotField numFmtId="165" showAll="0"/>
    <pivotField showAll="0"/>
    <pivotField numFmtId="45" showAll="0"/>
    <pivotField showAll="0">
      <items count="6">
        <item x="1"/>
        <item x="2"/>
        <item x="4"/>
        <item x="0"/>
        <item x="3"/>
        <item t="default"/>
      </items>
    </pivotField>
    <pivotField showAll="0">
      <items count="11">
        <item x="9"/>
        <item x="1"/>
        <item x="8"/>
        <item x="7"/>
        <item x="5"/>
        <item x="0"/>
        <item x="6"/>
        <item x="2"/>
        <item x="3"/>
        <item x="4"/>
        <item t="default"/>
      </items>
    </pivotField>
    <pivotField showAll="0">
      <items count="9">
        <item x="2"/>
        <item x="3"/>
        <item x="4"/>
        <item x="0"/>
        <item x="5"/>
        <item x="1"/>
        <item x="6"/>
        <item x="7"/>
        <item t="default"/>
      </items>
    </pivotField>
    <pivotField showAll="0">
      <items count="5">
        <item x="2"/>
        <item x="3"/>
        <item x="1"/>
        <item x="0"/>
        <item t="default"/>
      </items>
    </pivotField>
    <pivotField showAll="0" sortType="ascending">
      <items count="17">
        <item x="3"/>
        <item x="12"/>
        <item x="7"/>
        <item x="9"/>
        <item x="15"/>
        <item x="13"/>
        <item x="11"/>
        <item x="10"/>
        <item x="0"/>
        <item x="14"/>
        <item x="4"/>
        <item x="1"/>
        <item x="6"/>
        <item x="8"/>
        <item x="2"/>
        <item x="5"/>
        <item t="default"/>
      </items>
    </pivotField>
  </pivotFields>
  <rowFields count="1">
    <field x="4"/>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2AEB49-1C5B-403B-B0EB-45FC0EC50FE1}"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7">
  <location ref="BH8:BI25" firstHeaderRow="1" firstDataRow="1" firstDataCol="1" rowPageCount="1" colPageCount="1"/>
  <pivotFields count="14">
    <pivotField axis="axisPage" showAll="0">
      <items count="3">
        <item x="1"/>
        <item x="0"/>
        <item t="default"/>
      </items>
    </pivotField>
    <pivotField numFmtId="1" showAll="0"/>
    <pivotField showAll="0">
      <items count="13">
        <item x="5"/>
        <item x="6"/>
        <item x="7"/>
        <item x="0"/>
        <item x="8"/>
        <item x="9"/>
        <item x="11"/>
        <item x="1"/>
        <item x="2"/>
        <item x="3"/>
        <item x="4"/>
        <item x="10"/>
        <item t="default"/>
      </items>
    </pivotField>
    <pivotField showAll="0"/>
    <pivotField showAll="0"/>
    <pivotField numFmtId="3" showAll="0">
      <items count="7">
        <item x="5"/>
        <item x="0"/>
        <item x="2"/>
        <item x="1"/>
        <item x="3"/>
        <item x="4"/>
        <item t="default"/>
      </items>
    </pivotField>
    <pivotField dataField="1" numFmtId="165" showAll="0"/>
    <pivotField showAll="0"/>
    <pivotField numFmtId="45" showAll="0"/>
    <pivotField showAll="0">
      <items count="6">
        <item x="1"/>
        <item x="2"/>
        <item x="4"/>
        <item x="0"/>
        <item x="3"/>
        <item t="default"/>
      </items>
    </pivotField>
    <pivotField showAll="0">
      <items count="11">
        <item x="9"/>
        <item x="1"/>
        <item x="8"/>
        <item x="7"/>
        <item x="5"/>
        <item x="0"/>
        <item x="6"/>
        <item x="2"/>
        <item x="3"/>
        <item x="4"/>
        <item t="default"/>
      </items>
    </pivotField>
    <pivotField showAll="0">
      <items count="9">
        <item x="2"/>
        <item x="3"/>
        <item x="4"/>
        <item x="0"/>
        <item x="5"/>
        <item x="1"/>
        <item x="6"/>
        <item x="7"/>
        <item t="default"/>
      </items>
    </pivotField>
    <pivotField showAll="0">
      <items count="5">
        <item x="2"/>
        <item x="3"/>
        <item x="1"/>
        <item x="0"/>
        <item t="default"/>
      </items>
    </pivotField>
    <pivotField axis="axisRow" showAll="0" sortType="ascending">
      <items count="17">
        <item x="3"/>
        <item x="12"/>
        <item x="7"/>
        <item x="9"/>
        <item x="15"/>
        <item x="13"/>
        <item x="11"/>
        <item x="10"/>
        <item x="0"/>
        <item x="14"/>
        <item x="4"/>
        <item x="1"/>
        <item x="6"/>
        <item x="8"/>
        <item x="2"/>
        <item x="5"/>
        <item t="default"/>
      </items>
    </pivotField>
  </pivotFields>
  <rowFields count="1">
    <field x="13"/>
  </rowFields>
  <rowItems count="17">
    <i>
      <x/>
    </i>
    <i>
      <x v="1"/>
    </i>
    <i>
      <x v="2"/>
    </i>
    <i>
      <x v="3"/>
    </i>
    <i>
      <x v="4"/>
    </i>
    <i>
      <x v="5"/>
    </i>
    <i>
      <x v="6"/>
    </i>
    <i>
      <x v="7"/>
    </i>
    <i>
      <x v="8"/>
    </i>
    <i>
      <x v="9"/>
    </i>
    <i>
      <x v="10"/>
    </i>
    <i>
      <x v="11"/>
    </i>
    <i>
      <x v="12"/>
    </i>
    <i>
      <x v="13"/>
    </i>
    <i>
      <x v="14"/>
    </i>
    <i>
      <x v="15"/>
    </i>
    <i t="grand">
      <x/>
    </i>
  </rowItems>
  <colItems count="1">
    <i/>
  </colItems>
  <pageFields count="1">
    <pageField fld="0" item="1" hier="-1"/>
  </pageFields>
  <dataFields count="1">
    <dataField name="Sum of Paid Fees" fld="6" baseField="13" baseItem="0" numFmtId="166"/>
  </dataFields>
  <chartFormats count="2">
    <chartFormat chart="70" format="0" series="1">
      <pivotArea type="data" outline="0" fieldPosition="0">
        <references count="1">
          <reference field="4294967294" count="1" selected="0">
            <x v="0"/>
          </reference>
        </references>
      </pivotArea>
    </chartFormat>
    <chartFormat chart="7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951B85-9E39-4DC1-9E19-45CC54B7ACAE}" name="Enr_month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Y4:Z17" firstHeaderRow="1" firstDataRow="1" firstDataCol="1"/>
  <pivotFields count="14">
    <pivotField showAll="0"/>
    <pivotField numFmtId="1" showAll="0"/>
    <pivotField axis="axisRow" showAll="0">
      <items count="13">
        <item x="5"/>
        <item x="6"/>
        <item x="7"/>
        <item x="0"/>
        <item x="8"/>
        <item x="9"/>
        <item x="11"/>
        <item x="1"/>
        <item x="2"/>
        <item x="3"/>
        <item x="4"/>
        <item x="10"/>
        <item t="default"/>
      </items>
    </pivotField>
    <pivotField showAll="0"/>
    <pivotField showAll="0"/>
    <pivotField dataField="1" numFmtId="3" showAll="0">
      <items count="7">
        <item x="5"/>
        <item x="0"/>
        <item x="2"/>
        <item x="1"/>
        <item x="3"/>
        <item x="4"/>
        <item t="default"/>
      </items>
    </pivotField>
    <pivotField numFmtId="165" showAll="0"/>
    <pivotField showAll="0"/>
    <pivotField numFmtId="45" showAll="0"/>
    <pivotField showAll="0"/>
    <pivotField showAll="0"/>
    <pivotField showAll="0"/>
    <pivotField showAll="0">
      <items count="5">
        <item x="2"/>
        <item x="3"/>
        <item x="1"/>
        <item x="0"/>
        <item t="default"/>
      </items>
    </pivotField>
    <pivotField showAll="0">
      <items count="17">
        <item x="5"/>
        <item x="2"/>
        <item x="8"/>
        <item x="6"/>
        <item x="1"/>
        <item x="4"/>
        <item x="14"/>
        <item x="0"/>
        <item x="10"/>
        <item x="11"/>
        <item x="13"/>
        <item x="15"/>
        <item x="9"/>
        <item x="7"/>
        <item x="12"/>
        <item x="3"/>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Sum of Enrolled Courses" fld="5" baseField="0" baseItem="0" numFmtId="3"/>
  </dataFields>
  <chartFormats count="2">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1342FD-21B5-4D52-81FE-448E97E8260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D4:AE13" firstHeaderRow="1" firstDataRow="1" firstDataCol="1"/>
  <pivotFields count="14">
    <pivotField showAll="0"/>
    <pivotField numFmtId="1" showAll="0"/>
    <pivotField showAll="0">
      <items count="13">
        <item x="5"/>
        <item x="6"/>
        <item x="7"/>
        <item x="0"/>
        <item x="8"/>
        <item x="9"/>
        <item x="11"/>
        <item x="1"/>
        <item x="2"/>
        <item x="3"/>
        <item x="4"/>
        <item x="10"/>
        <item t="default"/>
      </items>
    </pivotField>
    <pivotField showAll="0"/>
    <pivotField showAll="0"/>
    <pivotField numFmtId="3" showAll="0">
      <items count="7">
        <item x="5"/>
        <item x="0"/>
        <item x="2"/>
        <item x="1"/>
        <item x="3"/>
        <item x="4"/>
        <item t="default"/>
      </items>
    </pivotField>
    <pivotField numFmtId="165" showAll="0"/>
    <pivotField showAll="0"/>
    <pivotField numFmtId="45" showAll="0"/>
    <pivotField showAll="0"/>
    <pivotField showAll="0"/>
    <pivotField axis="axisRow" dataField="1" showAll="0">
      <items count="9">
        <item x="2"/>
        <item x="3"/>
        <item x="4"/>
        <item x="0"/>
        <item x="5"/>
        <item x="1"/>
        <item x="6"/>
        <item x="7"/>
        <item t="default"/>
      </items>
    </pivotField>
    <pivotField showAll="0">
      <items count="5">
        <item x="2"/>
        <item x="3"/>
        <item x="1"/>
        <item x="0"/>
        <item t="default"/>
      </items>
    </pivotField>
    <pivotField showAll="0">
      <items count="17">
        <item x="5"/>
        <item x="2"/>
        <item x="8"/>
        <item x="6"/>
        <item x="1"/>
        <item x="4"/>
        <item x="14"/>
        <item x="0"/>
        <item x="10"/>
        <item x="11"/>
        <item x="13"/>
        <item x="15"/>
        <item x="9"/>
        <item x="7"/>
        <item x="12"/>
        <item x="3"/>
        <item t="default"/>
      </items>
    </pivotField>
  </pivotFields>
  <rowFields count="1">
    <field x="11"/>
  </rowFields>
  <rowItems count="9">
    <i>
      <x/>
    </i>
    <i>
      <x v="1"/>
    </i>
    <i>
      <x v="2"/>
    </i>
    <i>
      <x v="3"/>
    </i>
    <i>
      <x v="4"/>
    </i>
    <i>
      <x v="5"/>
    </i>
    <i>
      <x v="6"/>
    </i>
    <i>
      <x v="7"/>
    </i>
    <i t="grand">
      <x/>
    </i>
  </rowItems>
  <colItems count="1">
    <i/>
  </colItems>
  <dataFields count="1">
    <dataField name="Count of Area Code" fld="11" subtotal="count" baseField="0" baseItem="0"/>
  </dataFields>
  <chartFormats count="4">
    <chartFormat chart="33"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9" format="1"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7BDD438-DBD1-4903-8331-F4137575F17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I21" firstHeaderRow="1" firstDataRow="1" firstDataCol="1"/>
  <pivotFields count="14">
    <pivotField showAll="0"/>
    <pivotField numFmtId="1" showAll="0"/>
    <pivotField showAll="0">
      <items count="13">
        <item x="5"/>
        <item x="6"/>
        <item x="7"/>
        <item x="0"/>
        <item x="8"/>
        <item x="9"/>
        <item x="11"/>
        <item x="1"/>
        <item x="2"/>
        <item x="3"/>
        <item x="4"/>
        <item x="10"/>
        <item t="default"/>
      </items>
    </pivotField>
    <pivotField showAll="0"/>
    <pivotField showAll="0"/>
    <pivotField numFmtId="3" showAll="0"/>
    <pivotField dataField="1" numFmtId="165" showAll="0"/>
    <pivotField showAll="0"/>
    <pivotField numFmtId="45" showAll="0"/>
    <pivotField showAll="0"/>
    <pivotField showAll="0"/>
    <pivotField showAll="0"/>
    <pivotField showAll="0">
      <items count="5">
        <item x="2"/>
        <item x="3"/>
        <item x="1"/>
        <item x="0"/>
        <item t="default"/>
      </items>
    </pivotField>
    <pivotField axis="axisRow" showAll="0" sortType="descending">
      <items count="17">
        <item x="5"/>
        <item x="2"/>
        <item x="8"/>
        <item x="6"/>
        <item x="1"/>
        <item x="4"/>
        <item x="14"/>
        <item x="0"/>
        <item x="10"/>
        <item x="11"/>
        <item x="13"/>
        <item x="15"/>
        <item x="9"/>
        <item x="7"/>
        <item x="12"/>
        <item x="3"/>
        <item t="default"/>
      </items>
      <autoSortScope>
        <pivotArea dataOnly="0" outline="0" fieldPosition="0">
          <references count="1">
            <reference field="4294967294" count="1" selected="0">
              <x v="0"/>
            </reference>
          </references>
        </pivotArea>
      </autoSortScope>
    </pivotField>
  </pivotFields>
  <rowFields count="1">
    <field x="13"/>
  </rowFields>
  <rowItems count="17">
    <i>
      <x v="3"/>
    </i>
    <i>
      <x v="1"/>
    </i>
    <i>
      <x v="10"/>
    </i>
    <i>
      <x v="13"/>
    </i>
    <i>
      <x v="4"/>
    </i>
    <i>
      <x v="2"/>
    </i>
    <i>
      <x v="5"/>
    </i>
    <i>
      <x/>
    </i>
    <i>
      <x v="8"/>
    </i>
    <i>
      <x v="9"/>
    </i>
    <i>
      <x v="12"/>
    </i>
    <i>
      <x v="14"/>
    </i>
    <i>
      <x v="6"/>
    </i>
    <i>
      <x v="15"/>
    </i>
    <i>
      <x v="11"/>
    </i>
    <i>
      <x v="7"/>
    </i>
    <i t="grand">
      <x/>
    </i>
  </rowItems>
  <colItems count="1">
    <i/>
  </colItems>
  <dataFields count="1">
    <dataField name="Sum of Paid Fees" fld="6" baseField="13"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45934F4-D0E4-4F67-9BCF-4C456607947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2">
  <location ref="U5:V8" firstHeaderRow="1" firstDataRow="1" firstDataCol="1"/>
  <pivotFields count="14">
    <pivotField axis="axisRow" dataField="1" showAll="0" sortType="descending">
      <items count="3">
        <item x="0"/>
        <item x="1"/>
        <item t="default"/>
      </items>
    </pivotField>
    <pivotField numFmtId="1" showAll="0"/>
    <pivotField showAll="0">
      <items count="13">
        <item x="5"/>
        <item x="6"/>
        <item x="7"/>
        <item x="0"/>
        <item x="8"/>
        <item x="9"/>
        <item x="11"/>
        <item x="1"/>
        <item x="2"/>
        <item x="3"/>
        <item x="4"/>
        <item x="10"/>
        <item t="default"/>
      </items>
    </pivotField>
    <pivotField showAll="0"/>
    <pivotField showAll="0"/>
    <pivotField numFmtId="3" showAll="0"/>
    <pivotField numFmtId="165" showAll="0"/>
    <pivotField showAll="0"/>
    <pivotField numFmtId="45" showAll="0"/>
    <pivotField showAll="0"/>
    <pivotField showAll="0"/>
    <pivotField showAll="0"/>
    <pivotField showAll="0">
      <items count="5">
        <item x="2"/>
        <item x="3"/>
        <item x="1"/>
        <item x="0"/>
        <item t="default"/>
      </items>
    </pivotField>
    <pivotField showAll="0">
      <items count="17">
        <item x="5"/>
        <item x="2"/>
        <item x="8"/>
        <item x="6"/>
        <item x="1"/>
        <item x="4"/>
        <item x="14"/>
        <item x="0"/>
        <item x="10"/>
        <item x="11"/>
        <item x="13"/>
        <item x="15"/>
        <item x="9"/>
        <item x="7"/>
        <item x="12"/>
        <item x="3"/>
        <item t="default"/>
      </items>
    </pivotField>
  </pivotFields>
  <rowFields count="1">
    <field x="0"/>
  </rowFields>
  <rowItems count="3">
    <i>
      <x/>
    </i>
    <i>
      <x v="1"/>
    </i>
    <i t="grand">
      <x/>
    </i>
  </rowItems>
  <colItems count="1">
    <i/>
  </colItems>
  <dataFields count="1">
    <dataField name="Count of Fees Status" fld="0" subtotal="count" baseField="0" baseItem="0"/>
  </dataFields>
  <formats count="5">
    <format dxfId="4">
      <pivotArea type="all" dataOnly="0" outline="0" fieldPosition="0"/>
    </format>
    <format dxfId="3">
      <pivotArea outline="0" collapsedLevelsAreSubtotals="1" fieldPosition="0"/>
    </format>
    <format dxfId="2">
      <pivotArea field="0" type="button" dataOnly="0" labelOnly="1" outline="0" axis="axisRow" fieldPosition="0"/>
    </format>
    <format dxfId="1">
      <pivotArea dataOnly="0" labelOnly="1" fieldPosition="0">
        <references count="1">
          <reference field="0" count="0"/>
        </references>
      </pivotArea>
    </format>
    <format dxfId="0">
      <pivotArea dataOnly="0" labelOnly="1" outline="0" axis="axisValues" fieldPosition="0"/>
    </format>
  </formats>
  <chartFormats count="12">
    <chartFormat chart="29" format="0" series="1">
      <pivotArea type="data" outline="0" fieldPosition="0">
        <references count="1">
          <reference field="4294967294" count="1" selected="0">
            <x v="0"/>
          </reference>
        </references>
      </pivotArea>
    </chartFormat>
    <chartFormat chart="29" format="1">
      <pivotArea type="data" outline="0" fieldPosition="0">
        <references count="2">
          <reference field="4294967294" count="1" selected="0">
            <x v="0"/>
          </reference>
          <reference field="0" count="1" selected="0">
            <x v="0"/>
          </reference>
        </references>
      </pivotArea>
    </chartFormat>
    <chartFormat chart="29" format="2">
      <pivotArea type="data" outline="0" fieldPosition="0">
        <references count="2">
          <reference field="4294967294" count="1" selected="0">
            <x v="0"/>
          </reference>
          <reference field="0" count="1" selected="0">
            <x v="1"/>
          </reference>
        </references>
      </pivotArea>
    </chartFormat>
    <chartFormat chart="35" format="0" series="1">
      <pivotArea type="data" outline="0" fieldPosition="0">
        <references count="1">
          <reference field="4294967294" count="1" selected="0">
            <x v="0"/>
          </reference>
        </references>
      </pivotArea>
    </chartFormat>
    <chartFormat chart="35" format="1">
      <pivotArea type="data" outline="0" fieldPosition="0">
        <references count="2">
          <reference field="4294967294" count="1" selected="0">
            <x v="0"/>
          </reference>
          <reference field="0" count="1" selected="0">
            <x v="0"/>
          </reference>
        </references>
      </pivotArea>
    </chartFormat>
    <chartFormat chart="41" format="6" series="1">
      <pivotArea type="data" outline="0" fieldPosition="0">
        <references count="1">
          <reference field="4294967294" count="1" selected="0">
            <x v="0"/>
          </reference>
        </references>
      </pivotArea>
    </chartFormat>
    <chartFormat chart="41" format="7">
      <pivotArea type="data" outline="0" fieldPosition="0">
        <references count="2">
          <reference field="4294967294" count="1" selected="0">
            <x v="0"/>
          </reference>
          <reference field="0" count="1" selected="0">
            <x v="0"/>
          </reference>
        </references>
      </pivotArea>
    </chartFormat>
    <chartFormat chart="41" format="8">
      <pivotArea type="data" outline="0" fieldPosition="0">
        <references count="2">
          <reference field="4294967294" count="1" selected="0">
            <x v="0"/>
          </reference>
          <reference field="0" count="1" selected="0">
            <x v="1"/>
          </reference>
        </references>
      </pivotArea>
    </chartFormat>
    <chartFormat chart="49" format="8" series="1">
      <pivotArea type="data" outline="0" fieldPosition="0">
        <references count="1">
          <reference field="4294967294" count="1" selected="0">
            <x v="0"/>
          </reference>
        </references>
      </pivotArea>
    </chartFormat>
    <chartFormat chart="49" format="9">
      <pivotArea type="data" outline="0" fieldPosition="0">
        <references count="2">
          <reference field="4294967294" count="1" selected="0">
            <x v="0"/>
          </reference>
          <reference field="0" count="1" selected="0">
            <x v="0"/>
          </reference>
        </references>
      </pivotArea>
    </chartFormat>
    <chartFormat chart="49" format="10">
      <pivotArea type="data" outline="0" fieldPosition="0">
        <references count="2">
          <reference field="4294967294" count="1" selected="0">
            <x v="0"/>
          </reference>
          <reference field="0" count="1" selected="0">
            <x v="1"/>
          </reference>
        </references>
      </pivotArea>
    </chartFormat>
    <chartFormat chart="35"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D51E1F8-24FB-439D-BD2E-0A15FA17B74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6">
  <location ref="AH7:AI12" firstHeaderRow="1" firstDataRow="1" firstDataCol="1" rowPageCount="1" colPageCount="1"/>
  <pivotFields count="14">
    <pivotField axis="axisPage" showAll="0">
      <items count="3">
        <item x="1"/>
        <item x="0"/>
        <item t="default"/>
      </items>
    </pivotField>
    <pivotField numFmtId="1" showAll="0"/>
    <pivotField showAll="0">
      <items count="13">
        <item x="5"/>
        <item x="6"/>
        <item x="7"/>
        <item x="0"/>
        <item x="8"/>
        <item x="9"/>
        <item x="11"/>
        <item x="1"/>
        <item x="2"/>
        <item x="3"/>
        <item x="4"/>
        <item x="10"/>
        <item t="default"/>
      </items>
    </pivotField>
    <pivotField showAll="0"/>
    <pivotField showAll="0"/>
    <pivotField numFmtId="3" showAll="0">
      <items count="7">
        <item x="5"/>
        <item x="0"/>
        <item x="2"/>
        <item x="1"/>
        <item x="3"/>
        <item x="4"/>
        <item t="default"/>
      </items>
    </pivotField>
    <pivotField dataField="1" numFmtId="165" showAll="0"/>
    <pivotField showAll="0"/>
    <pivotField numFmtId="45" showAll="0"/>
    <pivotField axis="axisRow" showAll="0">
      <items count="6">
        <item x="1"/>
        <item x="2"/>
        <item x="4"/>
        <item x="0"/>
        <item x="3"/>
        <item t="default"/>
      </items>
    </pivotField>
    <pivotField showAll="0"/>
    <pivotField showAll="0">
      <items count="9">
        <item x="2"/>
        <item x="3"/>
        <item x="4"/>
        <item x="0"/>
        <item x="5"/>
        <item x="1"/>
        <item x="6"/>
        <item x="7"/>
        <item t="default"/>
      </items>
    </pivotField>
    <pivotField showAll="0">
      <items count="5">
        <item x="2"/>
        <item x="3"/>
        <item x="1"/>
        <item x="0"/>
        <item t="default"/>
      </items>
    </pivotField>
    <pivotField showAll="0">
      <items count="17">
        <item x="5"/>
        <item x="2"/>
        <item x="8"/>
        <item x="6"/>
        <item x="1"/>
        <item x="4"/>
        <item x="14"/>
        <item x="0"/>
        <item x="10"/>
        <item x="11"/>
        <item x="13"/>
        <item x="15"/>
        <item x="9"/>
        <item x="7"/>
        <item x="12"/>
        <item x="3"/>
        <item t="default"/>
      </items>
    </pivotField>
  </pivotFields>
  <rowFields count="1">
    <field x="9"/>
  </rowFields>
  <rowItems count="5">
    <i>
      <x/>
    </i>
    <i>
      <x v="1"/>
    </i>
    <i>
      <x v="2"/>
    </i>
    <i>
      <x v="3"/>
    </i>
    <i t="grand">
      <x/>
    </i>
  </rowItems>
  <colItems count="1">
    <i/>
  </colItems>
  <pageFields count="1">
    <pageField fld="0" item="1" hier="-1"/>
  </pageFields>
  <dataFields count="1">
    <dataField name="Sum of Paid Fees" fld="6" baseField="9" baseItem="0" numFmtId="166"/>
  </dataFields>
  <chartFormats count="10">
    <chartFormat chart="43" format="0" series="1">
      <pivotArea type="data" outline="0" fieldPosition="0">
        <references count="1">
          <reference field="4294967294" count="1" selected="0">
            <x v="0"/>
          </reference>
        </references>
      </pivotArea>
    </chartFormat>
    <chartFormat chart="43" format="1">
      <pivotArea type="data" outline="0" fieldPosition="0">
        <references count="2">
          <reference field="4294967294" count="1" selected="0">
            <x v="0"/>
          </reference>
          <reference field="9" count="1" selected="0">
            <x v="0"/>
          </reference>
        </references>
      </pivotArea>
    </chartFormat>
    <chartFormat chart="43" format="2">
      <pivotArea type="data" outline="0" fieldPosition="0">
        <references count="2">
          <reference field="4294967294" count="1" selected="0">
            <x v="0"/>
          </reference>
          <reference field="9" count="1" selected="0">
            <x v="3"/>
          </reference>
        </references>
      </pivotArea>
    </chartFormat>
    <chartFormat chart="43" format="3">
      <pivotArea type="data" outline="0" fieldPosition="0">
        <references count="2">
          <reference field="4294967294" count="1" selected="0">
            <x v="0"/>
          </reference>
          <reference field="9" count="1" selected="0">
            <x v="1"/>
          </reference>
        </references>
      </pivotArea>
    </chartFormat>
    <chartFormat chart="43" format="4">
      <pivotArea type="data" outline="0" fieldPosition="0">
        <references count="2">
          <reference field="4294967294" count="1" selected="0">
            <x v="0"/>
          </reference>
          <reference field="9" count="1" selected="0">
            <x v="2"/>
          </reference>
        </references>
      </pivotArea>
    </chartFormat>
    <chartFormat chart="55" format="10" series="1">
      <pivotArea type="data" outline="0" fieldPosition="0">
        <references count="1">
          <reference field="4294967294" count="1" selected="0">
            <x v="0"/>
          </reference>
        </references>
      </pivotArea>
    </chartFormat>
    <chartFormat chart="55" format="11">
      <pivotArea type="data" outline="0" fieldPosition="0">
        <references count="2">
          <reference field="4294967294" count="1" selected="0">
            <x v="0"/>
          </reference>
          <reference field="9" count="1" selected="0">
            <x v="0"/>
          </reference>
        </references>
      </pivotArea>
    </chartFormat>
    <chartFormat chart="55" format="12">
      <pivotArea type="data" outline="0" fieldPosition="0">
        <references count="2">
          <reference field="4294967294" count="1" selected="0">
            <x v="0"/>
          </reference>
          <reference field="9" count="1" selected="0">
            <x v="1"/>
          </reference>
        </references>
      </pivotArea>
    </chartFormat>
    <chartFormat chart="55" format="13">
      <pivotArea type="data" outline="0" fieldPosition="0">
        <references count="2">
          <reference field="4294967294" count="1" selected="0">
            <x v="0"/>
          </reference>
          <reference field="9" count="1" selected="0">
            <x v="2"/>
          </reference>
        </references>
      </pivotArea>
    </chartFormat>
    <chartFormat chart="55" format="1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1AF05C4-D176-4FF6-9C5C-57800E7D2A82}" name="Adv_Month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8">
  <location ref="CC7:CI21" firstHeaderRow="1" firstDataRow="2" firstDataCol="1"/>
  <pivotFields count="14">
    <pivotField showAll="0">
      <items count="3">
        <item x="1"/>
        <item x="0"/>
        <item t="default"/>
      </items>
    </pivotField>
    <pivotField numFmtId="1" showAll="0"/>
    <pivotField axis="axisRow" showAll="0">
      <items count="13">
        <item x="5"/>
        <item x="6"/>
        <item x="7"/>
        <item x="0"/>
        <item x="8"/>
        <item x="9"/>
        <item x="11"/>
        <item x="1"/>
        <item x="2"/>
        <item x="3"/>
        <item x="4"/>
        <item x="10"/>
        <item t="default"/>
      </items>
    </pivotField>
    <pivotField showAll="0">
      <items count="7">
        <item x="1"/>
        <item x="2"/>
        <item x="4"/>
        <item x="0"/>
        <item x="3"/>
        <item x="5"/>
        <item t="default"/>
      </items>
    </pivotField>
    <pivotField axis="axisCol" showAll="0">
      <items count="6">
        <item x="1"/>
        <item x="2"/>
        <item x="3"/>
        <item x="0"/>
        <item x="4"/>
        <item t="default"/>
      </items>
    </pivotField>
    <pivotField numFmtId="3" showAll="0">
      <items count="7">
        <item x="5"/>
        <item x="0"/>
        <item x="2"/>
        <item x="1"/>
        <item x="3"/>
        <item x="4"/>
        <item t="default"/>
      </items>
    </pivotField>
    <pivotField dataField="1" numFmtId="165" showAll="0"/>
    <pivotField showAll="0"/>
    <pivotField numFmtId="45" showAll="0"/>
    <pivotField showAll="0">
      <items count="6">
        <item x="1"/>
        <item x="2"/>
        <item x="4"/>
        <item x="0"/>
        <item x="3"/>
        <item t="default"/>
      </items>
    </pivotField>
    <pivotField showAll="0">
      <items count="11">
        <item x="9"/>
        <item x="1"/>
        <item x="8"/>
        <item x="7"/>
        <item x="5"/>
        <item x="0"/>
        <item x="6"/>
        <item x="2"/>
        <item x="3"/>
        <item x="4"/>
        <item t="default"/>
      </items>
    </pivotField>
    <pivotField showAll="0">
      <items count="9">
        <item x="2"/>
        <item x="3"/>
        <item x="4"/>
        <item x="0"/>
        <item x="5"/>
        <item x="1"/>
        <item x="6"/>
        <item x="7"/>
        <item t="default"/>
      </items>
    </pivotField>
    <pivotField showAll="0">
      <items count="5">
        <item x="2"/>
        <item x="3"/>
        <item x="1"/>
        <item x="0"/>
        <item t="default"/>
      </items>
    </pivotField>
    <pivotField showAll="0" sortType="ascending">
      <items count="17">
        <item x="3"/>
        <item x="12"/>
        <item x="7"/>
        <item x="9"/>
        <item x="15"/>
        <item x="13"/>
        <item x="11"/>
        <item x="10"/>
        <item x="0"/>
        <item x="14"/>
        <item x="4"/>
        <item x="1"/>
        <item x="6"/>
        <item x="8"/>
        <item x="2"/>
        <item x="5"/>
        <item t="default"/>
      </items>
    </pivotField>
  </pivotFields>
  <rowFields count="1">
    <field x="2"/>
  </rowFields>
  <rowItems count="13">
    <i>
      <x/>
    </i>
    <i>
      <x v="1"/>
    </i>
    <i>
      <x v="2"/>
    </i>
    <i>
      <x v="3"/>
    </i>
    <i>
      <x v="4"/>
    </i>
    <i>
      <x v="5"/>
    </i>
    <i>
      <x v="6"/>
    </i>
    <i>
      <x v="7"/>
    </i>
    <i>
      <x v="8"/>
    </i>
    <i>
      <x v="9"/>
    </i>
    <i>
      <x v="10"/>
    </i>
    <i>
      <x v="11"/>
    </i>
    <i t="grand">
      <x/>
    </i>
  </rowItems>
  <colFields count="1">
    <field x="4"/>
  </colFields>
  <colItems count="6">
    <i>
      <x/>
    </i>
    <i>
      <x v="1"/>
    </i>
    <i>
      <x v="2"/>
    </i>
    <i>
      <x v="3"/>
    </i>
    <i>
      <x v="4"/>
    </i>
    <i t="grand">
      <x/>
    </i>
  </colItems>
  <dataFields count="1">
    <dataField name="Sum of Paid Fees" fld="6" baseField="2" baseItem="0" numFmtId="166"/>
  </dataFields>
  <chartFormats count="10">
    <chartFormat chart="123" format="0" series="1">
      <pivotArea type="data" outline="0" fieldPosition="0">
        <references count="2">
          <reference field="4294967294" count="1" selected="0">
            <x v="0"/>
          </reference>
          <reference field="4" count="1" selected="0">
            <x v="0"/>
          </reference>
        </references>
      </pivotArea>
    </chartFormat>
    <chartFormat chart="123" format="1" series="1">
      <pivotArea type="data" outline="0" fieldPosition="0">
        <references count="2">
          <reference field="4294967294" count="1" selected="0">
            <x v="0"/>
          </reference>
          <reference field="4" count="1" selected="0">
            <x v="1"/>
          </reference>
        </references>
      </pivotArea>
    </chartFormat>
    <chartFormat chart="123" format="2" series="1">
      <pivotArea type="data" outline="0" fieldPosition="0">
        <references count="2">
          <reference field="4294967294" count="1" selected="0">
            <x v="0"/>
          </reference>
          <reference field="4" count="1" selected="0">
            <x v="2"/>
          </reference>
        </references>
      </pivotArea>
    </chartFormat>
    <chartFormat chart="123" format="3" series="1">
      <pivotArea type="data" outline="0" fieldPosition="0">
        <references count="2">
          <reference field="4294967294" count="1" selected="0">
            <x v="0"/>
          </reference>
          <reference field="4" count="1" selected="0">
            <x v="3"/>
          </reference>
        </references>
      </pivotArea>
    </chartFormat>
    <chartFormat chart="123" format="4" series="1">
      <pivotArea type="data" outline="0" fieldPosition="0">
        <references count="2">
          <reference field="4294967294" count="1" selected="0">
            <x v="0"/>
          </reference>
          <reference field="4" count="1" selected="0">
            <x v="4"/>
          </reference>
        </references>
      </pivotArea>
    </chartFormat>
    <chartFormat chart="126" format="10" series="1">
      <pivotArea type="data" outline="0" fieldPosition="0">
        <references count="2">
          <reference field="4294967294" count="1" selected="0">
            <x v="0"/>
          </reference>
          <reference field="4" count="1" selected="0">
            <x v="0"/>
          </reference>
        </references>
      </pivotArea>
    </chartFormat>
    <chartFormat chart="126" format="11" series="1">
      <pivotArea type="data" outline="0" fieldPosition="0">
        <references count="2">
          <reference field="4294967294" count="1" selected="0">
            <x v="0"/>
          </reference>
          <reference field="4" count="1" selected="0">
            <x v="1"/>
          </reference>
        </references>
      </pivotArea>
    </chartFormat>
    <chartFormat chart="126" format="12" series="1">
      <pivotArea type="data" outline="0" fieldPosition="0">
        <references count="2">
          <reference field="4294967294" count="1" selected="0">
            <x v="0"/>
          </reference>
          <reference field="4" count="1" selected="0">
            <x v="2"/>
          </reference>
        </references>
      </pivotArea>
    </chartFormat>
    <chartFormat chart="126" format="13" series="1">
      <pivotArea type="data" outline="0" fieldPosition="0">
        <references count="2">
          <reference field="4294967294" count="1" selected="0">
            <x v="0"/>
          </reference>
          <reference field="4" count="1" selected="0">
            <x v="3"/>
          </reference>
        </references>
      </pivotArea>
    </chartFormat>
    <chartFormat chart="126" format="14" series="1">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4B60163-8B01-4180-B2BB-EAD3650CE823}"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0">
  <location ref="BN8:BO15" firstHeaderRow="1" firstDataRow="1" firstDataCol="1" rowPageCount="1" colPageCount="1"/>
  <pivotFields count="14">
    <pivotField axis="axisPage" showAll="0">
      <items count="3">
        <item x="1"/>
        <item x="0"/>
        <item t="default"/>
      </items>
    </pivotField>
    <pivotField numFmtId="1" showAll="0"/>
    <pivotField showAll="0">
      <items count="13">
        <item x="5"/>
        <item x="6"/>
        <item x="7"/>
        <item x="0"/>
        <item x="8"/>
        <item x="9"/>
        <item x="11"/>
        <item x="1"/>
        <item x="2"/>
        <item x="3"/>
        <item x="4"/>
        <item x="10"/>
        <item t="default"/>
      </items>
    </pivotField>
    <pivotField axis="axisRow" showAll="0">
      <items count="7">
        <item x="1"/>
        <item x="2"/>
        <item x="4"/>
        <item x="0"/>
        <item x="3"/>
        <item x="5"/>
        <item t="default"/>
      </items>
    </pivotField>
    <pivotField showAll="0"/>
    <pivotField numFmtId="3" showAll="0">
      <items count="7">
        <item x="5"/>
        <item x="0"/>
        <item x="2"/>
        <item x="1"/>
        <item x="3"/>
        <item x="4"/>
        <item t="default"/>
      </items>
    </pivotField>
    <pivotField dataField="1" numFmtId="165" showAll="0"/>
    <pivotField showAll="0"/>
    <pivotField numFmtId="45" showAll="0"/>
    <pivotField showAll="0">
      <items count="6">
        <item x="1"/>
        <item x="2"/>
        <item x="4"/>
        <item x="0"/>
        <item x="3"/>
        <item t="default"/>
      </items>
    </pivotField>
    <pivotField showAll="0">
      <items count="11">
        <item x="9"/>
        <item x="1"/>
        <item x="8"/>
        <item x="7"/>
        <item x="5"/>
        <item x="0"/>
        <item x="6"/>
        <item x="2"/>
        <item x="3"/>
        <item x="4"/>
        <item t="default"/>
      </items>
    </pivotField>
    <pivotField showAll="0">
      <items count="9">
        <item x="2"/>
        <item x="3"/>
        <item x="4"/>
        <item x="0"/>
        <item x="5"/>
        <item x="1"/>
        <item x="6"/>
        <item x="7"/>
        <item t="default"/>
      </items>
    </pivotField>
    <pivotField showAll="0">
      <items count="5">
        <item x="2"/>
        <item x="3"/>
        <item x="1"/>
        <item x="0"/>
        <item t="default"/>
      </items>
    </pivotField>
    <pivotField showAll="0" sortType="ascending">
      <items count="17">
        <item x="3"/>
        <item x="12"/>
        <item x="7"/>
        <item x="9"/>
        <item x="15"/>
        <item x="13"/>
        <item x="11"/>
        <item x="10"/>
        <item x="0"/>
        <item x="14"/>
        <item x="4"/>
        <item x="1"/>
        <item x="6"/>
        <item x="8"/>
        <item x="2"/>
        <item x="5"/>
        <item t="default"/>
      </items>
    </pivotField>
  </pivotFields>
  <rowFields count="1">
    <field x="3"/>
  </rowFields>
  <rowItems count="7">
    <i>
      <x/>
    </i>
    <i>
      <x v="1"/>
    </i>
    <i>
      <x v="2"/>
    </i>
    <i>
      <x v="3"/>
    </i>
    <i>
      <x v="4"/>
    </i>
    <i>
      <x v="5"/>
    </i>
    <i t="grand">
      <x/>
    </i>
  </rowItems>
  <colItems count="1">
    <i/>
  </colItems>
  <pageFields count="1">
    <pageField fld="0" item="1" hier="-1"/>
  </pageFields>
  <dataFields count="1">
    <dataField name="Sum Paid Fees" fld="6" baseField="13" baseItem="0" numFmtId="166"/>
  </dataFields>
  <chartFormats count="2">
    <chartFormat chart="70" format="0" series="1">
      <pivotArea type="data" outline="0" fieldPosition="0">
        <references count="1">
          <reference field="4294967294" count="1" selected="0">
            <x v="0"/>
          </reference>
        </references>
      </pivotArea>
    </chartFormat>
    <chartFormat chart="7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3153823-A1B8-479C-B203-12EFD492E216}" name="Avg__sale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8">
  <location ref="BC8:BE12" firstHeaderRow="0" firstDataRow="1" firstDataCol="1" rowPageCount="1" colPageCount="1"/>
  <pivotFields count="14">
    <pivotField axis="axisPage" showAll="0">
      <items count="3">
        <item x="1"/>
        <item x="0"/>
        <item t="default"/>
      </items>
    </pivotField>
    <pivotField numFmtId="1" showAll="0"/>
    <pivotField showAll="0">
      <items count="13">
        <item x="5"/>
        <item x="6"/>
        <item x="7"/>
        <item x="0"/>
        <item x="8"/>
        <item x="9"/>
        <item x="11"/>
        <item x="1"/>
        <item x="2"/>
        <item x="3"/>
        <item x="4"/>
        <item x="10"/>
        <item t="default"/>
      </items>
    </pivotField>
    <pivotField showAll="0"/>
    <pivotField showAll="0"/>
    <pivotField numFmtId="3" showAll="0">
      <items count="7">
        <item x="5"/>
        <item x="0"/>
        <item x="2"/>
        <item x="1"/>
        <item x="3"/>
        <item x="4"/>
        <item t="default"/>
      </items>
    </pivotField>
    <pivotField dataField="1" numFmtId="165" showAll="0"/>
    <pivotField showAll="0"/>
    <pivotField numFmtId="45" showAll="0"/>
    <pivotField showAll="0">
      <items count="6">
        <item x="1"/>
        <item x="2"/>
        <item x="4"/>
        <item x="0"/>
        <item x="3"/>
        <item t="default"/>
      </items>
    </pivotField>
    <pivotField showAll="0">
      <items count="11">
        <item x="9"/>
        <item x="1"/>
        <item x="8"/>
        <item x="7"/>
        <item x="5"/>
        <item x="0"/>
        <item x="6"/>
        <item x="2"/>
        <item x="3"/>
        <item x="4"/>
        <item t="default"/>
      </items>
    </pivotField>
    <pivotField showAll="0">
      <items count="9">
        <item x="2"/>
        <item x="3"/>
        <item x="4"/>
        <item x="0"/>
        <item x="5"/>
        <item x="1"/>
        <item x="6"/>
        <item x="7"/>
        <item t="default"/>
      </items>
    </pivotField>
    <pivotField axis="axisRow" showAll="0">
      <items count="5">
        <item x="2"/>
        <item x="3"/>
        <item x="1"/>
        <item x="0"/>
        <item t="default"/>
      </items>
    </pivotField>
    <pivotField showAll="0" sortType="ascending">
      <items count="17">
        <item x="3"/>
        <item x="12"/>
        <item x="7"/>
        <item x="9"/>
        <item x="15"/>
        <item x="13"/>
        <item x="11"/>
        <item x="10"/>
        <item x="0"/>
        <item x="14"/>
        <item x="4"/>
        <item x="1"/>
        <item x="6"/>
        <item x="8"/>
        <item x="2"/>
        <item x="5"/>
        <item t="default"/>
      </items>
    </pivotField>
  </pivotFields>
  <rowFields count="1">
    <field x="12"/>
  </rowFields>
  <rowItems count="4">
    <i>
      <x/>
    </i>
    <i>
      <x v="1"/>
    </i>
    <i>
      <x v="2"/>
    </i>
    <i>
      <x v="3"/>
    </i>
  </rowItems>
  <colFields count="1">
    <field x="-2"/>
  </colFields>
  <colItems count="2">
    <i>
      <x/>
    </i>
    <i i="1">
      <x v="1"/>
    </i>
  </colItems>
  <pageFields count="1">
    <pageField fld="0" item="1" hier="-1"/>
  </pageFields>
  <dataFields count="2">
    <dataField name="Sum of Paid Fees" fld="6" baseField="12" baseItem="0" numFmtId="166"/>
    <dataField name="Sum of Paid Fees2" fld="6" baseField="12" baseItem="0" numFmtId="3"/>
  </dataFields>
  <chartFormats count="15">
    <chartFormat chart="80" format="0" series="1">
      <pivotArea type="data" outline="0" fieldPosition="0">
        <references count="1">
          <reference field="4294967294" count="1" selected="0">
            <x v="0"/>
          </reference>
        </references>
      </pivotArea>
    </chartFormat>
    <chartFormat chart="80" format="1" series="1">
      <pivotArea type="data" outline="0" fieldPosition="0">
        <references count="1">
          <reference field="4294967294" count="1" selected="0">
            <x v="1"/>
          </reference>
        </references>
      </pivotArea>
    </chartFormat>
    <chartFormat chart="80" format="2">
      <pivotArea type="data" outline="0" fieldPosition="0">
        <references count="2">
          <reference field="4294967294" count="1" selected="0">
            <x v="0"/>
          </reference>
          <reference field="12" count="1" selected="0">
            <x v="3"/>
          </reference>
        </references>
      </pivotArea>
    </chartFormat>
    <chartFormat chart="80" format="3">
      <pivotArea type="data" outline="0" fieldPosition="0">
        <references count="2">
          <reference field="4294967294" count="1" selected="0">
            <x v="0"/>
          </reference>
          <reference field="12" count="1" selected="0">
            <x v="2"/>
          </reference>
        </references>
      </pivotArea>
    </chartFormat>
    <chartFormat chart="80" format="4">
      <pivotArea type="data" outline="0" fieldPosition="0">
        <references count="2">
          <reference field="4294967294" count="1" selected="0">
            <x v="0"/>
          </reference>
          <reference field="12" count="1" selected="0">
            <x v="1"/>
          </reference>
        </references>
      </pivotArea>
    </chartFormat>
    <chartFormat chart="80" format="5">
      <pivotArea type="data" outline="0" fieldPosition="0">
        <references count="2">
          <reference field="4294967294" count="1" selected="0">
            <x v="0"/>
          </reference>
          <reference field="12" count="1" selected="0">
            <x v="0"/>
          </reference>
        </references>
      </pivotArea>
    </chartFormat>
    <chartFormat chart="87" format="12" series="1">
      <pivotArea type="data" outline="0" fieldPosition="0">
        <references count="1">
          <reference field="4294967294" count="1" selected="0">
            <x v="0"/>
          </reference>
        </references>
      </pivotArea>
    </chartFormat>
    <chartFormat chart="87" format="13">
      <pivotArea type="data" outline="0" fieldPosition="0">
        <references count="2">
          <reference field="4294967294" count="1" selected="0">
            <x v="0"/>
          </reference>
          <reference field="12" count="1" selected="0">
            <x v="0"/>
          </reference>
        </references>
      </pivotArea>
    </chartFormat>
    <chartFormat chart="87" format="14">
      <pivotArea type="data" outline="0" fieldPosition="0">
        <references count="2">
          <reference field="4294967294" count="1" selected="0">
            <x v="0"/>
          </reference>
          <reference field="12" count="1" selected="0">
            <x v="1"/>
          </reference>
        </references>
      </pivotArea>
    </chartFormat>
    <chartFormat chart="87" format="15">
      <pivotArea type="data" outline="0" fieldPosition="0">
        <references count="2">
          <reference field="4294967294" count="1" selected="0">
            <x v="0"/>
          </reference>
          <reference field="12" count="1" selected="0">
            <x v="2"/>
          </reference>
        </references>
      </pivotArea>
    </chartFormat>
    <chartFormat chart="87" format="16">
      <pivotArea type="data" outline="0" fieldPosition="0">
        <references count="2">
          <reference field="4294967294" count="1" selected="0">
            <x v="0"/>
          </reference>
          <reference field="12" count="1" selected="0">
            <x v="3"/>
          </reference>
        </references>
      </pivotArea>
    </chartFormat>
    <chartFormat chart="87" format="17" series="1">
      <pivotArea type="data" outline="0" fieldPosition="0">
        <references count="1">
          <reference field="4294967294" count="1" selected="0">
            <x v="1"/>
          </reference>
        </references>
      </pivotArea>
    </chartFormat>
    <chartFormat chart="87" format="18">
      <pivotArea type="data" outline="0" fieldPosition="0">
        <references count="2">
          <reference field="4294967294" count="1" selected="0">
            <x v="1"/>
          </reference>
          <reference field="12" count="1" selected="0">
            <x v="2"/>
          </reference>
        </references>
      </pivotArea>
    </chartFormat>
    <chartFormat chart="87" format="19">
      <pivotArea type="data" outline="0" fieldPosition="0">
        <references count="2">
          <reference field="4294967294" count="1" selected="0">
            <x v="1"/>
          </reference>
          <reference field="12" count="1" selected="0">
            <x v="0"/>
          </reference>
        </references>
      </pivotArea>
    </chartFormat>
    <chartFormat chart="87" format="20">
      <pivotArea type="data" outline="0" fieldPosition="0">
        <references count="2">
          <reference field="4294967294" count="1" selected="0">
            <x v="1"/>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45FC84C-84B7-457D-91B0-F7F831ABB2D4}" name="PivotTable1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8">
  <location ref="BC32:BD36" firstHeaderRow="1" firstDataRow="1" firstDataCol="1" rowPageCount="1" colPageCount="1"/>
  <pivotFields count="14">
    <pivotField axis="axisPage" showAll="0">
      <items count="3">
        <item x="1"/>
        <item x="0"/>
        <item t="default"/>
      </items>
    </pivotField>
    <pivotField numFmtId="1" showAll="0"/>
    <pivotField showAll="0">
      <items count="13">
        <item x="5"/>
        <item x="6"/>
        <item x="7"/>
        <item x="0"/>
        <item x="8"/>
        <item x="9"/>
        <item x="11"/>
        <item x="1"/>
        <item x="2"/>
        <item x="3"/>
        <item x="4"/>
        <item x="10"/>
        <item t="default"/>
      </items>
    </pivotField>
    <pivotField showAll="0"/>
    <pivotField showAll="0"/>
    <pivotField numFmtId="3" showAll="0">
      <items count="7">
        <item x="5"/>
        <item x="0"/>
        <item x="2"/>
        <item x="1"/>
        <item x="3"/>
        <item x="4"/>
        <item t="default"/>
      </items>
    </pivotField>
    <pivotField dataField="1" numFmtId="165" showAll="0"/>
    <pivotField showAll="0"/>
    <pivotField numFmtId="45" showAll="0"/>
    <pivotField showAll="0">
      <items count="6">
        <item x="1"/>
        <item x="2"/>
        <item x="4"/>
        <item x="0"/>
        <item x="3"/>
        <item t="default"/>
      </items>
    </pivotField>
    <pivotField showAll="0">
      <items count="11">
        <item x="9"/>
        <item x="1"/>
        <item x="8"/>
        <item x="7"/>
        <item x="5"/>
        <item x="0"/>
        <item x="6"/>
        <item x="2"/>
        <item x="3"/>
        <item x="4"/>
        <item t="default"/>
      </items>
    </pivotField>
    <pivotField showAll="0">
      <items count="9">
        <item x="2"/>
        <item x="3"/>
        <item x="4"/>
        <item x="0"/>
        <item x="5"/>
        <item x="1"/>
        <item x="6"/>
        <item x="7"/>
        <item t="default"/>
      </items>
    </pivotField>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sortType="ascending">
      <items count="17">
        <item x="3"/>
        <item x="12"/>
        <item x="7"/>
        <item x="9"/>
        <item x="15"/>
        <item x="13"/>
        <item x="11"/>
        <item x="10"/>
        <item x="0"/>
        <item x="14"/>
        <item x="4"/>
        <item x="1"/>
        <item x="6"/>
        <item x="8"/>
        <item x="2"/>
        <item x="5"/>
        <item t="default"/>
      </items>
    </pivotField>
  </pivotFields>
  <rowFields count="1">
    <field x="12"/>
  </rowFields>
  <rowItems count="4">
    <i>
      <x v="2"/>
    </i>
    <i>
      <x v="3"/>
    </i>
    <i>
      <x v="1"/>
    </i>
    <i>
      <x/>
    </i>
  </rowItems>
  <colItems count="1">
    <i/>
  </colItems>
  <pageFields count="1">
    <pageField fld="0" item="1" hier="-1"/>
  </pageFields>
  <dataFields count="1">
    <dataField name="Sum of Paid Fees" fld="6" baseField="12" baseItem="0" numFmtId="166"/>
  </dataFields>
  <chartFormats count="10">
    <chartFormat chart="80" format="0" series="1">
      <pivotArea type="data" outline="0" fieldPosition="0">
        <references count="1">
          <reference field="4294967294" count="1" selected="0">
            <x v="0"/>
          </reference>
        </references>
      </pivotArea>
    </chartFormat>
    <chartFormat chart="80" format="2">
      <pivotArea type="data" outline="0" fieldPosition="0">
        <references count="2">
          <reference field="4294967294" count="1" selected="0">
            <x v="0"/>
          </reference>
          <reference field="12" count="1" selected="0">
            <x v="3"/>
          </reference>
        </references>
      </pivotArea>
    </chartFormat>
    <chartFormat chart="80" format="3">
      <pivotArea type="data" outline="0" fieldPosition="0">
        <references count="2">
          <reference field="4294967294" count="1" selected="0">
            <x v="0"/>
          </reference>
          <reference field="12" count="1" selected="0">
            <x v="2"/>
          </reference>
        </references>
      </pivotArea>
    </chartFormat>
    <chartFormat chart="80" format="4">
      <pivotArea type="data" outline="0" fieldPosition="0">
        <references count="2">
          <reference field="4294967294" count="1" selected="0">
            <x v="0"/>
          </reference>
          <reference field="12" count="1" selected="0">
            <x v="1"/>
          </reference>
        </references>
      </pivotArea>
    </chartFormat>
    <chartFormat chart="80" format="5">
      <pivotArea type="data" outline="0" fieldPosition="0">
        <references count="2">
          <reference field="4294967294" count="1" selected="0">
            <x v="0"/>
          </reference>
          <reference field="12" count="1" selected="0">
            <x v="0"/>
          </reference>
        </references>
      </pivotArea>
    </chartFormat>
    <chartFormat chart="87" format="12" series="1">
      <pivotArea type="data" outline="0" fieldPosition="0">
        <references count="1">
          <reference field="4294967294" count="1" selected="0">
            <x v="0"/>
          </reference>
        </references>
      </pivotArea>
    </chartFormat>
    <chartFormat chart="87" format="13">
      <pivotArea type="data" outline="0" fieldPosition="0">
        <references count="2">
          <reference field="4294967294" count="1" selected="0">
            <x v="0"/>
          </reference>
          <reference field="12" count="1" selected="0">
            <x v="0"/>
          </reference>
        </references>
      </pivotArea>
    </chartFormat>
    <chartFormat chart="87" format="14">
      <pivotArea type="data" outline="0" fieldPosition="0">
        <references count="2">
          <reference field="4294967294" count="1" selected="0">
            <x v="0"/>
          </reference>
          <reference field="12" count="1" selected="0">
            <x v="1"/>
          </reference>
        </references>
      </pivotArea>
    </chartFormat>
    <chartFormat chart="87" format="15">
      <pivotArea type="data" outline="0" fieldPosition="0">
        <references count="2">
          <reference field="4294967294" count="1" selected="0">
            <x v="0"/>
          </reference>
          <reference field="12" count="1" selected="0">
            <x v="2"/>
          </reference>
        </references>
      </pivotArea>
    </chartFormat>
    <chartFormat chart="87" format="16">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C5E36F5-0808-4A6A-84F5-B4712C70B12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4">
    <pivotField showAll="0"/>
    <pivotField numFmtId="1" showAll="0"/>
    <pivotField showAll="0">
      <items count="13">
        <item x="5"/>
        <item x="6"/>
        <item x="7"/>
        <item x="0"/>
        <item x="8"/>
        <item x="9"/>
        <item x="11"/>
        <item x="1"/>
        <item x="2"/>
        <item x="3"/>
        <item x="4"/>
        <item x="10"/>
        <item t="default"/>
      </items>
    </pivotField>
    <pivotField showAll="0"/>
    <pivotField showAll="0"/>
    <pivotField numFmtId="3" showAll="0"/>
    <pivotField dataField="1" numFmtId="165" showAll="0"/>
    <pivotField showAll="0"/>
    <pivotField numFmtId="45" showAll="0"/>
    <pivotField showAll="0"/>
    <pivotField showAll="0"/>
    <pivotField showAll="0"/>
    <pivotField showAll="0">
      <items count="5">
        <item x="2"/>
        <item x="3"/>
        <item x="1"/>
        <item x="0"/>
        <item t="default"/>
      </items>
    </pivotField>
    <pivotField showAll="0"/>
  </pivotFields>
  <rowItems count="1">
    <i/>
  </rowItems>
  <colItems count="1">
    <i/>
  </colItems>
  <dataFields count="1">
    <dataField name="Sum of Paid Fees" fld="6"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1265211-9EA6-4C1D-922E-D829B532B8AD}" name="Dur_month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9">
  <location ref="AX8:AY21" firstHeaderRow="1" firstDataRow="1" firstDataCol="1" rowPageCount="1" colPageCount="1"/>
  <pivotFields count="14">
    <pivotField axis="axisPage" showAll="0">
      <items count="3">
        <item x="1"/>
        <item x="0"/>
        <item t="default"/>
      </items>
    </pivotField>
    <pivotField numFmtId="1" showAll="0"/>
    <pivotField axis="axisRow" showAll="0">
      <items count="13">
        <item x="5"/>
        <item x="6"/>
        <item x="7"/>
        <item x="0"/>
        <item x="8"/>
        <item x="9"/>
        <item x="11"/>
        <item x="1"/>
        <item x="2"/>
        <item x="3"/>
        <item x="4"/>
        <item x="10"/>
        <item t="default"/>
      </items>
    </pivotField>
    <pivotField showAll="0"/>
    <pivotField showAll="0"/>
    <pivotField numFmtId="3" showAll="0">
      <items count="7">
        <item x="5"/>
        <item x="0"/>
        <item x="2"/>
        <item x="1"/>
        <item x="3"/>
        <item x="4"/>
        <item t="default"/>
      </items>
    </pivotField>
    <pivotField numFmtId="165" showAll="0"/>
    <pivotField showAll="0"/>
    <pivotField dataField="1" numFmtId="45" showAll="0"/>
    <pivotField showAll="0">
      <items count="6">
        <item x="1"/>
        <item x="2"/>
        <item x="4"/>
        <item x="0"/>
        <item x="3"/>
        <item t="default"/>
      </items>
    </pivotField>
    <pivotField showAll="0">
      <items count="11">
        <item x="9"/>
        <item x="1"/>
        <item x="8"/>
        <item x="7"/>
        <item x="5"/>
        <item x="0"/>
        <item x="6"/>
        <item x="2"/>
        <item x="3"/>
        <item x="4"/>
        <item t="default"/>
      </items>
    </pivotField>
    <pivotField showAll="0">
      <items count="9">
        <item x="2"/>
        <item x="3"/>
        <item x="4"/>
        <item x="0"/>
        <item x="5"/>
        <item x="1"/>
        <item x="6"/>
        <item x="7"/>
        <item t="default"/>
      </items>
    </pivotField>
    <pivotField showAll="0">
      <items count="5">
        <item x="2"/>
        <item x="3"/>
        <item x="1"/>
        <item x="0"/>
        <item t="default"/>
      </items>
    </pivotField>
    <pivotField showAll="0">
      <items count="17">
        <item x="5"/>
        <item x="2"/>
        <item x="8"/>
        <item x="6"/>
        <item x="1"/>
        <item x="4"/>
        <item x="14"/>
        <item x="0"/>
        <item x="10"/>
        <item x="11"/>
        <item x="13"/>
        <item x="15"/>
        <item x="9"/>
        <item x="7"/>
        <item x="12"/>
        <item x="3"/>
        <item t="default"/>
      </items>
    </pivotField>
  </pivotFields>
  <rowFields count="1">
    <field x="2"/>
  </rowFields>
  <rowItems count="13">
    <i>
      <x/>
    </i>
    <i>
      <x v="1"/>
    </i>
    <i>
      <x v="2"/>
    </i>
    <i>
      <x v="3"/>
    </i>
    <i>
      <x v="4"/>
    </i>
    <i>
      <x v="5"/>
    </i>
    <i>
      <x v="6"/>
    </i>
    <i>
      <x v="7"/>
    </i>
    <i>
      <x v="8"/>
    </i>
    <i>
      <x v="9"/>
    </i>
    <i>
      <x v="10"/>
    </i>
    <i>
      <x v="11"/>
    </i>
    <i t="grand">
      <x/>
    </i>
  </rowItems>
  <colItems count="1">
    <i/>
  </colItems>
  <pageFields count="1">
    <pageField fld="0" item="1" hier="-1"/>
  </pageFields>
  <dataFields count="1">
    <dataField name="Average of Average call duration" fld="8" subtotal="average" baseField="2" baseItem="0" numFmtId="4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BF889D3-6420-46F9-A89E-FE63DCDCC2C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4">
  <location ref="AL7:AM17" firstHeaderRow="1" firstDataRow="1" firstDataCol="1" rowPageCount="1" colPageCount="1"/>
  <pivotFields count="14">
    <pivotField axis="axisPage" showAll="0">
      <items count="3">
        <item x="1"/>
        <item x="0"/>
        <item t="default"/>
      </items>
    </pivotField>
    <pivotField numFmtId="1" showAll="0"/>
    <pivotField showAll="0">
      <items count="13">
        <item x="5"/>
        <item x="6"/>
        <item x="7"/>
        <item x="0"/>
        <item x="8"/>
        <item x="9"/>
        <item x="11"/>
        <item x="1"/>
        <item x="2"/>
        <item x="3"/>
        <item x="4"/>
        <item x="10"/>
        <item t="default"/>
      </items>
    </pivotField>
    <pivotField showAll="0"/>
    <pivotField showAll="0"/>
    <pivotField numFmtId="3" showAll="0">
      <items count="7">
        <item x="5"/>
        <item x="0"/>
        <item x="2"/>
        <item x="1"/>
        <item x="3"/>
        <item x="4"/>
        <item t="default"/>
      </items>
    </pivotField>
    <pivotField dataField="1" numFmtId="165" showAll="0"/>
    <pivotField showAll="0"/>
    <pivotField numFmtId="45" showAll="0"/>
    <pivotField showAll="0">
      <items count="6">
        <item x="1"/>
        <item x="2"/>
        <item x="4"/>
        <item x="0"/>
        <item x="3"/>
        <item t="default"/>
      </items>
    </pivotField>
    <pivotField axis="axisRow" showAll="0">
      <items count="11">
        <item x="4"/>
        <item x="3"/>
        <item x="2"/>
        <item x="6"/>
        <item x="0"/>
        <item x="5"/>
        <item x="7"/>
        <item x="8"/>
        <item x="1"/>
        <item x="9"/>
        <item t="default"/>
      </items>
    </pivotField>
    <pivotField showAll="0">
      <items count="9">
        <item x="2"/>
        <item x="3"/>
        <item x="4"/>
        <item x="0"/>
        <item x="5"/>
        <item x="1"/>
        <item x="6"/>
        <item x="7"/>
        <item t="default"/>
      </items>
    </pivotField>
    <pivotField showAll="0">
      <items count="5">
        <item x="2"/>
        <item x="3"/>
        <item x="1"/>
        <item x="0"/>
        <item t="default"/>
      </items>
    </pivotField>
    <pivotField showAll="0">
      <items count="17">
        <item x="5"/>
        <item x="2"/>
        <item x="8"/>
        <item x="6"/>
        <item x="1"/>
        <item x="4"/>
        <item x="14"/>
        <item x="0"/>
        <item x="10"/>
        <item x="11"/>
        <item x="13"/>
        <item x="15"/>
        <item x="9"/>
        <item x="7"/>
        <item x="12"/>
        <item x="3"/>
        <item t="default"/>
      </items>
    </pivotField>
  </pivotFields>
  <rowFields count="1">
    <field x="10"/>
  </rowFields>
  <rowItems count="10">
    <i>
      <x/>
    </i>
    <i>
      <x v="1"/>
    </i>
    <i>
      <x v="2"/>
    </i>
    <i>
      <x v="3"/>
    </i>
    <i>
      <x v="4"/>
    </i>
    <i>
      <x v="5"/>
    </i>
    <i>
      <x v="6"/>
    </i>
    <i>
      <x v="7"/>
    </i>
    <i>
      <x v="8"/>
    </i>
    <i t="grand">
      <x/>
    </i>
  </rowItems>
  <colItems count="1">
    <i/>
  </colItems>
  <pageFields count="1">
    <pageField fld="0" item="1" hier="-1"/>
  </pageFields>
  <dataFields count="1">
    <dataField name="Sum of Paid Fees" fld="6" baseField="10" baseItem="0" numFmtId="166"/>
  </dataFields>
  <chartFormats count="3">
    <chartFormat chart="59" format="0" series="1">
      <pivotArea type="data" outline="0" fieldPosition="0">
        <references count="1">
          <reference field="4294967294" count="1" selected="0">
            <x v="0"/>
          </reference>
        </references>
      </pivotArea>
    </chartFormat>
    <chartFormat chart="62" format="2" series="1">
      <pivotArea type="data" outline="0" fieldPosition="0">
        <references count="1">
          <reference field="4294967294" count="1" selected="0">
            <x v="0"/>
          </reference>
        </references>
      </pivotArea>
    </chartFormat>
    <chartFormat chart="62" format="3">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B7D144B-AFC3-43B1-8F91-90C9D190C933}" name="Ear_month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O3:Q16" firstHeaderRow="0" firstDataRow="1" firstDataCol="1"/>
  <pivotFields count="14">
    <pivotField showAll="0"/>
    <pivotField numFmtId="1" showAll="0"/>
    <pivotField axis="axisRow" showAll="0">
      <items count="13">
        <item x="5"/>
        <item x="6"/>
        <item x="7"/>
        <item x="0"/>
        <item x="8"/>
        <item x="9"/>
        <item x="11"/>
        <item x="1"/>
        <item x="2"/>
        <item x="3"/>
        <item x="4"/>
        <item x="10"/>
        <item t="default"/>
      </items>
    </pivotField>
    <pivotField showAll="0"/>
    <pivotField showAll="0"/>
    <pivotField numFmtId="3" showAll="0"/>
    <pivotField dataField="1" numFmtId="165" showAll="0"/>
    <pivotField showAll="0"/>
    <pivotField numFmtId="45" showAll="0"/>
    <pivotField showAll="0"/>
    <pivotField showAll="0"/>
    <pivotField showAll="0"/>
    <pivotField showAll="0">
      <items count="5">
        <item x="2"/>
        <item x="3"/>
        <item x="1"/>
        <item x="0"/>
        <item t="default"/>
      </items>
    </pivotField>
    <pivotField showAll="0" sortType="descending">
      <items count="17">
        <item x="5"/>
        <item x="2"/>
        <item x="8"/>
        <item x="6"/>
        <item x="1"/>
        <item x="4"/>
        <item x="14"/>
        <item x="0"/>
        <item x="10"/>
        <item x="11"/>
        <item x="13"/>
        <item x="15"/>
        <item x="9"/>
        <item x="7"/>
        <item x="12"/>
        <item x="3"/>
        <item t="default"/>
      </items>
      <autoSortScope>
        <pivotArea dataOnly="0" outline="0" fieldPosition="0">
          <references count="1">
            <reference field="4294967294" count="1" selected="0">
              <x v="0"/>
            </reference>
          </references>
        </pivotArea>
      </autoSortScope>
    </pivotField>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Paid Fees" fld="6" baseField="2" baseItem="0" numFmtId="166"/>
    <dataField name="Sum of Paid Fees2" fld="6" baseField="2" baseItem="1" numFmtId="3"/>
  </dataFields>
  <chartFormats count="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1" format="2" series="1">
      <pivotArea type="data" outline="0" fieldPosition="0">
        <references count="1">
          <reference field="4294967294" count="1" selected="0">
            <x v="1"/>
          </reference>
        </references>
      </pivotArea>
    </chartFormat>
    <chartFormat chart="21" format="3"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1"/>
          </reference>
        </references>
      </pivotArea>
    </chartFormat>
    <chartFormat chart="22" format="5"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1"/>
          </reference>
        </references>
      </pivotArea>
    </chartFormat>
    <chartFormat chart="2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EEB364B-EE5D-459B-A58A-7FA55E75FF63}"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2">
  <location ref="CS8:CX26" firstHeaderRow="1" firstDataRow="2" firstDataCol="1" rowPageCount="1" colPageCount="1"/>
  <pivotFields count="14">
    <pivotField axis="axisPage" showAll="0">
      <items count="3">
        <item x="1"/>
        <item x="0"/>
        <item t="default"/>
      </items>
    </pivotField>
    <pivotField numFmtId="1" showAll="0"/>
    <pivotField showAll="0">
      <items count="13">
        <item x="5"/>
        <item x="6"/>
        <item x="7"/>
        <item x="0"/>
        <item x="8"/>
        <item x="9"/>
        <item x="11"/>
        <item x="1"/>
        <item x="2"/>
        <item x="3"/>
        <item x="4"/>
        <item x="10"/>
        <item t="default"/>
      </items>
    </pivotField>
    <pivotField showAll="0">
      <items count="7">
        <item x="1"/>
        <item x="2"/>
        <item x="4"/>
        <item x="0"/>
        <item x="3"/>
        <item x="5"/>
        <item t="default"/>
      </items>
    </pivotField>
    <pivotField showAll="0">
      <items count="6">
        <item x="1"/>
        <item x="2"/>
        <item x="3"/>
        <item x="0"/>
        <item x="4"/>
        <item t="default"/>
      </items>
    </pivotField>
    <pivotField numFmtId="3" showAll="0">
      <items count="7">
        <item x="5"/>
        <item x="0"/>
        <item x="2"/>
        <item x="1"/>
        <item x="3"/>
        <item x="4"/>
        <item t="default"/>
      </items>
    </pivotField>
    <pivotField dataField="1" numFmtId="165" showAll="0"/>
    <pivotField showAll="0"/>
    <pivotField numFmtId="45" showAll="0"/>
    <pivotField axis="axisCol" showAll="0">
      <items count="6">
        <item x="1"/>
        <item x="2"/>
        <item x="4"/>
        <item x="0"/>
        <item x="3"/>
        <item t="default"/>
      </items>
    </pivotField>
    <pivotField showAll="0">
      <items count="11">
        <item x="9"/>
        <item x="1"/>
        <item x="8"/>
        <item x="7"/>
        <item x="5"/>
        <item x="0"/>
        <item x="6"/>
        <item x="2"/>
        <item x="3"/>
        <item x="4"/>
        <item t="default"/>
      </items>
    </pivotField>
    <pivotField showAll="0">
      <items count="9">
        <item x="2"/>
        <item x="3"/>
        <item x="4"/>
        <item x="0"/>
        <item x="5"/>
        <item x="1"/>
        <item x="6"/>
        <item x="7"/>
        <item t="default"/>
      </items>
    </pivotField>
    <pivotField showAll="0">
      <items count="5">
        <item x="2"/>
        <item x="3"/>
        <item x="1"/>
        <item x="0"/>
        <item t="default"/>
      </items>
    </pivotField>
    <pivotField axis="axisRow" showAll="0" sortType="ascending">
      <items count="17">
        <item x="3"/>
        <item x="12"/>
        <item x="7"/>
        <item x="9"/>
        <item x="15"/>
        <item x="13"/>
        <item x="11"/>
        <item x="10"/>
        <item x="0"/>
        <item x="14"/>
        <item x="4"/>
        <item x="1"/>
        <item x="6"/>
        <item x="8"/>
        <item x="2"/>
        <item x="5"/>
        <item t="default"/>
      </items>
      <autoSortScope>
        <pivotArea dataOnly="0" outline="0" fieldPosition="0">
          <references count="1">
            <reference field="4294967294" count="1" selected="0">
              <x v="0"/>
            </reference>
          </references>
        </pivotArea>
      </autoSortScope>
    </pivotField>
  </pivotFields>
  <rowFields count="1">
    <field x="13"/>
  </rowFields>
  <rowItems count="17">
    <i>
      <x v="8"/>
    </i>
    <i>
      <x v="4"/>
    </i>
    <i>
      <x/>
    </i>
    <i>
      <x v="9"/>
    </i>
    <i>
      <x v="1"/>
    </i>
    <i>
      <x v="3"/>
    </i>
    <i>
      <x v="6"/>
    </i>
    <i>
      <x v="7"/>
    </i>
    <i>
      <x v="15"/>
    </i>
    <i>
      <x v="10"/>
    </i>
    <i>
      <x v="13"/>
    </i>
    <i>
      <x v="11"/>
    </i>
    <i>
      <x v="2"/>
    </i>
    <i>
      <x v="5"/>
    </i>
    <i>
      <x v="14"/>
    </i>
    <i>
      <x v="12"/>
    </i>
    <i t="grand">
      <x/>
    </i>
  </rowItems>
  <colFields count="1">
    <field x="9"/>
  </colFields>
  <colItems count="5">
    <i>
      <x/>
    </i>
    <i>
      <x v="1"/>
    </i>
    <i>
      <x v="2"/>
    </i>
    <i>
      <x v="3"/>
    </i>
    <i t="grand">
      <x/>
    </i>
  </colItems>
  <pageFields count="1">
    <pageField fld="0" item="1" hier="-1"/>
  </pageFields>
  <dataFields count="1">
    <dataField name="Sum of Paid Fees" fld="6" baseField="9" baseItem="0" numFmtId="166"/>
  </dataFields>
  <chartFormats count="19">
    <chartFormat chart="129" format="0" series="1">
      <pivotArea type="data" outline="0" fieldPosition="0">
        <references count="1">
          <reference field="4294967294" count="1" selected="0">
            <x v="0"/>
          </reference>
        </references>
      </pivotArea>
    </chartFormat>
    <chartFormat chart="132" format="2" series="1">
      <pivotArea type="data" outline="0" fieldPosition="0">
        <references count="1">
          <reference field="4294967294" count="1" selected="0">
            <x v="0"/>
          </reference>
        </references>
      </pivotArea>
    </chartFormat>
    <chartFormat chart="135" format="4" series="1">
      <pivotArea type="data" outline="0" fieldPosition="0">
        <references count="1">
          <reference field="4294967294" count="1" selected="0">
            <x v="0"/>
          </reference>
        </references>
      </pivotArea>
    </chartFormat>
    <chartFormat chart="138" format="0" series="1">
      <pivotArea type="data" outline="0" fieldPosition="0">
        <references count="2">
          <reference field="4294967294" count="1" selected="0">
            <x v="0"/>
          </reference>
          <reference field="9" count="1" selected="0">
            <x v="0"/>
          </reference>
        </references>
      </pivotArea>
    </chartFormat>
    <chartFormat chart="138" format="1" series="1">
      <pivotArea type="data" outline="0" fieldPosition="0">
        <references count="2">
          <reference field="4294967294" count="1" selected="0">
            <x v="0"/>
          </reference>
          <reference field="9" count="1" selected="0">
            <x v="1"/>
          </reference>
        </references>
      </pivotArea>
    </chartFormat>
    <chartFormat chart="138" format="2" series="1">
      <pivotArea type="data" outline="0" fieldPosition="0">
        <references count="2">
          <reference field="4294967294" count="1" selected="0">
            <x v="0"/>
          </reference>
          <reference field="9" count="1" selected="0">
            <x v="2"/>
          </reference>
        </references>
      </pivotArea>
    </chartFormat>
    <chartFormat chart="138" format="3" series="1">
      <pivotArea type="data" outline="0" fieldPosition="0">
        <references count="2">
          <reference field="4294967294" count="1" selected="0">
            <x v="0"/>
          </reference>
          <reference field="9" count="1" selected="0">
            <x v="3"/>
          </reference>
        </references>
      </pivotArea>
    </chartFormat>
    <chartFormat chart="139" format="4" series="1">
      <pivotArea type="data" outline="0" fieldPosition="0">
        <references count="2">
          <reference field="4294967294" count="1" selected="0">
            <x v="0"/>
          </reference>
          <reference field="9" count="1" selected="0">
            <x v="0"/>
          </reference>
        </references>
      </pivotArea>
    </chartFormat>
    <chartFormat chart="139" format="5" series="1">
      <pivotArea type="data" outline="0" fieldPosition="0">
        <references count="2">
          <reference field="4294967294" count="1" selected="0">
            <x v="0"/>
          </reference>
          <reference field="9" count="1" selected="0">
            <x v="1"/>
          </reference>
        </references>
      </pivotArea>
    </chartFormat>
    <chartFormat chart="139" format="6" series="1">
      <pivotArea type="data" outline="0" fieldPosition="0">
        <references count="2">
          <reference field="4294967294" count="1" selected="0">
            <x v="0"/>
          </reference>
          <reference field="9" count="1" selected="0">
            <x v="2"/>
          </reference>
        </references>
      </pivotArea>
    </chartFormat>
    <chartFormat chart="139" format="7" series="1">
      <pivotArea type="data" outline="0" fieldPosition="0">
        <references count="2">
          <reference field="4294967294" count="1" selected="0">
            <x v="0"/>
          </reference>
          <reference field="9" count="1" selected="0">
            <x v="3"/>
          </reference>
        </references>
      </pivotArea>
    </chartFormat>
    <chartFormat chart="140" format="8" series="1">
      <pivotArea type="data" outline="0" fieldPosition="0">
        <references count="2">
          <reference field="4294967294" count="1" selected="0">
            <x v="0"/>
          </reference>
          <reference field="9" count="1" selected="0">
            <x v="0"/>
          </reference>
        </references>
      </pivotArea>
    </chartFormat>
    <chartFormat chart="140" format="9" series="1">
      <pivotArea type="data" outline="0" fieldPosition="0">
        <references count="2">
          <reference field="4294967294" count="1" selected="0">
            <x v="0"/>
          </reference>
          <reference field="9" count="1" selected="0">
            <x v="1"/>
          </reference>
        </references>
      </pivotArea>
    </chartFormat>
    <chartFormat chart="140" format="10" series="1">
      <pivotArea type="data" outline="0" fieldPosition="0">
        <references count="2">
          <reference field="4294967294" count="1" selected="0">
            <x v="0"/>
          </reference>
          <reference field="9" count="1" selected="0">
            <x v="2"/>
          </reference>
        </references>
      </pivotArea>
    </chartFormat>
    <chartFormat chart="140" format="11" series="1">
      <pivotArea type="data" outline="0" fieldPosition="0">
        <references count="2">
          <reference field="4294967294" count="1" selected="0">
            <x v="0"/>
          </reference>
          <reference field="9" count="1" selected="0">
            <x v="3"/>
          </reference>
        </references>
      </pivotArea>
    </chartFormat>
    <chartFormat chart="141" format="8" series="1">
      <pivotArea type="data" outline="0" fieldPosition="0">
        <references count="2">
          <reference field="4294967294" count="1" selected="0">
            <x v="0"/>
          </reference>
          <reference field="9" count="1" selected="0">
            <x v="0"/>
          </reference>
        </references>
      </pivotArea>
    </chartFormat>
    <chartFormat chart="141" format="9" series="1">
      <pivotArea type="data" outline="0" fieldPosition="0">
        <references count="2">
          <reference field="4294967294" count="1" selected="0">
            <x v="0"/>
          </reference>
          <reference field="9" count="1" selected="0">
            <x v="1"/>
          </reference>
        </references>
      </pivotArea>
    </chartFormat>
    <chartFormat chart="141" format="10" series="1">
      <pivotArea type="data" outline="0" fieldPosition="0">
        <references count="2">
          <reference field="4294967294" count="1" selected="0">
            <x v="0"/>
          </reference>
          <reference field="9" count="1" selected="0">
            <x v="2"/>
          </reference>
        </references>
      </pivotArea>
    </chartFormat>
    <chartFormat chart="141" format="11" series="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1D26467-97A7-4A76-A358-418A37B495A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9">
  <location ref="AP7:AQ17" firstHeaderRow="1" firstDataRow="1" firstDataCol="1" rowPageCount="1" colPageCount="1"/>
  <pivotFields count="14">
    <pivotField axis="axisPage" showAll="0">
      <items count="3">
        <item x="1"/>
        <item x="0"/>
        <item t="default"/>
      </items>
    </pivotField>
    <pivotField numFmtId="1" showAll="0"/>
    <pivotField showAll="0">
      <items count="13">
        <item x="5"/>
        <item x="6"/>
        <item x="7"/>
        <item x="0"/>
        <item x="8"/>
        <item x="9"/>
        <item x="11"/>
        <item x="1"/>
        <item x="2"/>
        <item x="3"/>
        <item x="4"/>
        <item x="10"/>
        <item t="default"/>
      </items>
    </pivotField>
    <pivotField showAll="0"/>
    <pivotField showAll="0"/>
    <pivotField dataField="1" numFmtId="3" showAll="0">
      <items count="7">
        <item x="5"/>
        <item x="0"/>
        <item x="2"/>
        <item x="1"/>
        <item x="3"/>
        <item x="4"/>
        <item t="default"/>
      </items>
    </pivotField>
    <pivotField numFmtId="165" showAll="0"/>
    <pivotField showAll="0"/>
    <pivotField numFmtId="45" showAll="0"/>
    <pivotField showAll="0">
      <items count="6">
        <item x="1"/>
        <item x="2"/>
        <item x="4"/>
        <item x="0"/>
        <item x="3"/>
        <item t="default"/>
      </items>
    </pivotField>
    <pivotField axis="axisRow" showAll="0">
      <items count="11">
        <item x="4"/>
        <item x="3"/>
        <item x="5"/>
        <item x="2"/>
        <item x="0"/>
        <item x="7"/>
        <item x="8"/>
        <item x="1"/>
        <item x="9"/>
        <item x="6"/>
        <item t="default"/>
      </items>
    </pivotField>
    <pivotField showAll="0">
      <items count="9">
        <item x="2"/>
        <item x="3"/>
        <item x="4"/>
        <item x="0"/>
        <item x="5"/>
        <item x="1"/>
        <item x="6"/>
        <item x="7"/>
        <item t="default"/>
      </items>
    </pivotField>
    <pivotField showAll="0">
      <items count="5">
        <item x="2"/>
        <item x="3"/>
        <item x="1"/>
        <item x="0"/>
        <item t="default"/>
      </items>
    </pivotField>
    <pivotField showAll="0">
      <items count="17">
        <item x="5"/>
        <item x="2"/>
        <item x="8"/>
        <item x="6"/>
        <item x="1"/>
        <item x="4"/>
        <item x="14"/>
        <item x="0"/>
        <item x="10"/>
        <item x="11"/>
        <item x="13"/>
        <item x="15"/>
        <item x="9"/>
        <item x="7"/>
        <item x="12"/>
        <item x="3"/>
        <item t="default"/>
      </items>
    </pivotField>
  </pivotFields>
  <rowFields count="1">
    <field x="10"/>
  </rowFields>
  <rowItems count="10">
    <i>
      <x/>
    </i>
    <i>
      <x v="1"/>
    </i>
    <i>
      <x v="2"/>
    </i>
    <i>
      <x v="3"/>
    </i>
    <i>
      <x v="4"/>
    </i>
    <i>
      <x v="5"/>
    </i>
    <i>
      <x v="6"/>
    </i>
    <i>
      <x v="7"/>
    </i>
    <i>
      <x v="9"/>
    </i>
    <i t="grand">
      <x/>
    </i>
  </rowItems>
  <colItems count="1">
    <i/>
  </colItems>
  <pageFields count="1">
    <pageField fld="0" item="1" hier="-1"/>
  </pageFields>
  <dataFields count="1">
    <dataField name="Sum of Enrolled Courses" fld="5" baseField="0" baseItem="0" numFmtId="3"/>
  </dataFields>
  <chartFormats count="2">
    <chartFormat chart="65" format="0" series="1">
      <pivotArea type="data" outline="0" fieldPosition="0">
        <references count="1">
          <reference field="4294967294" count="1" selected="0">
            <x v="0"/>
          </reference>
        </references>
      </pivotArea>
    </chartFormat>
    <chartFormat chart="6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F6A470B1-D10B-4378-8544-AB1981149DE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9">
  <location ref="AT7:AU17" firstHeaderRow="1" firstDataRow="1" firstDataCol="1" rowPageCount="1" colPageCount="1"/>
  <pivotFields count="14">
    <pivotField axis="axisPage" showAll="0">
      <items count="3">
        <item x="1"/>
        <item x="0"/>
        <item t="default"/>
      </items>
    </pivotField>
    <pivotField numFmtId="1" showAll="0"/>
    <pivotField showAll="0">
      <items count="13">
        <item x="5"/>
        <item x="6"/>
        <item x="7"/>
        <item x="0"/>
        <item x="8"/>
        <item x="9"/>
        <item x="11"/>
        <item x="1"/>
        <item x="2"/>
        <item x="3"/>
        <item x="4"/>
        <item x="10"/>
        <item t="default"/>
      </items>
    </pivotField>
    <pivotField showAll="0"/>
    <pivotField showAll="0"/>
    <pivotField numFmtId="3" showAll="0">
      <items count="7">
        <item x="5"/>
        <item x="0"/>
        <item x="2"/>
        <item x="1"/>
        <item x="3"/>
        <item x="4"/>
        <item t="default"/>
      </items>
    </pivotField>
    <pivotField dataField="1" numFmtId="165" showAll="0"/>
    <pivotField showAll="0"/>
    <pivotField numFmtId="45" showAll="0"/>
    <pivotField showAll="0">
      <items count="6">
        <item x="1"/>
        <item x="2"/>
        <item x="4"/>
        <item x="0"/>
        <item x="3"/>
        <item t="default"/>
      </items>
    </pivotField>
    <pivotField axis="axisRow" showAll="0" sortType="descending">
      <items count="11">
        <item x="9"/>
        <item x="1"/>
        <item x="8"/>
        <item x="7"/>
        <item x="5"/>
        <item x="0"/>
        <item x="6"/>
        <item x="2"/>
        <item x="3"/>
        <item x="4"/>
        <item t="default"/>
      </items>
      <autoSortScope>
        <pivotArea dataOnly="0" outline="0" fieldPosition="0">
          <references count="1">
            <reference field="4294967294" count="1" selected="0">
              <x v="0"/>
            </reference>
          </references>
        </pivotArea>
      </autoSortScope>
    </pivotField>
    <pivotField showAll="0">
      <items count="9">
        <item x="2"/>
        <item x="3"/>
        <item x="4"/>
        <item x="0"/>
        <item x="5"/>
        <item x="1"/>
        <item x="6"/>
        <item x="7"/>
        <item t="default"/>
      </items>
    </pivotField>
    <pivotField showAll="0">
      <items count="5">
        <item x="2"/>
        <item x="3"/>
        <item x="1"/>
        <item x="0"/>
        <item t="default"/>
      </items>
    </pivotField>
    <pivotField showAll="0">
      <items count="17">
        <item x="5"/>
        <item x="2"/>
        <item x="8"/>
        <item x="6"/>
        <item x="1"/>
        <item x="4"/>
        <item x="14"/>
        <item x="0"/>
        <item x="10"/>
        <item x="11"/>
        <item x="13"/>
        <item x="15"/>
        <item x="9"/>
        <item x="7"/>
        <item x="12"/>
        <item x="3"/>
        <item t="default"/>
      </items>
    </pivotField>
  </pivotFields>
  <rowFields count="1">
    <field x="10"/>
  </rowFields>
  <rowItems count="10">
    <i>
      <x v="5"/>
    </i>
    <i>
      <x v="7"/>
    </i>
    <i>
      <x v="3"/>
    </i>
    <i>
      <x v="9"/>
    </i>
    <i>
      <x v="4"/>
    </i>
    <i>
      <x v="8"/>
    </i>
    <i>
      <x v="1"/>
    </i>
    <i>
      <x v="2"/>
    </i>
    <i>
      <x v="6"/>
    </i>
    <i t="grand">
      <x/>
    </i>
  </rowItems>
  <colItems count="1">
    <i/>
  </colItems>
  <pageFields count="1">
    <pageField fld="0" item="1" hier="-1"/>
  </pageFields>
  <dataFields count="1">
    <dataField name="Sum of Paid Fees" fld="6" baseField="10" baseItem="1"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95B928D4-AF85-4F21-B9FA-E0B2565C627B}" name="Training_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7">
  <location ref="CL7:CM27" firstHeaderRow="1" firstDataRow="1" firstDataCol="1" rowPageCount="1" colPageCount="1"/>
  <pivotFields count="14">
    <pivotField axis="axisPage" showAll="0">
      <items count="3">
        <item x="1"/>
        <item x="0"/>
        <item t="default"/>
      </items>
    </pivotField>
    <pivotField numFmtId="1" showAll="0"/>
    <pivotField showAll="0">
      <items count="13">
        <item x="5"/>
        <item x="6"/>
        <item x="7"/>
        <item x="0"/>
        <item x="8"/>
        <item x="9"/>
        <item x="11"/>
        <item x="1"/>
        <item x="2"/>
        <item x="3"/>
        <item x="4"/>
        <item x="10"/>
        <item t="default"/>
      </items>
    </pivotField>
    <pivotField showAll="0">
      <items count="7">
        <item x="1"/>
        <item x="2"/>
        <item x="4"/>
        <item x="0"/>
        <item x="3"/>
        <item x="5"/>
        <item t="default"/>
      </items>
    </pivotField>
    <pivotField showAll="0">
      <items count="6">
        <item x="1"/>
        <item x="2"/>
        <item x="3"/>
        <item x="0"/>
        <item x="4"/>
        <item t="default"/>
      </items>
    </pivotField>
    <pivotField numFmtId="3" showAll="0">
      <items count="7">
        <item x="5"/>
        <item x="0"/>
        <item x="2"/>
        <item x="1"/>
        <item x="3"/>
        <item x="4"/>
        <item t="default"/>
      </items>
    </pivotField>
    <pivotField dataField="1" numFmtId="165" showAll="0"/>
    <pivotField showAll="0"/>
    <pivotField numFmtId="45" showAll="0"/>
    <pivotField axis="axisRow" showAll="0">
      <items count="6">
        <item x="1"/>
        <item x="2"/>
        <item x="4"/>
        <item x="0"/>
        <item x="3"/>
        <item t="default"/>
      </items>
    </pivotField>
    <pivotField showAll="0">
      <items count="11">
        <item x="9"/>
        <item x="1"/>
        <item x="8"/>
        <item x="7"/>
        <item x="5"/>
        <item x="0"/>
        <item x="6"/>
        <item x="2"/>
        <item x="3"/>
        <item x="4"/>
        <item t="default"/>
      </items>
    </pivotField>
    <pivotField showAll="0">
      <items count="9">
        <item x="2"/>
        <item x="3"/>
        <item x="4"/>
        <item x="0"/>
        <item x="5"/>
        <item x="1"/>
        <item x="6"/>
        <item x="7"/>
        <item t="default"/>
      </items>
    </pivotField>
    <pivotField axis="axisRow" showAll="0">
      <items count="5">
        <item x="2"/>
        <item x="3"/>
        <item x="1"/>
        <item x="0"/>
        <item t="default"/>
      </items>
    </pivotField>
    <pivotField showAll="0" sortType="ascending">
      <items count="17">
        <item x="3"/>
        <item x="12"/>
        <item x="7"/>
        <item x="9"/>
        <item x="15"/>
        <item x="13"/>
        <item x="11"/>
        <item x="10"/>
        <item x="0"/>
        <item x="14"/>
        <item x="4"/>
        <item x="1"/>
        <item x="6"/>
        <item x="8"/>
        <item x="2"/>
        <item x="5"/>
        <item t="default"/>
      </items>
    </pivotField>
  </pivotFields>
  <rowFields count="2">
    <field x="12"/>
    <field x="9"/>
  </rowFields>
  <rowItems count="20">
    <i>
      <x/>
    </i>
    <i r="1">
      <x/>
    </i>
    <i r="1">
      <x v="1"/>
    </i>
    <i r="1">
      <x v="3"/>
    </i>
    <i>
      <x v="1"/>
    </i>
    <i r="1">
      <x/>
    </i>
    <i r="1">
      <x v="1"/>
    </i>
    <i r="1">
      <x v="2"/>
    </i>
    <i r="1">
      <x v="3"/>
    </i>
    <i>
      <x v="2"/>
    </i>
    <i r="1">
      <x/>
    </i>
    <i r="1">
      <x v="1"/>
    </i>
    <i r="1">
      <x v="2"/>
    </i>
    <i r="1">
      <x v="3"/>
    </i>
    <i>
      <x v="3"/>
    </i>
    <i r="1">
      <x/>
    </i>
    <i r="1">
      <x v="1"/>
    </i>
    <i r="1">
      <x v="2"/>
    </i>
    <i r="1">
      <x v="3"/>
    </i>
    <i t="grand">
      <x/>
    </i>
  </rowItems>
  <colItems count="1">
    <i/>
  </colItems>
  <pageFields count="1">
    <pageField fld="0" item="1" hier="-1"/>
  </pageFields>
  <dataFields count="1">
    <dataField name="Sum of Paid Fees" fld="6" baseField="9" baseItem="0" numFmtId="166"/>
  </dataFields>
  <chartFormats count="3">
    <chartFormat chart="129" format="0" series="1">
      <pivotArea type="data" outline="0" fieldPosition="0">
        <references count="1">
          <reference field="4294967294" count="1" selected="0">
            <x v="0"/>
          </reference>
        </references>
      </pivotArea>
    </chartFormat>
    <chartFormat chart="132" format="2" series="1">
      <pivotArea type="data" outline="0" fieldPosition="0">
        <references count="1">
          <reference field="4294967294" count="1" selected="0">
            <x v="0"/>
          </reference>
        </references>
      </pivotArea>
    </chartFormat>
    <chartFormat chart="13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08EC719-E0BD-4613-8274-4341CDBA4727}" name="Call_month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2">
  <location ref="BV7:BX20" firstHeaderRow="0" firstDataRow="1" firstDataCol="1"/>
  <pivotFields count="14">
    <pivotField showAll="0">
      <items count="3">
        <item x="1"/>
        <item x="0"/>
        <item t="default"/>
      </items>
    </pivotField>
    <pivotField numFmtId="1" showAll="0"/>
    <pivotField axis="axisRow" dataField="1" showAll="0">
      <items count="13">
        <item x="5"/>
        <item x="6"/>
        <item x="7"/>
        <item x="0"/>
        <item x="8"/>
        <item x="9"/>
        <item x="11"/>
        <item x="1"/>
        <item x="2"/>
        <item x="3"/>
        <item x="4"/>
        <item x="10"/>
        <item t="default"/>
      </items>
    </pivotField>
    <pivotField showAll="0">
      <items count="7">
        <item x="1"/>
        <item x="2"/>
        <item x="4"/>
        <item x="0"/>
        <item x="3"/>
        <item x="5"/>
        <item t="default"/>
      </items>
    </pivotField>
    <pivotField showAll="0"/>
    <pivotField numFmtId="3" showAll="0">
      <items count="7">
        <item x="5"/>
        <item x="0"/>
        <item x="2"/>
        <item x="1"/>
        <item x="3"/>
        <item x="4"/>
        <item t="default"/>
      </items>
    </pivotField>
    <pivotField numFmtId="165" showAll="0"/>
    <pivotField showAll="0"/>
    <pivotField numFmtId="45" showAll="0"/>
    <pivotField showAll="0">
      <items count="6">
        <item x="1"/>
        <item x="2"/>
        <item x="4"/>
        <item x="0"/>
        <item x="3"/>
        <item t="default"/>
      </items>
    </pivotField>
    <pivotField showAll="0">
      <items count="11">
        <item x="9"/>
        <item x="1"/>
        <item x="8"/>
        <item x="7"/>
        <item x="5"/>
        <item x="0"/>
        <item x="6"/>
        <item x="2"/>
        <item x="3"/>
        <item x="4"/>
        <item t="default"/>
      </items>
    </pivotField>
    <pivotField showAll="0">
      <items count="9">
        <item x="2"/>
        <item x="3"/>
        <item x="4"/>
        <item x="0"/>
        <item x="5"/>
        <item x="1"/>
        <item x="6"/>
        <item x="7"/>
        <item t="default"/>
      </items>
    </pivotField>
    <pivotField showAll="0">
      <items count="5">
        <item x="2"/>
        <item x="3"/>
        <item x="1"/>
        <item x="0"/>
        <item t="default"/>
      </items>
    </pivotField>
    <pivotField showAll="0" sortType="ascending">
      <items count="17">
        <item x="3"/>
        <item x="12"/>
        <item x="7"/>
        <item x="9"/>
        <item x="15"/>
        <item x="13"/>
        <item x="11"/>
        <item x="10"/>
        <item x="0"/>
        <item x="14"/>
        <item x="4"/>
        <item x="1"/>
        <item x="6"/>
        <item x="8"/>
        <item x="2"/>
        <item x="5"/>
        <item t="default"/>
      </items>
    </pivotField>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Count of Month" fld="2" subtotal="count" baseField="0" baseItem="0"/>
    <dataField name="Count of Month2" fld="2" subtotal="count" baseField="0" baseItem="0"/>
  </dataFields>
  <chartFormats count="10">
    <chartFormat chart="98" format="4" series="1">
      <pivotArea type="data" outline="0" fieldPosition="0">
        <references count="1">
          <reference field="4294967294" count="1" selected="0">
            <x v="0"/>
          </reference>
        </references>
      </pivotArea>
    </chartFormat>
    <chartFormat chart="99" format="2" series="1">
      <pivotArea type="data" outline="0" fieldPosition="0">
        <references count="1">
          <reference field="4294967294" count="1" selected="0">
            <x v="0"/>
          </reference>
        </references>
      </pivotArea>
    </chartFormat>
    <chartFormat chart="100" format="4" series="1">
      <pivotArea type="data" outline="0" fieldPosition="0">
        <references count="1">
          <reference field="4294967294" count="1" selected="0">
            <x v="0"/>
          </reference>
        </references>
      </pivotArea>
    </chartFormat>
    <chartFormat chart="101" format="4" series="1">
      <pivotArea type="data" outline="0" fieldPosition="0">
        <references count="1">
          <reference field="4294967294" count="1" selected="0">
            <x v="0"/>
          </reference>
        </references>
      </pivotArea>
    </chartFormat>
    <chartFormat chart="103" format="0" series="1">
      <pivotArea type="data" outline="0" fieldPosition="0">
        <references count="1">
          <reference field="4294967294" count="1" selected="0">
            <x v="0"/>
          </reference>
        </references>
      </pivotArea>
    </chartFormat>
    <chartFormat chart="103" format="3" series="1">
      <pivotArea type="data" outline="0" fieldPosition="0">
        <references count="1">
          <reference field="4294967294" count="1" selected="0">
            <x v="1"/>
          </reference>
        </references>
      </pivotArea>
    </chartFormat>
    <chartFormat chart="118" format="8" series="1">
      <pivotArea type="data" outline="0" fieldPosition="0">
        <references count="1">
          <reference field="4294967294" count="1" selected="0">
            <x v="1"/>
          </reference>
        </references>
      </pivotArea>
    </chartFormat>
    <chartFormat chart="118" format="9" series="1">
      <pivotArea type="data" outline="0" fieldPosition="0">
        <references count="1">
          <reference field="4294967294" count="1" selected="0">
            <x v="0"/>
          </reference>
        </references>
      </pivotArea>
    </chartFormat>
    <chartFormat chart="121" format="14" series="1">
      <pivotArea type="data" outline="0" fieldPosition="0">
        <references count="1">
          <reference field="4294967294" count="1" selected="0">
            <x v="1"/>
          </reference>
        </references>
      </pivotArea>
    </chartFormat>
    <chartFormat chart="121"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5AE8D65-10F8-48C7-A98F-0C21D75227EA}" sourceName="Month">
  <pivotTables>
    <pivotTable tabId="2" name="PivotTable6"/>
    <pivotTable tabId="2" name="PivotTable10"/>
    <pivotTable tabId="2" name="PivotTable11"/>
    <pivotTable tabId="2" name="PivotTable12"/>
    <pivotTable tabId="2" name="PivotTable13"/>
    <pivotTable tabId="2" name="PivotTable15"/>
    <pivotTable tabId="2" name="Avg__sales"/>
    <pivotTable tabId="2" name="PivotTable17"/>
    <pivotTable tabId="2" name="PivotTable19"/>
    <pivotTable tabId="2" name="PivotTable2"/>
    <pivotTable tabId="2" name="PivotTable21"/>
    <pivotTable tabId="2" name="Training_sales"/>
    <pivotTable tabId="2" name="PivotTable23"/>
    <pivotTable tabId="2" name="PivotTable3"/>
    <pivotTable tabId="2" name="PivotTable4"/>
    <pivotTable tabId="2" name="PivotTable7"/>
    <pivotTable tabId="2" name="PivotTable8"/>
    <pivotTable tabId="2" name="PivotTable9"/>
  </pivotTables>
  <data>
    <tabular pivotCacheId="806646726">
      <items count="12">
        <i x="5" s="1"/>
        <i x="6" s="1"/>
        <i x="7" s="1"/>
        <i x="0" s="1"/>
        <i x="8" s="1"/>
        <i x="9" s="1"/>
        <i x="11" s="1"/>
        <i x="1" s="1"/>
        <i x="2" s="1"/>
        <i x="3" s="1"/>
        <i x="4" s="1"/>
        <i x="1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Team" xr10:uid="{A778217A-A004-4366-9B3F-9D60AC11C2F4}" sourceName="Sale Team">
  <pivotTables>
    <pivotTable tabId="2" name="PivotTable23"/>
    <pivotTable tabId="2" name="Adv_Months"/>
    <pivotTable tabId="2" name="Call_months"/>
    <pivotTable tabId="2" name="Dur_months"/>
    <pivotTable tabId="2" name="Ear_months"/>
    <pivotTable tabId="2" name="Enr_months"/>
    <pivotTable tabId="2" name="PivotTable10"/>
    <pivotTable tabId="2" name="PivotTable11"/>
    <pivotTable tabId="2" name="PivotTable12"/>
    <pivotTable tabId="2" name="PivotTable13"/>
    <pivotTable tabId="2" name="PivotTable15"/>
    <pivotTable tabId="2" name="PivotTable17"/>
    <pivotTable tabId="2" name="PivotTable19"/>
    <pivotTable tabId="2" name="PivotTable2"/>
    <pivotTable tabId="2" name="PivotTable21"/>
    <pivotTable tabId="2" name="PivotTable3"/>
    <pivotTable tabId="2" name="PivotTable4"/>
    <pivotTable tabId="2" name="PivotTable6"/>
    <pivotTable tabId="2" name="PivotTable7"/>
    <pivotTable tabId="2" name="PivotTable8"/>
    <pivotTable tabId="2" name="PivotTable9"/>
  </pivotTables>
  <data>
    <tabular pivotCacheId="806646726" customListSort="0">
      <items count="4">
        <i x="2" s="1"/>
        <i x="3" s="1"/>
        <i x="1" s="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E556994A-4D10-451E-8A7B-6B81CB6AD5DC}" cache="Slicer_Month" caption="Month" columnCount="4" style="Slicer Style 8" lockedPosition="1" rowHeight="108000"/>
  <slicer name="Sale Team 1" xr10:uid="{C6F2E6AB-77CB-44E7-A406-9A3490498E53}" cache="Slicer_Sale_Team" caption="Sale Team" style="Slicer Style 8" lockedPosition="1" rowHeight="18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7AF9E19E-2B0C-4A03-80F7-31B161C8F066}" cache="Slicer_Month" caption="Month" columnCount="3" style="Slicer Style 8" rowHeight="180000"/>
  <slicer name="Sale Team" xr10:uid="{A8C17BA6-CA62-4B65-8094-DA14D75C5266}" cache="Slicer_Sale_Team" caption="Sale Team" style="Slicer Style 8"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microsoft.com/office/2007/relationships/slicer" Target="../slicers/slicer2.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drawing" Target="../drawings/drawing2.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F05C1-2F36-424A-B9DB-DEEDD004F30D}">
  <sheetPr>
    <tabColor theme="0" tint="-0.499984740745262"/>
  </sheetPr>
  <dimension ref="A1:N1238"/>
  <sheetViews>
    <sheetView tabSelected="1" zoomScale="76" zoomScaleNormal="62" workbookViewId="0">
      <selection activeCell="H1" sqref="H1:H1048576"/>
    </sheetView>
  </sheetViews>
  <sheetFormatPr defaultColWidth="10.6875" defaultRowHeight="15.75" x14ac:dyDescent="0.5"/>
  <cols>
    <col min="1" max="1" width="11.5" bestFit="1" customWidth="1"/>
    <col min="2" max="2" width="4.5" bestFit="1" customWidth="1"/>
    <col min="3" max="3" width="6.8125" bestFit="1" customWidth="1"/>
    <col min="4" max="4" width="19.3125" bestFit="1" customWidth="1"/>
    <col min="5" max="5" width="14.5" bestFit="1" customWidth="1"/>
    <col min="6" max="6" width="16.5" bestFit="1" customWidth="1"/>
    <col min="7" max="7" width="15.1875" bestFit="1" customWidth="1"/>
    <col min="8" max="8" width="21.5" bestFit="1" customWidth="1"/>
    <col min="9" max="9" width="20" bestFit="1" customWidth="1"/>
    <col min="10" max="10" width="15.3125" bestFit="1" customWidth="1"/>
    <col min="11" max="11" width="14.6875" bestFit="1" customWidth="1"/>
    <col min="12" max="12" width="10.3125" bestFit="1" customWidth="1"/>
    <col min="13" max="13" width="10.6875" bestFit="1" customWidth="1"/>
    <col min="14" max="14" width="11" bestFit="1" customWidth="1"/>
  </cols>
  <sheetData>
    <row r="1" spans="1:14" s="7" customFormat="1" ht="25.05" customHeight="1" x14ac:dyDescent="0.5">
      <c r="A1" s="8" t="s">
        <v>0</v>
      </c>
      <c r="B1" s="9" t="s">
        <v>1</v>
      </c>
      <c r="C1" s="8" t="s">
        <v>2</v>
      </c>
      <c r="D1" s="8" t="s">
        <v>3</v>
      </c>
      <c r="E1" s="8" t="s">
        <v>4</v>
      </c>
      <c r="F1" s="8" t="s">
        <v>5</v>
      </c>
      <c r="G1" s="8" t="s">
        <v>6</v>
      </c>
      <c r="H1" s="8" t="s">
        <v>7</v>
      </c>
      <c r="I1" s="8" t="s">
        <v>8</v>
      </c>
      <c r="J1" s="8" t="s">
        <v>9</v>
      </c>
      <c r="K1" s="8" t="s">
        <v>10</v>
      </c>
      <c r="L1" s="8" t="s">
        <v>11</v>
      </c>
      <c r="M1" s="8" t="s">
        <v>12</v>
      </c>
      <c r="N1" s="8" t="s">
        <v>13</v>
      </c>
    </row>
    <row r="2" spans="1:14" x14ac:dyDescent="0.5">
      <c r="A2" s="2" t="s">
        <v>14</v>
      </c>
      <c r="B2" s="3">
        <v>1</v>
      </c>
      <c r="C2" s="4" t="s">
        <v>15</v>
      </c>
      <c r="D2" s="2" t="s">
        <v>16</v>
      </c>
      <c r="E2" s="2" t="s">
        <v>17</v>
      </c>
      <c r="F2" s="5">
        <v>1</v>
      </c>
      <c r="G2" s="1">
        <v>7000000</v>
      </c>
      <c r="H2" s="2">
        <v>3</v>
      </c>
      <c r="I2" s="6">
        <v>1.3888888888888889E-3</v>
      </c>
      <c r="J2" s="2" t="s">
        <v>18</v>
      </c>
      <c r="K2" s="2" t="s">
        <v>19</v>
      </c>
      <c r="L2" s="2" t="s">
        <v>20</v>
      </c>
      <c r="M2" s="2" t="s">
        <v>78</v>
      </c>
      <c r="N2" s="2" t="s">
        <v>21</v>
      </c>
    </row>
    <row r="3" spans="1:14" x14ac:dyDescent="0.5">
      <c r="A3" s="2" t="s">
        <v>14</v>
      </c>
      <c r="B3" s="3">
        <v>10</v>
      </c>
      <c r="C3" s="4" t="s">
        <v>22</v>
      </c>
      <c r="D3" s="2" t="s">
        <v>16</v>
      </c>
      <c r="E3" s="2" t="s">
        <v>23</v>
      </c>
      <c r="F3" s="5">
        <v>3</v>
      </c>
      <c r="G3" s="1">
        <v>11000000</v>
      </c>
      <c r="H3" s="2">
        <v>1</v>
      </c>
      <c r="I3" s="6">
        <v>1.3888888888888889E-3</v>
      </c>
      <c r="J3" s="2" t="s">
        <v>18</v>
      </c>
      <c r="K3" s="2" t="s">
        <v>24</v>
      </c>
      <c r="L3" s="2" t="s">
        <v>25</v>
      </c>
      <c r="M3" s="2" t="s">
        <v>76</v>
      </c>
      <c r="N3" s="2" t="s">
        <v>26</v>
      </c>
    </row>
    <row r="4" spans="1:14" x14ac:dyDescent="0.5">
      <c r="A4" s="2" t="s">
        <v>14</v>
      </c>
      <c r="B4" s="3">
        <v>20</v>
      </c>
      <c r="C4" s="4" t="s">
        <v>27</v>
      </c>
      <c r="D4" s="2" t="s">
        <v>28</v>
      </c>
      <c r="E4" s="2" t="s">
        <v>17</v>
      </c>
      <c r="F4" s="5">
        <v>2</v>
      </c>
      <c r="G4" s="1">
        <v>12000000</v>
      </c>
      <c r="H4" s="2">
        <v>3</v>
      </c>
      <c r="I4" s="6">
        <v>1.3888888888888889E-3</v>
      </c>
      <c r="J4" s="2" t="s">
        <v>18</v>
      </c>
      <c r="K4" s="2" t="s">
        <v>29</v>
      </c>
      <c r="L4" s="2" t="s">
        <v>30</v>
      </c>
      <c r="M4" s="2" t="s">
        <v>76</v>
      </c>
      <c r="N4" s="2" t="s">
        <v>31</v>
      </c>
    </row>
    <row r="5" spans="1:14" x14ac:dyDescent="0.5">
      <c r="A5" s="2" t="s">
        <v>14</v>
      </c>
      <c r="B5" s="3">
        <v>23</v>
      </c>
      <c r="C5" s="4" t="s">
        <v>27</v>
      </c>
      <c r="D5" s="2" t="s">
        <v>32</v>
      </c>
      <c r="E5" s="2" t="s">
        <v>17</v>
      </c>
      <c r="F5" s="5">
        <v>4</v>
      </c>
      <c r="G5" s="1">
        <v>15000000</v>
      </c>
      <c r="H5" s="2">
        <v>1</v>
      </c>
      <c r="I5" s="6">
        <v>1.3888888888888889E-3</v>
      </c>
      <c r="J5" s="2" t="s">
        <v>18</v>
      </c>
      <c r="K5" s="2" t="s">
        <v>29</v>
      </c>
      <c r="L5" s="2" t="s">
        <v>33</v>
      </c>
      <c r="M5" s="2" t="s">
        <v>77</v>
      </c>
      <c r="N5" s="2" t="s">
        <v>34</v>
      </c>
    </row>
    <row r="6" spans="1:14" x14ac:dyDescent="0.5">
      <c r="A6" s="2" t="s">
        <v>14</v>
      </c>
      <c r="B6" s="3">
        <v>11</v>
      </c>
      <c r="C6" s="4" t="s">
        <v>27</v>
      </c>
      <c r="D6" s="2" t="s">
        <v>16</v>
      </c>
      <c r="E6" s="2" t="s">
        <v>17</v>
      </c>
      <c r="F6" s="5">
        <v>5</v>
      </c>
      <c r="G6" s="1">
        <v>25000000</v>
      </c>
      <c r="H6" s="2">
        <v>2</v>
      </c>
      <c r="I6" s="6">
        <v>1.3888888888888889E-3</v>
      </c>
      <c r="J6" s="2" t="s">
        <v>18</v>
      </c>
      <c r="K6" s="2" t="s">
        <v>35</v>
      </c>
      <c r="L6" s="2" t="s">
        <v>25</v>
      </c>
      <c r="M6" s="2" t="s">
        <v>66</v>
      </c>
      <c r="N6" s="2" t="s">
        <v>36</v>
      </c>
    </row>
    <row r="7" spans="1:14" x14ac:dyDescent="0.5">
      <c r="A7" s="2" t="s">
        <v>14</v>
      </c>
      <c r="B7" s="3">
        <v>2</v>
      </c>
      <c r="C7" s="4" t="s">
        <v>37</v>
      </c>
      <c r="D7" s="2" t="s">
        <v>38</v>
      </c>
      <c r="E7" s="2" t="s">
        <v>23</v>
      </c>
      <c r="F7" s="5">
        <v>3</v>
      </c>
      <c r="G7" s="1">
        <v>12000000</v>
      </c>
      <c r="H7" s="2">
        <v>1</v>
      </c>
      <c r="I7" s="6">
        <v>1.3888888888888889E-3</v>
      </c>
      <c r="J7" s="2" t="s">
        <v>18</v>
      </c>
      <c r="K7" s="2" t="s">
        <v>39</v>
      </c>
      <c r="L7" s="2" t="s">
        <v>40</v>
      </c>
      <c r="M7" s="2" t="s">
        <v>78</v>
      </c>
      <c r="N7" s="2" t="s">
        <v>41</v>
      </c>
    </row>
    <row r="8" spans="1:14" x14ac:dyDescent="0.5">
      <c r="A8" s="2" t="s">
        <v>14</v>
      </c>
      <c r="B8" s="3">
        <v>6</v>
      </c>
      <c r="C8" s="4" t="s">
        <v>37</v>
      </c>
      <c r="D8" s="2" t="s">
        <v>38</v>
      </c>
      <c r="E8" s="2" t="s">
        <v>42</v>
      </c>
      <c r="F8" s="5">
        <v>5</v>
      </c>
      <c r="G8" s="1">
        <v>20000000</v>
      </c>
      <c r="H8" s="2">
        <v>2</v>
      </c>
      <c r="I8" s="6">
        <v>1.3888888888888889E-3</v>
      </c>
      <c r="J8" s="2" t="s">
        <v>18</v>
      </c>
      <c r="K8" s="2" t="s">
        <v>19</v>
      </c>
      <c r="L8" s="2" t="s">
        <v>43</v>
      </c>
      <c r="M8" s="2" t="s">
        <v>66</v>
      </c>
      <c r="N8" s="2" t="s">
        <v>36</v>
      </c>
    </row>
    <row r="9" spans="1:14" x14ac:dyDescent="0.5">
      <c r="A9" s="2" t="s">
        <v>14</v>
      </c>
      <c r="B9" s="3">
        <v>26</v>
      </c>
      <c r="C9" s="4" t="s">
        <v>44</v>
      </c>
      <c r="D9" s="2" t="s">
        <v>32</v>
      </c>
      <c r="E9" s="2" t="s">
        <v>45</v>
      </c>
      <c r="F9" s="5" t="s">
        <v>118</v>
      </c>
      <c r="G9" s="1">
        <v>19000000</v>
      </c>
      <c r="H9" s="2">
        <v>2</v>
      </c>
      <c r="I9" s="6">
        <v>1.3888888888888889E-3</v>
      </c>
      <c r="J9" s="2" t="s">
        <v>46</v>
      </c>
      <c r="K9" s="2" t="s">
        <v>47</v>
      </c>
      <c r="L9" s="2" t="s">
        <v>33</v>
      </c>
      <c r="M9" s="2" t="s">
        <v>78</v>
      </c>
      <c r="N9" s="2" t="s">
        <v>41</v>
      </c>
    </row>
    <row r="10" spans="1:14" x14ac:dyDescent="0.5">
      <c r="A10" s="2" t="s">
        <v>14</v>
      </c>
      <c r="B10" s="3">
        <v>15</v>
      </c>
      <c r="C10" s="4" t="s">
        <v>44</v>
      </c>
      <c r="D10" s="2" t="s">
        <v>38</v>
      </c>
      <c r="E10" s="2" t="s">
        <v>42</v>
      </c>
      <c r="F10" s="5">
        <v>2</v>
      </c>
      <c r="G10" s="1">
        <v>38000000</v>
      </c>
      <c r="H10" s="2">
        <v>2</v>
      </c>
      <c r="I10" s="6">
        <v>1.3888888888888889E-3</v>
      </c>
      <c r="J10" s="2" t="s">
        <v>46</v>
      </c>
      <c r="K10" s="2" t="s">
        <v>39</v>
      </c>
      <c r="L10" s="2" t="s">
        <v>48</v>
      </c>
      <c r="M10" s="2" t="s">
        <v>76</v>
      </c>
      <c r="N10" s="2" t="s">
        <v>26</v>
      </c>
    </row>
    <row r="11" spans="1:14" x14ac:dyDescent="0.5">
      <c r="A11" s="2" t="s">
        <v>14</v>
      </c>
      <c r="B11" s="3">
        <v>17</v>
      </c>
      <c r="C11" s="4" t="s">
        <v>44</v>
      </c>
      <c r="D11" s="2" t="s">
        <v>49</v>
      </c>
      <c r="E11" s="2" t="s">
        <v>23</v>
      </c>
      <c r="F11" s="5">
        <v>2</v>
      </c>
      <c r="G11" s="1">
        <v>12000000</v>
      </c>
      <c r="H11" s="2">
        <v>2</v>
      </c>
      <c r="I11" s="6">
        <v>1.3888888888888889E-3</v>
      </c>
      <c r="J11" s="2" t="s">
        <v>18</v>
      </c>
      <c r="K11" s="2" t="s">
        <v>50</v>
      </c>
      <c r="L11" s="2" t="s">
        <v>51</v>
      </c>
      <c r="M11" s="2" t="s">
        <v>76</v>
      </c>
      <c r="N11" s="2" t="s">
        <v>52</v>
      </c>
    </row>
    <row r="12" spans="1:14" x14ac:dyDescent="0.5">
      <c r="A12" s="2" t="s">
        <v>14</v>
      </c>
      <c r="B12" s="3">
        <v>1</v>
      </c>
      <c r="C12" s="4" t="s">
        <v>15</v>
      </c>
      <c r="D12" s="2" t="s">
        <v>16</v>
      </c>
      <c r="E12" s="2" t="s">
        <v>17</v>
      </c>
      <c r="F12" s="5">
        <v>1</v>
      </c>
      <c r="G12" s="1">
        <v>7000000</v>
      </c>
      <c r="H12" s="2">
        <v>3</v>
      </c>
      <c r="I12" s="6">
        <v>1.3888888888888889E-3</v>
      </c>
      <c r="J12" s="2" t="s">
        <v>18</v>
      </c>
      <c r="K12" s="2" t="s">
        <v>19</v>
      </c>
      <c r="L12" s="2" t="s">
        <v>20</v>
      </c>
      <c r="M12" s="2" t="s">
        <v>78</v>
      </c>
      <c r="N12" s="2" t="s">
        <v>21</v>
      </c>
    </row>
    <row r="13" spans="1:14" x14ac:dyDescent="0.5">
      <c r="A13" s="2" t="s">
        <v>14</v>
      </c>
      <c r="B13" s="3">
        <v>2</v>
      </c>
      <c r="C13" s="4" t="s">
        <v>37</v>
      </c>
      <c r="D13" s="2" t="s">
        <v>38</v>
      </c>
      <c r="E13" s="2" t="s">
        <v>23</v>
      </c>
      <c r="F13" s="5">
        <v>3</v>
      </c>
      <c r="G13" s="1">
        <v>12000000</v>
      </c>
      <c r="H13" s="2">
        <v>1</v>
      </c>
      <c r="I13" s="6">
        <v>1.3888888888888889E-3</v>
      </c>
      <c r="J13" s="2" t="s">
        <v>18</v>
      </c>
      <c r="K13" s="2" t="s">
        <v>39</v>
      </c>
      <c r="L13" s="2" t="s">
        <v>40</v>
      </c>
      <c r="M13" s="2" t="s">
        <v>78</v>
      </c>
      <c r="N13" s="2" t="s">
        <v>26</v>
      </c>
    </row>
    <row r="14" spans="1:14" x14ac:dyDescent="0.5">
      <c r="A14" s="2" t="s">
        <v>14</v>
      </c>
      <c r="B14" s="3">
        <v>6</v>
      </c>
      <c r="C14" s="4" t="s">
        <v>37</v>
      </c>
      <c r="D14" s="2" t="s">
        <v>38</v>
      </c>
      <c r="E14" s="2" t="s">
        <v>42</v>
      </c>
      <c r="F14" s="5">
        <v>5</v>
      </c>
      <c r="G14" s="1">
        <v>20000000</v>
      </c>
      <c r="H14" s="2">
        <v>2</v>
      </c>
      <c r="I14" s="6">
        <v>1.3888888888888889E-3</v>
      </c>
      <c r="J14" s="2" t="s">
        <v>18</v>
      </c>
      <c r="K14" s="2" t="s">
        <v>19</v>
      </c>
      <c r="L14" s="2" t="s">
        <v>43</v>
      </c>
      <c r="M14" s="2" t="s">
        <v>66</v>
      </c>
      <c r="N14" s="2" t="s">
        <v>53</v>
      </c>
    </row>
    <row r="15" spans="1:14" x14ac:dyDescent="0.5">
      <c r="A15" s="2" t="s">
        <v>14</v>
      </c>
      <c r="B15" s="3">
        <v>26</v>
      </c>
      <c r="C15" s="4" t="s">
        <v>44</v>
      </c>
      <c r="D15" s="2" t="s">
        <v>32</v>
      </c>
      <c r="E15" s="2" t="s">
        <v>45</v>
      </c>
      <c r="F15" s="5">
        <v>1</v>
      </c>
      <c r="G15" s="1">
        <v>19000000</v>
      </c>
      <c r="H15" s="2">
        <v>2</v>
      </c>
      <c r="I15" s="6">
        <v>1.3888888888888889E-3</v>
      </c>
      <c r="J15" s="2" t="s">
        <v>46</v>
      </c>
      <c r="K15" s="2" t="s">
        <v>47</v>
      </c>
      <c r="L15" s="2" t="s">
        <v>33</v>
      </c>
      <c r="M15" s="2" t="s">
        <v>78</v>
      </c>
      <c r="N15" s="2" t="s">
        <v>54</v>
      </c>
    </row>
    <row r="16" spans="1:14" x14ac:dyDescent="0.5">
      <c r="A16" s="2" t="s">
        <v>14</v>
      </c>
      <c r="B16" s="3">
        <v>2</v>
      </c>
      <c r="C16" s="4" t="s">
        <v>37</v>
      </c>
      <c r="D16" s="2" t="s">
        <v>38</v>
      </c>
      <c r="E16" s="2" t="s">
        <v>23</v>
      </c>
      <c r="F16" s="5">
        <v>3</v>
      </c>
      <c r="G16" s="1">
        <v>12000000</v>
      </c>
      <c r="H16" s="2">
        <v>1</v>
      </c>
      <c r="I16" s="6">
        <v>1.3888888888888889E-3</v>
      </c>
      <c r="J16" s="2" t="s">
        <v>18</v>
      </c>
      <c r="K16" s="2" t="s">
        <v>39</v>
      </c>
      <c r="L16" s="2" t="s">
        <v>40</v>
      </c>
      <c r="M16" s="2" t="s">
        <v>78</v>
      </c>
      <c r="N16" s="2" t="s">
        <v>31</v>
      </c>
    </row>
    <row r="17" spans="1:14" x14ac:dyDescent="0.5">
      <c r="A17" s="2" t="s">
        <v>14</v>
      </c>
      <c r="B17" s="3">
        <v>6</v>
      </c>
      <c r="C17" s="4" t="s">
        <v>37</v>
      </c>
      <c r="D17" s="2" t="s">
        <v>38</v>
      </c>
      <c r="E17" s="2" t="s">
        <v>42</v>
      </c>
      <c r="F17" s="5">
        <v>5</v>
      </c>
      <c r="G17" s="1">
        <v>20000000</v>
      </c>
      <c r="H17" s="2">
        <v>2</v>
      </c>
      <c r="I17" s="6">
        <v>1.3888888888888889E-3</v>
      </c>
      <c r="J17" s="2" t="s">
        <v>18</v>
      </c>
      <c r="K17" s="2" t="s">
        <v>19</v>
      </c>
      <c r="L17" s="2" t="s">
        <v>43</v>
      </c>
      <c r="M17" s="2" t="s">
        <v>66</v>
      </c>
      <c r="N17" s="2" t="s">
        <v>53</v>
      </c>
    </row>
    <row r="18" spans="1:14" x14ac:dyDescent="0.5">
      <c r="A18" s="2" t="s">
        <v>14</v>
      </c>
      <c r="B18" s="3">
        <v>26</v>
      </c>
      <c r="C18" s="4" t="s">
        <v>44</v>
      </c>
      <c r="D18" s="2" t="s">
        <v>32</v>
      </c>
      <c r="E18" s="2" t="s">
        <v>45</v>
      </c>
      <c r="F18" s="5">
        <v>1</v>
      </c>
      <c r="G18" s="1">
        <v>19000000</v>
      </c>
      <c r="H18" s="2">
        <v>2</v>
      </c>
      <c r="I18" s="6">
        <v>1.3888888888888889E-3</v>
      </c>
      <c r="J18" s="2" t="s">
        <v>46</v>
      </c>
      <c r="K18" s="2" t="s">
        <v>47</v>
      </c>
      <c r="L18" s="2" t="s">
        <v>33</v>
      </c>
      <c r="M18" s="2" t="s">
        <v>78</v>
      </c>
      <c r="N18" s="2" t="s">
        <v>54</v>
      </c>
    </row>
    <row r="19" spans="1:14" x14ac:dyDescent="0.5">
      <c r="A19" s="2" t="s">
        <v>14</v>
      </c>
      <c r="B19" s="3">
        <v>12</v>
      </c>
      <c r="C19" s="4" t="s">
        <v>55</v>
      </c>
      <c r="D19" s="2" t="s">
        <v>16</v>
      </c>
      <c r="E19" s="2" t="s">
        <v>42</v>
      </c>
      <c r="F19" s="5">
        <v>3</v>
      </c>
      <c r="G19" s="1">
        <v>11000000</v>
      </c>
      <c r="H19" s="2">
        <v>1</v>
      </c>
      <c r="I19" s="6">
        <v>1.3888888888888889E-3</v>
      </c>
      <c r="J19" s="2" t="s">
        <v>18</v>
      </c>
      <c r="K19" s="2" t="s">
        <v>56</v>
      </c>
      <c r="L19" s="2" t="s">
        <v>51</v>
      </c>
      <c r="M19" s="2" t="s">
        <v>76</v>
      </c>
      <c r="N19" s="2" t="s">
        <v>52</v>
      </c>
    </row>
    <row r="20" spans="1:14" x14ac:dyDescent="0.5">
      <c r="A20" s="2" t="s">
        <v>14</v>
      </c>
      <c r="B20" s="3">
        <v>11</v>
      </c>
      <c r="C20" s="4" t="s">
        <v>57</v>
      </c>
      <c r="D20" s="2" t="s">
        <v>28</v>
      </c>
      <c r="E20" s="2" t="s">
        <v>23</v>
      </c>
      <c r="F20" s="5">
        <v>5</v>
      </c>
      <c r="G20" s="1">
        <v>25000000</v>
      </c>
      <c r="H20" s="2">
        <v>1</v>
      </c>
      <c r="I20" s="6">
        <v>1.3888888888888889E-3</v>
      </c>
      <c r="J20" s="2" t="s">
        <v>18</v>
      </c>
      <c r="K20" s="2" t="s">
        <v>29</v>
      </c>
      <c r="L20" s="2" t="s">
        <v>43</v>
      </c>
      <c r="M20" s="2" t="s">
        <v>76</v>
      </c>
      <c r="N20" s="2" t="s">
        <v>31</v>
      </c>
    </row>
    <row r="21" spans="1:14" x14ac:dyDescent="0.5">
      <c r="A21" s="2" t="s">
        <v>14</v>
      </c>
      <c r="B21" s="3">
        <v>11</v>
      </c>
      <c r="C21" s="4" t="s">
        <v>58</v>
      </c>
      <c r="D21" s="2" t="s">
        <v>32</v>
      </c>
      <c r="E21" s="2" t="s">
        <v>42</v>
      </c>
      <c r="F21" s="5">
        <v>2</v>
      </c>
      <c r="G21" s="1">
        <v>38000000</v>
      </c>
      <c r="H21" s="2">
        <v>2</v>
      </c>
      <c r="I21" s="6">
        <v>1.3888888888888889E-3</v>
      </c>
      <c r="J21" s="2" t="s">
        <v>46</v>
      </c>
      <c r="K21" s="2" t="s">
        <v>56</v>
      </c>
      <c r="L21" s="2" t="s">
        <v>43</v>
      </c>
      <c r="M21" s="2" t="s">
        <v>78</v>
      </c>
      <c r="N21" s="2" t="s">
        <v>53</v>
      </c>
    </row>
    <row r="22" spans="1:14" x14ac:dyDescent="0.5">
      <c r="A22" s="2" t="s">
        <v>14</v>
      </c>
      <c r="B22" s="3">
        <v>3</v>
      </c>
      <c r="C22" s="4" t="s">
        <v>15</v>
      </c>
      <c r="D22" s="2" t="s">
        <v>38</v>
      </c>
      <c r="E22" s="2" t="s">
        <v>42</v>
      </c>
      <c r="F22" s="5">
        <v>4</v>
      </c>
      <c r="G22" s="1">
        <v>15000000</v>
      </c>
      <c r="H22" s="2">
        <v>1</v>
      </c>
      <c r="I22" s="6">
        <v>1.3888888888888889E-3</v>
      </c>
      <c r="J22" s="2" t="s">
        <v>18</v>
      </c>
      <c r="K22" s="2" t="s">
        <v>56</v>
      </c>
      <c r="L22" s="2" t="s">
        <v>20</v>
      </c>
      <c r="M22" s="2" t="s">
        <v>78</v>
      </c>
      <c r="N22" s="2" t="s">
        <v>41</v>
      </c>
    </row>
    <row r="23" spans="1:14" x14ac:dyDescent="0.5">
      <c r="A23" s="2" t="s">
        <v>14</v>
      </c>
      <c r="B23" s="3">
        <v>11</v>
      </c>
      <c r="C23" s="4" t="s">
        <v>59</v>
      </c>
      <c r="D23" s="2" t="s">
        <v>16</v>
      </c>
      <c r="E23" s="2" t="s">
        <v>23</v>
      </c>
      <c r="F23" s="5">
        <v>1</v>
      </c>
      <c r="G23" s="1">
        <v>19000000</v>
      </c>
      <c r="H23" s="2">
        <v>1</v>
      </c>
      <c r="I23" s="6">
        <v>1.3888888888888889E-3</v>
      </c>
      <c r="J23" s="2" t="s">
        <v>46</v>
      </c>
      <c r="K23" s="2" t="s">
        <v>19</v>
      </c>
      <c r="L23" s="2" t="s">
        <v>25</v>
      </c>
      <c r="M23" s="2" t="s">
        <v>77</v>
      </c>
      <c r="N23" s="2" t="s">
        <v>54</v>
      </c>
    </row>
    <row r="24" spans="1:14" x14ac:dyDescent="0.5">
      <c r="A24" s="2" t="s">
        <v>14</v>
      </c>
      <c r="B24" s="3">
        <v>10</v>
      </c>
      <c r="C24" s="4" t="s">
        <v>59</v>
      </c>
      <c r="D24" s="2" t="s">
        <v>38</v>
      </c>
      <c r="E24" s="2" t="s">
        <v>17</v>
      </c>
      <c r="F24" s="5">
        <v>4</v>
      </c>
      <c r="G24" s="1">
        <v>20000000</v>
      </c>
      <c r="H24" s="2">
        <v>3</v>
      </c>
      <c r="I24" s="6">
        <v>1.3888888888888889E-3</v>
      </c>
      <c r="J24" s="2" t="s">
        <v>18</v>
      </c>
      <c r="K24" s="2" t="s">
        <v>47</v>
      </c>
      <c r="L24" s="2" t="s">
        <v>33</v>
      </c>
      <c r="M24" s="2" t="s">
        <v>77</v>
      </c>
      <c r="N24" s="2" t="s">
        <v>54</v>
      </c>
    </row>
    <row r="25" spans="1:14" x14ac:dyDescent="0.5">
      <c r="A25" s="2" t="s">
        <v>14</v>
      </c>
      <c r="B25" s="3">
        <v>5</v>
      </c>
      <c r="C25" s="4" t="s">
        <v>59</v>
      </c>
      <c r="D25" s="2" t="s">
        <v>38</v>
      </c>
      <c r="E25" s="2" t="s">
        <v>23</v>
      </c>
      <c r="F25" s="5">
        <v>1</v>
      </c>
      <c r="G25" s="1">
        <v>7000000</v>
      </c>
      <c r="H25" s="2">
        <v>2</v>
      </c>
      <c r="I25" s="6">
        <v>1.3888888888888889E-3</v>
      </c>
      <c r="J25" s="2" t="s">
        <v>18</v>
      </c>
      <c r="K25" s="2" t="s">
        <v>56</v>
      </c>
      <c r="L25" s="2" t="s">
        <v>48</v>
      </c>
      <c r="M25" s="2" t="s">
        <v>76</v>
      </c>
      <c r="N25" s="2" t="s">
        <v>52</v>
      </c>
    </row>
    <row r="26" spans="1:14" x14ac:dyDescent="0.5">
      <c r="A26" s="2" t="s">
        <v>14</v>
      </c>
      <c r="B26" s="3">
        <v>12</v>
      </c>
      <c r="C26" s="4" t="s">
        <v>60</v>
      </c>
      <c r="D26" s="2" t="s">
        <v>28</v>
      </c>
      <c r="E26" s="2" t="s">
        <v>23</v>
      </c>
      <c r="F26" s="5">
        <v>2</v>
      </c>
      <c r="G26" s="1">
        <v>38000000</v>
      </c>
      <c r="H26" s="2">
        <v>3</v>
      </c>
      <c r="I26" s="6">
        <v>1.3888888888888889E-3</v>
      </c>
      <c r="J26" s="2" t="s">
        <v>46</v>
      </c>
      <c r="K26" s="2" t="s">
        <v>39</v>
      </c>
      <c r="L26" s="2" t="s">
        <v>40</v>
      </c>
      <c r="M26" s="2" t="s">
        <v>78</v>
      </c>
      <c r="N26" s="2" t="s">
        <v>53</v>
      </c>
    </row>
    <row r="27" spans="1:14" x14ac:dyDescent="0.5">
      <c r="A27" s="2" t="s">
        <v>14</v>
      </c>
      <c r="B27" s="3">
        <v>26</v>
      </c>
      <c r="C27" s="4" t="s">
        <v>22</v>
      </c>
      <c r="D27" s="2" t="s">
        <v>16</v>
      </c>
      <c r="E27" s="2" t="s">
        <v>42</v>
      </c>
      <c r="F27" s="5">
        <v>4</v>
      </c>
      <c r="G27" s="1">
        <v>20000000</v>
      </c>
      <c r="H27" s="2">
        <v>3</v>
      </c>
      <c r="I27" s="6">
        <v>1.3888888888888889E-3</v>
      </c>
      <c r="J27" s="2" t="s">
        <v>61</v>
      </c>
      <c r="K27" s="2" t="s">
        <v>19</v>
      </c>
      <c r="L27" s="2" t="s">
        <v>20</v>
      </c>
      <c r="M27" s="2" t="s">
        <v>66</v>
      </c>
      <c r="N27" s="2" t="s">
        <v>36</v>
      </c>
    </row>
    <row r="28" spans="1:14" x14ac:dyDescent="0.5">
      <c r="A28" s="2" t="s">
        <v>14</v>
      </c>
      <c r="B28" s="3">
        <v>25</v>
      </c>
      <c r="C28" s="4" t="s">
        <v>27</v>
      </c>
      <c r="D28" s="2" t="s">
        <v>16</v>
      </c>
      <c r="E28" s="2" t="s">
        <v>17</v>
      </c>
      <c r="F28" s="5">
        <v>3</v>
      </c>
      <c r="G28" s="1">
        <v>15000000</v>
      </c>
      <c r="H28" s="2">
        <v>3</v>
      </c>
      <c r="I28" s="6">
        <v>1.3888888888888889E-3</v>
      </c>
      <c r="J28" s="2" t="s">
        <v>18</v>
      </c>
      <c r="K28" s="2" t="s">
        <v>56</v>
      </c>
      <c r="L28" s="2" t="s">
        <v>30</v>
      </c>
      <c r="M28" s="2" t="s">
        <v>76</v>
      </c>
      <c r="N28" s="2" t="s">
        <v>52</v>
      </c>
    </row>
    <row r="29" spans="1:14" x14ac:dyDescent="0.5">
      <c r="A29" s="2" t="s">
        <v>14</v>
      </c>
      <c r="B29" s="3">
        <v>11</v>
      </c>
      <c r="C29" s="4" t="s">
        <v>27</v>
      </c>
      <c r="D29" s="2" t="s">
        <v>16</v>
      </c>
      <c r="E29" s="2" t="s">
        <v>42</v>
      </c>
      <c r="F29" s="5">
        <v>3</v>
      </c>
      <c r="G29" s="1">
        <v>12000000</v>
      </c>
      <c r="H29" s="2">
        <v>4</v>
      </c>
      <c r="I29" s="6">
        <v>1.3888888888888889E-3</v>
      </c>
      <c r="J29" s="2" t="s">
        <v>18</v>
      </c>
      <c r="K29" s="2" t="s">
        <v>24</v>
      </c>
      <c r="L29" s="2" t="s">
        <v>20</v>
      </c>
      <c r="M29" s="2" t="s">
        <v>66</v>
      </c>
      <c r="N29" s="2" t="s">
        <v>36</v>
      </c>
    </row>
    <row r="30" spans="1:14" x14ac:dyDescent="0.5">
      <c r="A30" s="2" t="s">
        <v>14</v>
      </c>
      <c r="B30" s="3">
        <v>18</v>
      </c>
      <c r="C30" s="4" t="s">
        <v>27</v>
      </c>
      <c r="D30" s="2" t="s">
        <v>16</v>
      </c>
      <c r="E30" s="2" t="s">
        <v>23</v>
      </c>
      <c r="F30" s="5">
        <v>4</v>
      </c>
      <c r="G30" s="1">
        <v>15000000</v>
      </c>
      <c r="H30" s="2">
        <v>2</v>
      </c>
      <c r="I30" s="6">
        <v>1.3888888888888889E-3</v>
      </c>
      <c r="J30" s="2" t="s">
        <v>18</v>
      </c>
      <c r="K30" s="2" t="s">
        <v>39</v>
      </c>
      <c r="L30" s="2" t="s">
        <v>48</v>
      </c>
      <c r="M30" s="2" t="s">
        <v>78</v>
      </c>
      <c r="N30" s="2" t="s">
        <v>62</v>
      </c>
    </row>
    <row r="31" spans="1:14" x14ac:dyDescent="0.5">
      <c r="A31" s="2" t="s">
        <v>14</v>
      </c>
      <c r="B31" s="3">
        <v>1</v>
      </c>
      <c r="C31" s="4" t="s">
        <v>37</v>
      </c>
      <c r="D31" s="2" t="s">
        <v>32</v>
      </c>
      <c r="E31" s="2" t="s">
        <v>42</v>
      </c>
      <c r="F31" s="5">
        <v>3</v>
      </c>
      <c r="G31" s="1">
        <v>15000000</v>
      </c>
      <c r="H31" s="2">
        <v>3</v>
      </c>
      <c r="I31" s="6">
        <v>1.3888888888888889E-3</v>
      </c>
      <c r="J31" s="2" t="s">
        <v>18</v>
      </c>
      <c r="K31" s="2" t="s">
        <v>39</v>
      </c>
      <c r="L31" s="2" t="s">
        <v>30</v>
      </c>
      <c r="M31" s="2" t="s">
        <v>76</v>
      </c>
      <c r="N31" s="2" t="s">
        <v>52</v>
      </c>
    </row>
    <row r="32" spans="1:14" x14ac:dyDescent="0.5">
      <c r="A32" s="2" t="s">
        <v>14</v>
      </c>
      <c r="B32" s="3">
        <v>1</v>
      </c>
      <c r="C32" s="4" t="s">
        <v>37</v>
      </c>
      <c r="D32" s="2" t="s">
        <v>16</v>
      </c>
      <c r="E32" s="2" t="s">
        <v>42</v>
      </c>
      <c r="F32" s="5">
        <v>2</v>
      </c>
      <c r="G32" s="1">
        <v>12000000</v>
      </c>
      <c r="H32" s="2">
        <v>6</v>
      </c>
      <c r="I32" s="6">
        <v>1.3888888888888889E-3</v>
      </c>
      <c r="J32" s="2" t="s">
        <v>18</v>
      </c>
      <c r="K32" s="2" t="s">
        <v>39</v>
      </c>
      <c r="L32" s="2" t="s">
        <v>30</v>
      </c>
      <c r="M32" s="2" t="s">
        <v>78</v>
      </c>
      <c r="N32" s="2" t="s">
        <v>41</v>
      </c>
    </row>
    <row r="33" spans="1:14" x14ac:dyDescent="0.5">
      <c r="A33" s="2" t="s">
        <v>14</v>
      </c>
      <c r="B33" s="3">
        <v>8</v>
      </c>
      <c r="C33" s="4" t="s">
        <v>37</v>
      </c>
      <c r="D33" s="2" t="s">
        <v>16</v>
      </c>
      <c r="E33" s="2" t="s">
        <v>42</v>
      </c>
      <c r="F33" s="5">
        <v>3</v>
      </c>
      <c r="G33" s="1">
        <v>15000000</v>
      </c>
      <c r="H33" s="2">
        <v>3</v>
      </c>
      <c r="I33" s="6">
        <v>1.3888888888888889E-3</v>
      </c>
      <c r="J33" s="2" t="s">
        <v>18</v>
      </c>
      <c r="K33" s="2" t="s">
        <v>35</v>
      </c>
      <c r="L33" s="2" t="s">
        <v>20</v>
      </c>
      <c r="M33" s="2" t="s">
        <v>78</v>
      </c>
      <c r="N33" s="2" t="s">
        <v>62</v>
      </c>
    </row>
    <row r="34" spans="1:14" x14ac:dyDescent="0.5">
      <c r="A34" s="2" t="s">
        <v>14</v>
      </c>
      <c r="B34" s="3">
        <v>20</v>
      </c>
      <c r="C34" s="4" t="s">
        <v>37</v>
      </c>
      <c r="D34" s="2" t="s">
        <v>28</v>
      </c>
      <c r="E34" s="2" t="s">
        <v>23</v>
      </c>
      <c r="F34" s="5">
        <v>5</v>
      </c>
      <c r="G34" s="1">
        <v>25000000</v>
      </c>
      <c r="H34" s="2">
        <v>4</v>
      </c>
      <c r="I34" s="6">
        <v>1.3888888888888889E-3</v>
      </c>
      <c r="J34" s="2" t="s">
        <v>18</v>
      </c>
      <c r="K34" s="2" t="s">
        <v>35</v>
      </c>
      <c r="L34" s="2" t="s">
        <v>30</v>
      </c>
      <c r="M34" s="2" t="s">
        <v>78</v>
      </c>
      <c r="N34" s="2" t="s">
        <v>63</v>
      </c>
    </row>
    <row r="35" spans="1:14" x14ac:dyDescent="0.5">
      <c r="A35" s="2" t="s">
        <v>14</v>
      </c>
      <c r="B35" s="3">
        <v>20</v>
      </c>
      <c r="C35" s="4" t="s">
        <v>37</v>
      </c>
      <c r="D35" s="2" t="s">
        <v>49</v>
      </c>
      <c r="E35" s="2" t="s">
        <v>17</v>
      </c>
      <c r="F35" s="5">
        <v>2</v>
      </c>
      <c r="G35" s="1">
        <v>12000000</v>
      </c>
      <c r="H35" s="2">
        <v>4</v>
      </c>
      <c r="I35" s="6">
        <v>1.3888888888888889E-3</v>
      </c>
      <c r="J35" s="2" t="s">
        <v>18</v>
      </c>
      <c r="K35" s="2" t="s">
        <v>64</v>
      </c>
      <c r="L35" s="2" t="s">
        <v>33</v>
      </c>
      <c r="M35" s="2" t="s">
        <v>77</v>
      </c>
      <c r="N35" s="2" t="s">
        <v>65</v>
      </c>
    </row>
    <row r="36" spans="1:14" x14ac:dyDescent="0.5">
      <c r="A36" s="2" t="s">
        <v>14</v>
      </c>
      <c r="B36" s="3">
        <v>1</v>
      </c>
      <c r="C36" s="4" t="s">
        <v>37</v>
      </c>
      <c r="D36" s="2" t="s">
        <v>28</v>
      </c>
      <c r="E36" s="2" t="s">
        <v>23</v>
      </c>
      <c r="F36" s="5">
        <v>3</v>
      </c>
      <c r="G36" s="1">
        <v>15000000</v>
      </c>
      <c r="H36" s="2">
        <v>5</v>
      </c>
      <c r="I36" s="6">
        <v>1.3888888888888889E-3</v>
      </c>
      <c r="J36" s="2" t="s">
        <v>18</v>
      </c>
      <c r="K36" s="2" t="s">
        <v>29</v>
      </c>
      <c r="L36" s="2" t="s">
        <v>40</v>
      </c>
      <c r="M36" s="2" t="s">
        <v>77</v>
      </c>
      <c r="N36" s="2" t="s">
        <v>54</v>
      </c>
    </row>
    <row r="37" spans="1:14" x14ac:dyDescent="0.5">
      <c r="A37" s="2" t="s">
        <v>14</v>
      </c>
      <c r="B37" s="3">
        <v>20</v>
      </c>
      <c r="C37" s="4" t="s">
        <v>37</v>
      </c>
      <c r="D37" s="2" t="s">
        <v>28</v>
      </c>
      <c r="E37" s="2" t="s">
        <v>42</v>
      </c>
      <c r="F37" s="5">
        <v>2</v>
      </c>
      <c r="G37" s="1">
        <v>10000000</v>
      </c>
      <c r="H37" s="2">
        <v>1</v>
      </c>
      <c r="I37" s="6">
        <v>1.3888888888888889E-3</v>
      </c>
      <c r="J37" s="2" t="s">
        <v>18</v>
      </c>
      <c r="K37" s="2" t="s">
        <v>64</v>
      </c>
      <c r="L37" s="2" t="s">
        <v>43</v>
      </c>
      <c r="M37" s="2" t="s">
        <v>78</v>
      </c>
      <c r="N37" s="2" t="s">
        <v>66</v>
      </c>
    </row>
    <row r="38" spans="1:14" x14ac:dyDescent="0.5">
      <c r="A38" s="2" t="s">
        <v>14</v>
      </c>
      <c r="B38" s="3">
        <v>1</v>
      </c>
      <c r="C38" s="4" t="s">
        <v>37</v>
      </c>
      <c r="D38" s="2" t="s">
        <v>28</v>
      </c>
      <c r="E38" s="2" t="s">
        <v>17</v>
      </c>
      <c r="F38" s="5">
        <v>3</v>
      </c>
      <c r="G38" s="1">
        <v>12000000</v>
      </c>
      <c r="H38" s="2">
        <v>2</v>
      </c>
      <c r="I38" s="6">
        <v>1.3888888888888889E-3</v>
      </c>
      <c r="J38" s="2" t="s">
        <v>18</v>
      </c>
      <c r="K38" s="2" t="s">
        <v>35</v>
      </c>
      <c r="L38" s="2" t="s">
        <v>25</v>
      </c>
      <c r="M38" s="2" t="s">
        <v>78</v>
      </c>
      <c r="N38" s="2" t="s">
        <v>53</v>
      </c>
    </row>
    <row r="39" spans="1:14" x14ac:dyDescent="0.5">
      <c r="A39" s="2" t="s">
        <v>14</v>
      </c>
      <c r="B39" s="3">
        <v>4</v>
      </c>
      <c r="C39" s="4" t="s">
        <v>37</v>
      </c>
      <c r="D39" s="2" t="s">
        <v>16</v>
      </c>
      <c r="E39" s="2" t="s">
        <v>23</v>
      </c>
      <c r="F39" s="5">
        <v>3</v>
      </c>
      <c r="G39" s="1">
        <v>11000000</v>
      </c>
      <c r="H39" s="2">
        <v>6</v>
      </c>
      <c r="I39" s="6">
        <v>1.3888888888888889E-3</v>
      </c>
      <c r="J39" s="2" t="s">
        <v>18</v>
      </c>
      <c r="K39" s="2" t="s">
        <v>39</v>
      </c>
      <c r="L39" s="2" t="s">
        <v>48</v>
      </c>
      <c r="M39" s="2" t="s">
        <v>76</v>
      </c>
      <c r="N39" s="2" t="s">
        <v>31</v>
      </c>
    </row>
    <row r="40" spans="1:14" x14ac:dyDescent="0.5">
      <c r="A40" s="2" t="s">
        <v>14</v>
      </c>
      <c r="B40" s="3">
        <v>3</v>
      </c>
      <c r="C40" s="4" t="s">
        <v>44</v>
      </c>
      <c r="D40" s="2" t="s">
        <v>32</v>
      </c>
      <c r="E40" s="2" t="s">
        <v>17</v>
      </c>
      <c r="F40" s="5">
        <v>1</v>
      </c>
      <c r="G40" s="1">
        <v>19000000</v>
      </c>
      <c r="H40" s="2">
        <v>3</v>
      </c>
      <c r="I40" s="6">
        <v>1.3888888888888889E-3</v>
      </c>
      <c r="J40" s="2" t="s">
        <v>46</v>
      </c>
      <c r="K40" s="2" t="s">
        <v>64</v>
      </c>
      <c r="L40" s="2" t="s">
        <v>48</v>
      </c>
      <c r="M40" s="2" t="s">
        <v>78</v>
      </c>
      <c r="N40" s="2" t="s">
        <v>53</v>
      </c>
    </row>
    <row r="41" spans="1:14" x14ac:dyDescent="0.5">
      <c r="A41" s="2" t="s">
        <v>14</v>
      </c>
      <c r="B41" s="3">
        <v>22</v>
      </c>
      <c r="C41" s="4" t="s">
        <v>44</v>
      </c>
      <c r="D41" s="2" t="s">
        <v>32</v>
      </c>
      <c r="E41" s="2" t="s">
        <v>17</v>
      </c>
      <c r="F41" s="5">
        <v>1</v>
      </c>
      <c r="G41" s="1">
        <v>19000000</v>
      </c>
      <c r="H41" s="2">
        <v>1</v>
      </c>
      <c r="I41" s="6">
        <v>1.3888888888888889E-3</v>
      </c>
      <c r="J41" s="2" t="s">
        <v>46</v>
      </c>
      <c r="K41" s="2" t="s">
        <v>24</v>
      </c>
      <c r="L41" s="2" t="s">
        <v>51</v>
      </c>
      <c r="M41" s="2" t="s">
        <v>66</v>
      </c>
      <c r="N41" s="2" t="s">
        <v>67</v>
      </c>
    </row>
    <row r="42" spans="1:14" x14ac:dyDescent="0.5">
      <c r="A42" s="2" t="s">
        <v>14</v>
      </c>
      <c r="B42" s="3">
        <v>13</v>
      </c>
      <c r="C42" s="4" t="s">
        <v>44</v>
      </c>
      <c r="D42" s="2" t="s">
        <v>49</v>
      </c>
      <c r="E42" s="2" t="s">
        <v>68</v>
      </c>
      <c r="F42" s="5">
        <v>4</v>
      </c>
      <c r="G42" s="1">
        <v>20000000</v>
      </c>
      <c r="H42" s="2">
        <v>3</v>
      </c>
      <c r="I42" s="6">
        <v>1.3888888888888889E-3</v>
      </c>
      <c r="J42" s="2" t="s">
        <v>61</v>
      </c>
      <c r="K42" s="2" t="s">
        <v>19</v>
      </c>
      <c r="L42" s="2" t="s">
        <v>30</v>
      </c>
      <c r="M42" s="2" t="s">
        <v>77</v>
      </c>
      <c r="N42" s="2" t="s">
        <v>54</v>
      </c>
    </row>
    <row r="43" spans="1:14" x14ac:dyDescent="0.5">
      <c r="A43" s="2" t="s">
        <v>14</v>
      </c>
      <c r="B43" s="3">
        <v>17</v>
      </c>
      <c r="C43" s="4" t="s">
        <v>44</v>
      </c>
      <c r="D43" s="2" t="s">
        <v>49</v>
      </c>
      <c r="E43" s="2" t="s">
        <v>42</v>
      </c>
      <c r="F43" s="5">
        <v>1</v>
      </c>
      <c r="G43" s="1">
        <v>7000000</v>
      </c>
      <c r="H43" s="2">
        <v>1</v>
      </c>
      <c r="I43" s="6">
        <v>1.3888888888888889E-3</v>
      </c>
      <c r="J43" s="2" t="s">
        <v>18</v>
      </c>
      <c r="K43" s="2" t="s">
        <v>19</v>
      </c>
      <c r="L43" s="2" t="s">
        <v>33</v>
      </c>
      <c r="M43" s="2" t="s">
        <v>78</v>
      </c>
      <c r="N43" s="2" t="s">
        <v>53</v>
      </c>
    </row>
    <row r="44" spans="1:14" x14ac:dyDescent="0.5">
      <c r="A44" s="2" t="s">
        <v>14</v>
      </c>
      <c r="B44" s="3">
        <v>30</v>
      </c>
      <c r="C44" s="4" t="s">
        <v>44</v>
      </c>
      <c r="D44" s="2" t="s">
        <v>49</v>
      </c>
      <c r="E44" s="2" t="s">
        <v>23</v>
      </c>
      <c r="F44" s="5">
        <v>2</v>
      </c>
      <c r="G44" s="1">
        <v>10000000</v>
      </c>
      <c r="H44" s="2">
        <v>1</v>
      </c>
      <c r="I44" s="6">
        <v>1.3888888888888889E-3</v>
      </c>
      <c r="J44" s="2" t="s">
        <v>18</v>
      </c>
      <c r="K44" s="2" t="s">
        <v>29</v>
      </c>
      <c r="L44" s="2" t="s">
        <v>33</v>
      </c>
      <c r="M44" s="2" t="s">
        <v>77</v>
      </c>
      <c r="N44" s="2" t="s">
        <v>65</v>
      </c>
    </row>
    <row r="45" spans="1:14" x14ac:dyDescent="0.5">
      <c r="A45" s="2" t="s">
        <v>14</v>
      </c>
      <c r="B45" s="3">
        <v>29</v>
      </c>
      <c r="C45" s="4" t="s">
        <v>44</v>
      </c>
      <c r="D45" s="2" t="s">
        <v>32</v>
      </c>
      <c r="E45" s="2" t="s">
        <v>42</v>
      </c>
      <c r="F45" s="5">
        <v>3</v>
      </c>
      <c r="G45" s="1">
        <v>15000000</v>
      </c>
      <c r="H45" s="2">
        <v>1</v>
      </c>
      <c r="I45" s="6">
        <v>1.3888888888888889E-3</v>
      </c>
      <c r="J45" s="2" t="s">
        <v>18</v>
      </c>
      <c r="K45" s="2" t="s">
        <v>19</v>
      </c>
      <c r="L45" s="2" t="s">
        <v>25</v>
      </c>
      <c r="M45" s="2" t="s">
        <v>76</v>
      </c>
      <c r="N45" s="2" t="s">
        <v>26</v>
      </c>
    </row>
    <row r="46" spans="1:14" x14ac:dyDescent="0.5">
      <c r="A46" s="2" t="s">
        <v>14</v>
      </c>
      <c r="B46" s="3">
        <v>6</v>
      </c>
      <c r="C46" s="4" t="s">
        <v>44</v>
      </c>
      <c r="D46" s="2" t="s">
        <v>49</v>
      </c>
      <c r="E46" s="2" t="s">
        <v>68</v>
      </c>
      <c r="F46" s="5">
        <v>1</v>
      </c>
      <c r="G46" s="1">
        <v>7000000</v>
      </c>
      <c r="H46" s="2">
        <v>3</v>
      </c>
      <c r="I46" s="6">
        <v>1.3888888888888889E-3</v>
      </c>
      <c r="J46" s="2" t="s">
        <v>18</v>
      </c>
      <c r="K46" s="2" t="s">
        <v>64</v>
      </c>
      <c r="L46" s="2" t="s">
        <v>51</v>
      </c>
      <c r="M46" s="2" t="s">
        <v>66</v>
      </c>
      <c r="N46" s="2" t="s">
        <v>67</v>
      </c>
    </row>
    <row r="47" spans="1:14" x14ac:dyDescent="0.5">
      <c r="A47" s="2" t="s">
        <v>14</v>
      </c>
      <c r="B47" s="3">
        <v>22</v>
      </c>
      <c r="C47" s="4" t="s">
        <v>69</v>
      </c>
      <c r="D47" s="2" t="s">
        <v>28</v>
      </c>
      <c r="E47" s="2" t="s">
        <v>17</v>
      </c>
      <c r="F47" s="5">
        <v>5</v>
      </c>
      <c r="G47" s="1">
        <v>25000000</v>
      </c>
      <c r="H47" s="2">
        <v>6</v>
      </c>
      <c r="I47" s="6">
        <v>1.3888888888888889E-3</v>
      </c>
      <c r="J47" s="2" t="s">
        <v>18</v>
      </c>
      <c r="K47" s="2" t="s">
        <v>56</v>
      </c>
      <c r="L47" s="2" t="s">
        <v>43</v>
      </c>
      <c r="M47" s="2" t="s">
        <v>66</v>
      </c>
      <c r="N47" s="2" t="s">
        <v>36</v>
      </c>
    </row>
    <row r="48" spans="1:14" x14ac:dyDescent="0.5">
      <c r="A48" s="2" t="s">
        <v>14</v>
      </c>
      <c r="B48" s="3">
        <v>3</v>
      </c>
      <c r="C48" s="4" t="s">
        <v>69</v>
      </c>
      <c r="D48" s="2" t="s">
        <v>32</v>
      </c>
      <c r="E48" s="2" t="s">
        <v>23</v>
      </c>
      <c r="F48" s="5">
        <v>5</v>
      </c>
      <c r="G48" s="1">
        <v>20000000</v>
      </c>
      <c r="H48" s="2">
        <v>4</v>
      </c>
      <c r="I48" s="6">
        <v>1.3888888888888889E-3</v>
      </c>
      <c r="J48" s="2" t="s">
        <v>18</v>
      </c>
      <c r="K48" s="2" t="s">
        <v>39</v>
      </c>
      <c r="L48" s="2" t="s">
        <v>51</v>
      </c>
      <c r="M48" s="2" t="s">
        <v>76</v>
      </c>
      <c r="N48" s="2" t="s">
        <v>52</v>
      </c>
    </row>
    <row r="49" spans="1:14" x14ac:dyDescent="0.5">
      <c r="A49" s="2" t="s">
        <v>14</v>
      </c>
      <c r="B49" s="3">
        <v>12</v>
      </c>
      <c r="C49" s="4" t="s">
        <v>55</v>
      </c>
      <c r="D49" s="2" t="s">
        <v>16</v>
      </c>
      <c r="E49" s="2" t="s">
        <v>42</v>
      </c>
      <c r="F49" s="5">
        <v>3</v>
      </c>
      <c r="G49" s="1">
        <v>11000000</v>
      </c>
      <c r="H49" s="2">
        <v>1</v>
      </c>
      <c r="I49" s="6">
        <v>1.3888888888888889E-3</v>
      </c>
      <c r="J49" s="2" t="s">
        <v>18</v>
      </c>
      <c r="K49" s="2" t="s">
        <v>56</v>
      </c>
      <c r="L49" s="2" t="s">
        <v>51</v>
      </c>
      <c r="M49" s="2" t="s">
        <v>76</v>
      </c>
      <c r="N49" s="2" t="s">
        <v>52</v>
      </c>
    </row>
    <row r="50" spans="1:14" x14ac:dyDescent="0.5">
      <c r="A50" s="2" t="s">
        <v>14</v>
      </c>
      <c r="B50" s="3">
        <v>11</v>
      </c>
      <c r="C50" s="4" t="s">
        <v>57</v>
      </c>
      <c r="D50" s="2" t="s">
        <v>28</v>
      </c>
      <c r="E50" s="2" t="s">
        <v>23</v>
      </c>
      <c r="F50" s="5">
        <v>5</v>
      </c>
      <c r="G50" s="1">
        <v>25000000</v>
      </c>
      <c r="H50" s="2">
        <v>1</v>
      </c>
      <c r="I50" s="6">
        <v>1.3888888888888889E-3</v>
      </c>
      <c r="J50" s="2" t="s">
        <v>18</v>
      </c>
      <c r="K50" s="2" t="s">
        <v>29</v>
      </c>
      <c r="L50" s="2" t="s">
        <v>43</v>
      </c>
      <c r="M50" s="2" t="s">
        <v>76</v>
      </c>
      <c r="N50" s="2" t="s">
        <v>31</v>
      </c>
    </row>
    <row r="51" spans="1:14" x14ac:dyDescent="0.5">
      <c r="A51" s="2" t="s">
        <v>14</v>
      </c>
      <c r="B51" s="3">
        <v>11</v>
      </c>
      <c r="C51" s="4" t="s">
        <v>58</v>
      </c>
      <c r="D51" s="2" t="s">
        <v>32</v>
      </c>
      <c r="E51" s="2" t="s">
        <v>42</v>
      </c>
      <c r="F51" s="5">
        <v>2</v>
      </c>
      <c r="G51" s="1">
        <v>38000000</v>
      </c>
      <c r="H51" s="2">
        <v>2</v>
      </c>
      <c r="I51" s="6">
        <v>1.3888888888888889E-3</v>
      </c>
      <c r="J51" s="2" t="s">
        <v>46</v>
      </c>
      <c r="K51" s="2" t="s">
        <v>56</v>
      </c>
      <c r="L51" s="2" t="s">
        <v>43</v>
      </c>
      <c r="M51" s="2" t="s">
        <v>78</v>
      </c>
      <c r="N51" s="2" t="s">
        <v>53</v>
      </c>
    </row>
    <row r="52" spans="1:14" x14ac:dyDescent="0.5">
      <c r="A52" s="2" t="s">
        <v>14</v>
      </c>
      <c r="B52" s="3">
        <v>3</v>
      </c>
      <c r="C52" s="4" t="s">
        <v>15</v>
      </c>
      <c r="D52" s="2" t="s">
        <v>38</v>
      </c>
      <c r="E52" s="2" t="s">
        <v>42</v>
      </c>
      <c r="F52" s="5">
        <v>4</v>
      </c>
      <c r="G52" s="1">
        <v>15000000</v>
      </c>
      <c r="H52" s="2">
        <v>1</v>
      </c>
      <c r="I52" s="6">
        <v>1.3888888888888889E-3</v>
      </c>
      <c r="J52" s="2" t="s">
        <v>18</v>
      </c>
      <c r="K52" s="2" t="s">
        <v>56</v>
      </c>
      <c r="L52" s="2" t="s">
        <v>20</v>
      </c>
      <c r="M52" s="2" t="s">
        <v>78</v>
      </c>
      <c r="N52" s="2" t="s">
        <v>41</v>
      </c>
    </row>
    <row r="53" spans="1:14" x14ac:dyDescent="0.5">
      <c r="A53" s="2" t="s">
        <v>14</v>
      </c>
      <c r="B53" s="3">
        <v>11</v>
      </c>
      <c r="C53" s="4" t="s">
        <v>59</v>
      </c>
      <c r="D53" s="2" t="s">
        <v>16</v>
      </c>
      <c r="E53" s="2" t="s">
        <v>23</v>
      </c>
      <c r="F53" s="5">
        <v>1</v>
      </c>
      <c r="G53" s="1">
        <v>19000000</v>
      </c>
      <c r="H53" s="2">
        <v>1</v>
      </c>
      <c r="I53" s="6">
        <v>1.3888888888888889E-3</v>
      </c>
      <c r="J53" s="2" t="s">
        <v>46</v>
      </c>
      <c r="K53" s="2" t="s">
        <v>19</v>
      </c>
      <c r="L53" s="2" t="s">
        <v>25</v>
      </c>
      <c r="M53" s="2" t="s">
        <v>77</v>
      </c>
      <c r="N53" s="2" t="s">
        <v>54</v>
      </c>
    </row>
    <row r="54" spans="1:14" x14ac:dyDescent="0.5">
      <c r="A54" s="2" t="s">
        <v>14</v>
      </c>
      <c r="B54" s="3">
        <v>10</v>
      </c>
      <c r="C54" s="4" t="s">
        <v>59</v>
      </c>
      <c r="D54" s="2" t="s">
        <v>38</v>
      </c>
      <c r="E54" s="2" t="s">
        <v>17</v>
      </c>
      <c r="F54" s="5">
        <v>4</v>
      </c>
      <c r="G54" s="1">
        <v>20000000</v>
      </c>
      <c r="H54" s="2">
        <v>3</v>
      </c>
      <c r="I54" s="6">
        <v>1.3888888888888889E-3</v>
      </c>
      <c r="J54" s="2" t="s">
        <v>18</v>
      </c>
      <c r="K54" s="2" t="s">
        <v>47</v>
      </c>
      <c r="L54" s="2" t="s">
        <v>33</v>
      </c>
      <c r="M54" s="2" t="s">
        <v>77</v>
      </c>
      <c r="N54" s="2" t="s">
        <v>54</v>
      </c>
    </row>
    <row r="55" spans="1:14" x14ac:dyDescent="0.5">
      <c r="A55" s="2" t="s">
        <v>14</v>
      </c>
      <c r="B55" s="3">
        <v>5</v>
      </c>
      <c r="C55" s="4" t="s">
        <v>59</v>
      </c>
      <c r="D55" s="2" t="s">
        <v>38</v>
      </c>
      <c r="E55" s="2" t="s">
        <v>23</v>
      </c>
      <c r="F55" s="5">
        <v>1</v>
      </c>
      <c r="G55" s="1">
        <v>7000000</v>
      </c>
      <c r="H55" s="2">
        <v>2</v>
      </c>
      <c r="I55" s="6">
        <v>1.3888888888888889E-3</v>
      </c>
      <c r="J55" s="2" t="s">
        <v>18</v>
      </c>
      <c r="K55" s="2" t="s">
        <v>56</v>
      </c>
      <c r="L55" s="2" t="s">
        <v>48</v>
      </c>
      <c r="M55" s="2" t="s">
        <v>76</v>
      </c>
      <c r="N55" s="2" t="s">
        <v>52</v>
      </c>
    </row>
    <row r="56" spans="1:14" x14ac:dyDescent="0.5">
      <c r="A56" s="2" t="s">
        <v>14</v>
      </c>
      <c r="B56" s="3">
        <v>12</v>
      </c>
      <c r="C56" s="4" t="s">
        <v>60</v>
      </c>
      <c r="D56" s="2" t="s">
        <v>28</v>
      </c>
      <c r="E56" s="2" t="s">
        <v>23</v>
      </c>
      <c r="F56" s="5">
        <v>2</v>
      </c>
      <c r="G56" s="1">
        <v>38000000</v>
      </c>
      <c r="H56" s="2">
        <v>3</v>
      </c>
      <c r="I56" s="6">
        <v>1.3888888888888889E-3</v>
      </c>
      <c r="J56" s="2" t="s">
        <v>46</v>
      </c>
      <c r="K56" s="2" t="s">
        <v>39</v>
      </c>
      <c r="L56" s="2" t="s">
        <v>40</v>
      </c>
      <c r="M56" s="2" t="s">
        <v>78</v>
      </c>
      <c r="N56" s="2" t="s">
        <v>53</v>
      </c>
    </row>
    <row r="57" spans="1:14" x14ac:dyDescent="0.5">
      <c r="A57" s="2" t="s">
        <v>14</v>
      </c>
      <c r="B57" s="3">
        <v>26</v>
      </c>
      <c r="C57" s="4" t="s">
        <v>22</v>
      </c>
      <c r="D57" s="2" t="s">
        <v>16</v>
      </c>
      <c r="E57" s="2" t="s">
        <v>42</v>
      </c>
      <c r="F57" s="5">
        <v>4</v>
      </c>
      <c r="G57" s="1">
        <v>20000000</v>
      </c>
      <c r="H57" s="2">
        <v>3</v>
      </c>
      <c r="I57" s="6">
        <v>1.3888888888888889E-3</v>
      </c>
      <c r="J57" s="2" t="s">
        <v>61</v>
      </c>
      <c r="K57" s="2" t="s">
        <v>19</v>
      </c>
      <c r="L57" s="2" t="s">
        <v>20</v>
      </c>
      <c r="M57" s="2" t="s">
        <v>66</v>
      </c>
      <c r="N57" s="2" t="s">
        <v>36</v>
      </c>
    </row>
    <row r="58" spans="1:14" x14ac:dyDescent="0.5">
      <c r="A58" s="2" t="s">
        <v>70</v>
      </c>
      <c r="B58" s="3">
        <v>11</v>
      </c>
      <c r="C58" s="4" t="s">
        <v>58</v>
      </c>
      <c r="D58" s="2" t="s">
        <v>32</v>
      </c>
      <c r="E58" s="2" t="s">
        <v>17</v>
      </c>
      <c r="F58" s="5">
        <v>0</v>
      </c>
      <c r="G58" s="1">
        <v>0</v>
      </c>
      <c r="H58" s="2">
        <v>1</v>
      </c>
      <c r="I58" s="6">
        <v>1.3888888888888889E-3</v>
      </c>
      <c r="J58" s="2"/>
      <c r="K58" s="2"/>
      <c r="L58" s="2" t="s">
        <v>30</v>
      </c>
      <c r="M58" s="2" t="s">
        <v>78</v>
      </c>
      <c r="N58" s="2" t="s">
        <v>62</v>
      </c>
    </row>
    <row r="59" spans="1:14" x14ac:dyDescent="0.5">
      <c r="A59" s="2" t="s">
        <v>70</v>
      </c>
      <c r="B59" s="3">
        <v>14</v>
      </c>
      <c r="C59" s="4" t="s">
        <v>15</v>
      </c>
      <c r="D59" s="2" t="s">
        <v>16</v>
      </c>
      <c r="E59" s="2" t="s">
        <v>23</v>
      </c>
      <c r="F59" s="5">
        <v>0</v>
      </c>
      <c r="G59" s="1">
        <v>0</v>
      </c>
      <c r="H59" s="2">
        <v>5</v>
      </c>
      <c r="I59" s="6">
        <v>1.3888888888888889E-3</v>
      </c>
      <c r="J59" s="2"/>
      <c r="K59" s="2"/>
      <c r="L59" s="2" t="s">
        <v>33</v>
      </c>
      <c r="M59" s="2" t="s">
        <v>76</v>
      </c>
      <c r="N59" s="2" t="s">
        <v>52</v>
      </c>
    </row>
    <row r="60" spans="1:14" x14ac:dyDescent="0.5">
      <c r="A60" s="2" t="s">
        <v>70</v>
      </c>
      <c r="B60" s="3">
        <v>1</v>
      </c>
      <c r="C60" s="4" t="s">
        <v>59</v>
      </c>
      <c r="D60" s="2" t="s">
        <v>16</v>
      </c>
      <c r="E60" s="2" t="s">
        <v>23</v>
      </c>
      <c r="F60" s="5">
        <v>0</v>
      </c>
      <c r="G60" s="1">
        <v>0</v>
      </c>
      <c r="H60" s="2">
        <v>1</v>
      </c>
      <c r="I60" s="6">
        <v>1.3888888888888889E-3</v>
      </c>
      <c r="J60" s="2"/>
      <c r="K60" s="2"/>
      <c r="L60" s="2" t="s">
        <v>20</v>
      </c>
      <c r="M60" s="2" t="s">
        <v>77</v>
      </c>
      <c r="N60" s="2" t="s">
        <v>54</v>
      </c>
    </row>
    <row r="61" spans="1:14" x14ac:dyDescent="0.5">
      <c r="A61" s="2" t="s">
        <v>70</v>
      </c>
      <c r="B61" s="3">
        <v>12</v>
      </c>
      <c r="C61" s="4" t="s">
        <v>60</v>
      </c>
      <c r="D61" s="2" t="s">
        <v>28</v>
      </c>
      <c r="E61" s="2" t="s">
        <v>17</v>
      </c>
      <c r="F61" s="5">
        <v>0</v>
      </c>
      <c r="G61" s="1">
        <v>0</v>
      </c>
      <c r="H61" s="2">
        <v>2</v>
      </c>
      <c r="I61" s="6">
        <v>1.3888888888888889E-3</v>
      </c>
      <c r="J61" s="2"/>
      <c r="K61" s="2"/>
      <c r="L61" s="2" t="s">
        <v>33</v>
      </c>
      <c r="M61" s="2" t="s">
        <v>76</v>
      </c>
      <c r="N61" s="2" t="s">
        <v>26</v>
      </c>
    </row>
    <row r="62" spans="1:14" x14ac:dyDescent="0.5">
      <c r="A62" s="2" t="s">
        <v>70</v>
      </c>
      <c r="B62" s="3">
        <v>7</v>
      </c>
      <c r="C62" s="4" t="s">
        <v>37</v>
      </c>
      <c r="D62" s="2" t="s">
        <v>49</v>
      </c>
      <c r="E62" s="2" t="s">
        <v>23</v>
      </c>
      <c r="F62" s="5">
        <v>0</v>
      </c>
      <c r="G62" s="1">
        <v>0</v>
      </c>
      <c r="H62" s="2">
        <v>6</v>
      </c>
      <c r="I62" s="6">
        <v>1.3888888888888889E-3</v>
      </c>
      <c r="J62" s="2"/>
      <c r="K62" s="2"/>
      <c r="L62" s="2" t="s">
        <v>43</v>
      </c>
      <c r="M62" s="2" t="s">
        <v>66</v>
      </c>
      <c r="N62" s="2" t="s">
        <v>67</v>
      </c>
    </row>
    <row r="63" spans="1:14" x14ac:dyDescent="0.5">
      <c r="A63" s="2" t="s">
        <v>70</v>
      </c>
      <c r="B63" s="3">
        <v>5</v>
      </c>
      <c r="C63" s="4" t="s">
        <v>37</v>
      </c>
      <c r="D63" s="2" t="s">
        <v>32</v>
      </c>
      <c r="E63" s="2" t="s">
        <v>42</v>
      </c>
      <c r="F63" s="5">
        <v>0</v>
      </c>
      <c r="G63" s="1">
        <v>0</v>
      </c>
      <c r="H63" s="2">
        <v>4</v>
      </c>
      <c r="I63" s="6">
        <v>1.3888888888888889E-3</v>
      </c>
      <c r="J63" s="2"/>
      <c r="K63" s="2"/>
      <c r="L63" s="2" t="s">
        <v>51</v>
      </c>
      <c r="M63" s="2" t="s">
        <v>76</v>
      </c>
      <c r="N63" s="2" t="s">
        <v>26</v>
      </c>
    </row>
    <row r="64" spans="1:14" x14ac:dyDescent="0.5">
      <c r="A64" s="2" t="s">
        <v>70</v>
      </c>
      <c r="B64" s="3">
        <v>23</v>
      </c>
      <c r="C64" s="4" t="s">
        <v>44</v>
      </c>
      <c r="D64" s="2" t="s">
        <v>16</v>
      </c>
      <c r="E64" s="2" t="s">
        <v>23</v>
      </c>
      <c r="F64" s="5">
        <v>0</v>
      </c>
      <c r="G64" s="1">
        <v>0</v>
      </c>
      <c r="H64" s="2">
        <v>3</v>
      </c>
      <c r="I64" s="6">
        <v>1.3888888888888889E-3</v>
      </c>
      <c r="J64" s="2"/>
      <c r="K64" s="2"/>
      <c r="L64" s="2" t="s">
        <v>20</v>
      </c>
      <c r="M64" s="2" t="s">
        <v>66</v>
      </c>
      <c r="N64" s="2" t="s">
        <v>36</v>
      </c>
    </row>
    <row r="65" spans="1:14" x14ac:dyDescent="0.5">
      <c r="A65" s="2" t="s">
        <v>70</v>
      </c>
      <c r="B65" s="3">
        <v>19</v>
      </c>
      <c r="C65" s="4" t="s">
        <v>44</v>
      </c>
      <c r="D65" s="2" t="s">
        <v>32</v>
      </c>
      <c r="E65" s="2" t="s">
        <v>23</v>
      </c>
      <c r="F65" s="5">
        <v>0</v>
      </c>
      <c r="G65" s="1">
        <v>0</v>
      </c>
      <c r="H65" s="2">
        <v>1</v>
      </c>
      <c r="I65" s="6">
        <v>1.3888888888888889E-3</v>
      </c>
      <c r="J65" s="2"/>
      <c r="K65" s="2"/>
      <c r="L65" s="2" t="s">
        <v>48</v>
      </c>
      <c r="M65" s="2" t="s">
        <v>78</v>
      </c>
      <c r="N65" s="2" t="s">
        <v>63</v>
      </c>
    </row>
    <row r="66" spans="1:14" x14ac:dyDescent="0.5">
      <c r="A66" s="2" t="s">
        <v>70</v>
      </c>
      <c r="B66" s="3">
        <v>10</v>
      </c>
      <c r="C66" s="4" t="s">
        <v>69</v>
      </c>
      <c r="D66" s="2" t="s">
        <v>49</v>
      </c>
      <c r="E66" s="2" t="s">
        <v>17</v>
      </c>
      <c r="F66" s="5">
        <v>0</v>
      </c>
      <c r="G66" s="1">
        <v>0</v>
      </c>
      <c r="H66" s="2">
        <v>1</v>
      </c>
      <c r="I66" s="6">
        <v>1.3888888888888889E-3</v>
      </c>
      <c r="J66" s="2"/>
      <c r="K66" s="2"/>
      <c r="L66" s="2" t="s">
        <v>48</v>
      </c>
      <c r="M66" s="2" t="s">
        <v>78</v>
      </c>
      <c r="N66" s="2" t="s">
        <v>41</v>
      </c>
    </row>
    <row r="67" spans="1:14" x14ac:dyDescent="0.5">
      <c r="A67" s="2" t="s">
        <v>70</v>
      </c>
      <c r="B67" s="3">
        <v>11</v>
      </c>
      <c r="C67" s="4" t="s">
        <v>58</v>
      </c>
      <c r="D67" s="2" t="s">
        <v>32</v>
      </c>
      <c r="E67" s="2" t="s">
        <v>17</v>
      </c>
      <c r="F67" s="5">
        <v>0</v>
      </c>
      <c r="G67" s="1">
        <v>0</v>
      </c>
      <c r="H67" s="2">
        <v>1</v>
      </c>
      <c r="I67" s="6">
        <v>1.3888888888888889E-3</v>
      </c>
      <c r="J67" s="2"/>
      <c r="K67" s="2"/>
      <c r="L67" s="2" t="s">
        <v>30</v>
      </c>
      <c r="M67" s="2" t="s">
        <v>78</v>
      </c>
      <c r="N67" s="2" t="s">
        <v>62</v>
      </c>
    </row>
    <row r="68" spans="1:14" x14ac:dyDescent="0.5">
      <c r="A68" s="2" t="s">
        <v>70</v>
      </c>
      <c r="B68" s="3">
        <v>14</v>
      </c>
      <c r="C68" s="4" t="s">
        <v>15</v>
      </c>
      <c r="D68" s="2" t="s">
        <v>16</v>
      </c>
      <c r="E68" s="2" t="s">
        <v>23</v>
      </c>
      <c r="F68" s="5">
        <v>0</v>
      </c>
      <c r="G68" s="1">
        <v>0</v>
      </c>
      <c r="H68" s="2">
        <v>5</v>
      </c>
      <c r="I68" s="6">
        <v>1.3888888888888889E-3</v>
      </c>
      <c r="J68" s="2"/>
      <c r="K68" s="2"/>
      <c r="L68" s="2" t="s">
        <v>33</v>
      </c>
      <c r="M68" s="2" t="s">
        <v>76</v>
      </c>
      <c r="N68" s="2" t="s">
        <v>52</v>
      </c>
    </row>
    <row r="69" spans="1:14" x14ac:dyDescent="0.5">
      <c r="A69" s="2" t="s">
        <v>70</v>
      </c>
      <c r="B69" s="3">
        <v>1</v>
      </c>
      <c r="C69" s="4" t="s">
        <v>59</v>
      </c>
      <c r="D69" s="2" t="s">
        <v>16</v>
      </c>
      <c r="E69" s="2" t="s">
        <v>23</v>
      </c>
      <c r="F69" s="5">
        <v>0</v>
      </c>
      <c r="G69" s="1">
        <v>0</v>
      </c>
      <c r="H69" s="2">
        <v>1</v>
      </c>
      <c r="I69" s="6">
        <v>1.3888888888888889E-3</v>
      </c>
      <c r="J69" s="2"/>
      <c r="K69" s="2"/>
      <c r="L69" s="2" t="s">
        <v>20</v>
      </c>
      <c r="M69" s="2" t="s">
        <v>77</v>
      </c>
      <c r="N69" s="2" t="s">
        <v>54</v>
      </c>
    </row>
    <row r="70" spans="1:14" x14ac:dyDescent="0.5">
      <c r="A70" s="2" t="s">
        <v>70</v>
      </c>
      <c r="B70" s="3">
        <v>12</v>
      </c>
      <c r="C70" s="4" t="s">
        <v>60</v>
      </c>
      <c r="D70" s="2" t="s">
        <v>28</v>
      </c>
      <c r="E70" s="2" t="s">
        <v>17</v>
      </c>
      <c r="F70" s="5">
        <v>0</v>
      </c>
      <c r="G70" s="1">
        <v>0</v>
      </c>
      <c r="H70" s="2">
        <v>2</v>
      </c>
      <c r="I70" s="6">
        <v>1.3888888888888889E-3</v>
      </c>
      <c r="J70" s="2"/>
      <c r="K70" s="2"/>
      <c r="L70" s="2" t="s">
        <v>33</v>
      </c>
      <c r="M70" s="2" t="s">
        <v>76</v>
      </c>
      <c r="N70" s="2" t="s">
        <v>26</v>
      </c>
    </row>
    <row r="71" spans="1:14" x14ac:dyDescent="0.5">
      <c r="A71" s="2" t="s">
        <v>14</v>
      </c>
      <c r="B71" s="3">
        <v>1</v>
      </c>
      <c r="C71" s="4" t="s">
        <v>59</v>
      </c>
      <c r="D71" s="2" t="s">
        <v>32</v>
      </c>
      <c r="E71" s="2" t="s">
        <v>23</v>
      </c>
      <c r="F71" s="5">
        <v>5</v>
      </c>
      <c r="G71" s="1">
        <v>25000000</v>
      </c>
      <c r="H71" s="2">
        <v>1</v>
      </c>
      <c r="I71" s="6">
        <v>1.3888888888888889E-3</v>
      </c>
      <c r="J71" s="2" t="s">
        <v>18</v>
      </c>
      <c r="K71" s="2" t="s">
        <v>47</v>
      </c>
      <c r="L71" s="2" t="s">
        <v>30</v>
      </c>
      <c r="M71" s="2" t="s">
        <v>66</v>
      </c>
      <c r="N71" s="2" t="s">
        <v>67</v>
      </c>
    </row>
    <row r="72" spans="1:14" x14ac:dyDescent="0.5">
      <c r="A72" s="2" t="s">
        <v>14</v>
      </c>
      <c r="B72" s="3">
        <v>12</v>
      </c>
      <c r="C72" s="4" t="s">
        <v>60</v>
      </c>
      <c r="D72" s="2" t="s">
        <v>16</v>
      </c>
      <c r="E72" s="2" t="s">
        <v>42</v>
      </c>
      <c r="F72" s="5">
        <v>2</v>
      </c>
      <c r="G72" s="1">
        <v>12000000</v>
      </c>
      <c r="H72" s="2">
        <v>2</v>
      </c>
      <c r="I72" s="6">
        <v>1.3888888888888889E-3</v>
      </c>
      <c r="J72" s="2" t="s">
        <v>18</v>
      </c>
      <c r="K72" s="2" t="s">
        <v>19</v>
      </c>
      <c r="L72" s="2" t="s">
        <v>30</v>
      </c>
      <c r="M72" s="2" t="s">
        <v>76</v>
      </c>
      <c r="N72" s="2" t="s">
        <v>26</v>
      </c>
    </row>
    <row r="73" spans="1:14" x14ac:dyDescent="0.5">
      <c r="A73" s="2" t="s">
        <v>14</v>
      </c>
      <c r="B73" s="3">
        <v>12</v>
      </c>
      <c r="C73" s="4" t="s">
        <v>60</v>
      </c>
      <c r="D73" s="2" t="s">
        <v>16</v>
      </c>
      <c r="E73" s="2" t="s">
        <v>42</v>
      </c>
      <c r="F73" s="5">
        <v>3</v>
      </c>
      <c r="G73" s="1">
        <v>15000000</v>
      </c>
      <c r="H73" s="2">
        <v>5</v>
      </c>
      <c r="I73" s="6">
        <v>1.3888888888888889E-3</v>
      </c>
      <c r="J73" s="2" t="s">
        <v>18</v>
      </c>
      <c r="K73" s="2" t="s">
        <v>39</v>
      </c>
      <c r="L73" s="2" t="s">
        <v>48</v>
      </c>
      <c r="M73" s="2" t="s">
        <v>78</v>
      </c>
      <c r="N73" s="2" t="s">
        <v>63</v>
      </c>
    </row>
    <row r="74" spans="1:14" x14ac:dyDescent="0.5">
      <c r="A74" s="2" t="s">
        <v>14</v>
      </c>
      <c r="B74" s="3">
        <v>10</v>
      </c>
      <c r="C74" s="4" t="s">
        <v>22</v>
      </c>
      <c r="D74" s="2" t="s">
        <v>16</v>
      </c>
      <c r="E74" s="2" t="s">
        <v>68</v>
      </c>
      <c r="F74" s="5">
        <v>2</v>
      </c>
      <c r="G74" s="1">
        <v>12000000</v>
      </c>
      <c r="H74" s="2">
        <v>4</v>
      </c>
      <c r="I74" s="6">
        <v>1.3888888888888889E-3</v>
      </c>
      <c r="J74" s="2" t="s">
        <v>18</v>
      </c>
      <c r="K74" s="2" t="s">
        <v>50</v>
      </c>
      <c r="L74" s="2" t="s">
        <v>33</v>
      </c>
      <c r="M74" s="2" t="s">
        <v>76</v>
      </c>
      <c r="N74" s="2" t="s">
        <v>31</v>
      </c>
    </row>
    <row r="75" spans="1:14" x14ac:dyDescent="0.5">
      <c r="A75" s="2" t="s">
        <v>14</v>
      </c>
      <c r="B75" s="3">
        <v>23</v>
      </c>
      <c r="C75" s="4" t="s">
        <v>27</v>
      </c>
      <c r="D75" s="2" t="s">
        <v>16</v>
      </c>
      <c r="E75" s="2" t="s">
        <v>42</v>
      </c>
      <c r="F75" s="5">
        <v>5</v>
      </c>
      <c r="G75" s="1">
        <v>20000000</v>
      </c>
      <c r="H75" s="2">
        <v>1</v>
      </c>
      <c r="I75" s="6">
        <v>1.3888888888888889E-3</v>
      </c>
      <c r="J75" s="2" t="s">
        <v>18</v>
      </c>
      <c r="K75" s="2" t="s">
        <v>47</v>
      </c>
      <c r="L75" s="2" t="s">
        <v>30</v>
      </c>
      <c r="M75" s="2" t="s">
        <v>77</v>
      </c>
      <c r="N75" s="2" t="s">
        <v>65</v>
      </c>
    </row>
    <row r="76" spans="1:14" x14ac:dyDescent="0.5">
      <c r="A76" s="2" t="s">
        <v>14</v>
      </c>
      <c r="B76" s="3">
        <v>8</v>
      </c>
      <c r="C76" s="4" t="s">
        <v>27</v>
      </c>
      <c r="D76" s="2" t="s">
        <v>32</v>
      </c>
      <c r="E76" s="2" t="s">
        <v>17</v>
      </c>
      <c r="F76" s="5">
        <v>5</v>
      </c>
      <c r="G76" s="1">
        <v>21000000</v>
      </c>
      <c r="H76" s="2">
        <v>4</v>
      </c>
      <c r="I76" s="6">
        <v>1.3888888888888889E-3</v>
      </c>
      <c r="J76" s="2" t="s">
        <v>18</v>
      </c>
      <c r="K76" s="2" t="s">
        <v>19</v>
      </c>
      <c r="L76" s="2" t="s">
        <v>43</v>
      </c>
      <c r="M76" s="2" t="s">
        <v>78</v>
      </c>
      <c r="N76" s="2" t="s">
        <v>66</v>
      </c>
    </row>
    <row r="77" spans="1:14" x14ac:dyDescent="0.5">
      <c r="A77" s="2" t="s">
        <v>14</v>
      </c>
      <c r="B77" s="3">
        <v>22</v>
      </c>
      <c r="C77" s="4" t="s">
        <v>27</v>
      </c>
      <c r="D77" s="2" t="s">
        <v>16</v>
      </c>
      <c r="E77" s="2" t="s">
        <v>42</v>
      </c>
      <c r="F77" s="5">
        <v>4</v>
      </c>
      <c r="G77" s="1">
        <v>15000000</v>
      </c>
      <c r="H77" s="2">
        <v>3</v>
      </c>
      <c r="I77" s="6">
        <v>1.3888888888888889E-3</v>
      </c>
      <c r="J77" s="2" t="s">
        <v>18</v>
      </c>
      <c r="K77" s="2" t="s">
        <v>39</v>
      </c>
      <c r="L77" s="2" t="s">
        <v>43</v>
      </c>
      <c r="M77" s="2" t="s">
        <v>76</v>
      </c>
      <c r="N77" s="2" t="s">
        <v>31</v>
      </c>
    </row>
    <row r="78" spans="1:14" x14ac:dyDescent="0.5">
      <c r="A78" s="2" t="s">
        <v>14</v>
      </c>
      <c r="B78" s="3">
        <v>30</v>
      </c>
      <c r="C78" s="4" t="s">
        <v>27</v>
      </c>
      <c r="D78" s="2" t="s">
        <v>16</v>
      </c>
      <c r="E78" s="2" t="s">
        <v>45</v>
      </c>
      <c r="F78" s="5">
        <v>2</v>
      </c>
      <c r="G78" s="1">
        <v>12000000</v>
      </c>
      <c r="H78" s="2">
        <v>3</v>
      </c>
      <c r="I78" s="6">
        <v>1.3888888888888889E-3</v>
      </c>
      <c r="J78" s="2" t="s">
        <v>18</v>
      </c>
      <c r="K78" s="2" t="s">
        <v>47</v>
      </c>
      <c r="L78" s="2" t="s">
        <v>48</v>
      </c>
      <c r="M78" s="2" t="s">
        <v>78</v>
      </c>
      <c r="N78" s="2" t="s">
        <v>63</v>
      </c>
    </row>
    <row r="79" spans="1:14" x14ac:dyDescent="0.5">
      <c r="A79" s="2" t="s">
        <v>14</v>
      </c>
      <c r="B79" s="3">
        <v>8</v>
      </c>
      <c r="C79" s="4" t="s">
        <v>37</v>
      </c>
      <c r="D79" s="2" t="s">
        <v>16</v>
      </c>
      <c r="E79" s="2" t="s">
        <v>23</v>
      </c>
      <c r="F79" s="5">
        <v>4</v>
      </c>
      <c r="G79" s="1">
        <v>20000000</v>
      </c>
      <c r="H79" s="2">
        <v>3</v>
      </c>
      <c r="I79" s="6">
        <v>1.3888888888888889E-3</v>
      </c>
      <c r="J79" s="2" t="s">
        <v>18</v>
      </c>
      <c r="K79" s="2" t="s">
        <v>64</v>
      </c>
      <c r="L79" s="2" t="s">
        <v>43</v>
      </c>
      <c r="M79" s="2" t="s">
        <v>77</v>
      </c>
      <c r="N79" s="2" t="s">
        <v>54</v>
      </c>
    </row>
    <row r="80" spans="1:14" x14ac:dyDescent="0.5">
      <c r="A80" s="2" t="s">
        <v>14</v>
      </c>
      <c r="B80" s="3">
        <v>30</v>
      </c>
      <c r="C80" s="4" t="s">
        <v>37</v>
      </c>
      <c r="D80" s="2" t="s">
        <v>38</v>
      </c>
      <c r="E80" s="2" t="s">
        <v>42</v>
      </c>
      <c r="F80" s="5">
        <v>3</v>
      </c>
      <c r="G80" s="1">
        <v>15000000</v>
      </c>
      <c r="H80" s="2">
        <v>1</v>
      </c>
      <c r="I80" s="6">
        <v>1.3888888888888889E-3</v>
      </c>
      <c r="J80" s="2" t="s">
        <v>18</v>
      </c>
      <c r="K80" s="2" t="s">
        <v>19</v>
      </c>
      <c r="L80" s="2" t="s">
        <v>25</v>
      </c>
      <c r="M80" s="2" t="s">
        <v>76</v>
      </c>
      <c r="N80" s="2" t="s">
        <v>26</v>
      </c>
    </row>
    <row r="81" spans="1:14" x14ac:dyDescent="0.5">
      <c r="A81" s="2" t="s">
        <v>14</v>
      </c>
      <c r="B81" s="3">
        <v>9</v>
      </c>
      <c r="C81" s="4" t="s">
        <v>37</v>
      </c>
      <c r="D81" s="2" t="s">
        <v>28</v>
      </c>
      <c r="E81" s="2" t="s">
        <v>42</v>
      </c>
      <c r="F81" s="5">
        <v>3</v>
      </c>
      <c r="G81" s="1">
        <v>15000000</v>
      </c>
      <c r="H81" s="2">
        <v>3</v>
      </c>
      <c r="I81" s="6">
        <v>1.3888888888888889E-3</v>
      </c>
      <c r="J81" s="2" t="s">
        <v>18</v>
      </c>
      <c r="K81" s="2" t="s">
        <v>39</v>
      </c>
      <c r="L81" s="2" t="s">
        <v>51</v>
      </c>
      <c r="M81" s="2" t="s">
        <v>76</v>
      </c>
      <c r="N81" s="2" t="s">
        <v>71</v>
      </c>
    </row>
    <row r="82" spans="1:14" x14ac:dyDescent="0.5">
      <c r="A82" s="2" t="s">
        <v>14</v>
      </c>
      <c r="B82" s="3">
        <v>11</v>
      </c>
      <c r="C82" s="4" t="s">
        <v>37</v>
      </c>
      <c r="D82" s="2" t="s">
        <v>38</v>
      </c>
      <c r="E82" s="2" t="s">
        <v>42</v>
      </c>
      <c r="F82" s="5">
        <v>3</v>
      </c>
      <c r="G82" s="1">
        <v>15000000</v>
      </c>
      <c r="H82" s="2">
        <v>2</v>
      </c>
      <c r="I82" s="6">
        <v>1.3888888888888889E-3</v>
      </c>
      <c r="J82" s="2" t="s">
        <v>18</v>
      </c>
      <c r="K82" s="2" t="s">
        <v>56</v>
      </c>
      <c r="L82" s="2" t="s">
        <v>51</v>
      </c>
      <c r="M82" s="2" t="s">
        <v>76</v>
      </c>
      <c r="N82" s="2" t="s">
        <v>52</v>
      </c>
    </row>
    <row r="83" spans="1:14" x14ac:dyDescent="0.5">
      <c r="A83" s="2" t="s">
        <v>14</v>
      </c>
      <c r="B83" s="3">
        <v>26</v>
      </c>
      <c r="C83" s="4" t="s">
        <v>37</v>
      </c>
      <c r="D83" s="2" t="s">
        <v>16</v>
      </c>
      <c r="E83" s="2" t="s">
        <v>23</v>
      </c>
      <c r="F83" s="5">
        <v>1</v>
      </c>
      <c r="G83" s="1">
        <v>7000000</v>
      </c>
      <c r="H83" s="2">
        <v>2</v>
      </c>
      <c r="I83" s="6">
        <v>1.3888888888888889E-3</v>
      </c>
      <c r="J83" s="2" t="s">
        <v>18</v>
      </c>
      <c r="K83" s="2" t="s">
        <v>64</v>
      </c>
      <c r="L83" s="2" t="s">
        <v>51</v>
      </c>
      <c r="M83" s="2" t="s">
        <v>78</v>
      </c>
      <c r="N83" s="2" t="s">
        <v>62</v>
      </c>
    </row>
    <row r="84" spans="1:14" x14ac:dyDescent="0.5">
      <c r="A84" s="2" t="s">
        <v>14</v>
      </c>
      <c r="B84" s="3">
        <v>22</v>
      </c>
      <c r="C84" s="4" t="s">
        <v>44</v>
      </c>
      <c r="D84" s="2" t="s">
        <v>32</v>
      </c>
      <c r="E84" s="2" t="s">
        <v>23</v>
      </c>
      <c r="F84" s="5">
        <v>2</v>
      </c>
      <c r="G84" s="1">
        <v>38000000</v>
      </c>
      <c r="H84" s="2">
        <v>4</v>
      </c>
      <c r="I84" s="6">
        <v>1.3888888888888889E-3</v>
      </c>
      <c r="J84" s="2" t="s">
        <v>46</v>
      </c>
      <c r="K84" s="2" t="s">
        <v>56</v>
      </c>
      <c r="L84" s="2" t="s">
        <v>33</v>
      </c>
      <c r="M84" s="2" t="s">
        <v>66</v>
      </c>
      <c r="N84" s="2" t="s">
        <v>67</v>
      </c>
    </row>
    <row r="85" spans="1:14" x14ac:dyDescent="0.5">
      <c r="A85" s="2" t="s">
        <v>14</v>
      </c>
      <c r="B85" s="3">
        <v>3</v>
      </c>
      <c r="C85" s="4" t="s">
        <v>44</v>
      </c>
      <c r="D85" s="2" t="s">
        <v>49</v>
      </c>
      <c r="E85" s="2" t="s">
        <v>23</v>
      </c>
      <c r="F85" s="5">
        <v>1</v>
      </c>
      <c r="G85" s="1">
        <v>19000000</v>
      </c>
      <c r="H85" s="2">
        <v>1</v>
      </c>
      <c r="I85" s="6">
        <v>1.3888888888888889E-3</v>
      </c>
      <c r="J85" s="2" t="s">
        <v>46</v>
      </c>
      <c r="K85" s="2" t="s">
        <v>39</v>
      </c>
      <c r="L85" s="2" t="s">
        <v>20</v>
      </c>
      <c r="M85" s="2" t="s">
        <v>76</v>
      </c>
      <c r="N85" s="2" t="s">
        <v>31</v>
      </c>
    </row>
    <row r="86" spans="1:14" x14ac:dyDescent="0.5">
      <c r="A86" s="2" t="s">
        <v>14</v>
      </c>
      <c r="B86" s="3">
        <v>8</v>
      </c>
      <c r="C86" s="4" t="s">
        <v>44</v>
      </c>
      <c r="D86" s="2" t="s">
        <v>49</v>
      </c>
      <c r="E86" s="2" t="s">
        <v>17</v>
      </c>
      <c r="F86" s="5">
        <v>2</v>
      </c>
      <c r="G86" s="1">
        <v>38000000</v>
      </c>
      <c r="H86" s="2">
        <v>1</v>
      </c>
      <c r="I86" s="6">
        <v>1.3888888888888889E-3</v>
      </c>
      <c r="J86" s="2" t="s">
        <v>46</v>
      </c>
      <c r="K86" s="2" t="s">
        <v>50</v>
      </c>
      <c r="L86" s="2" t="s">
        <v>25</v>
      </c>
      <c r="M86" s="2" t="s">
        <v>78</v>
      </c>
      <c r="N86" s="2" t="s">
        <v>21</v>
      </c>
    </row>
    <row r="87" spans="1:14" x14ac:dyDescent="0.5">
      <c r="A87" s="2" t="s">
        <v>14</v>
      </c>
      <c r="B87" s="3">
        <v>19</v>
      </c>
      <c r="C87" s="4" t="s">
        <v>44</v>
      </c>
      <c r="D87" s="2" t="s">
        <v>28</v>
      </c>
      <c r="E87" s="2" t="s">
        <v>23</v>
      </c>
      <c r="F87" s="5">
        <v>2</v>
      </c>
      <c r="G87" s="1">
        <v>12000000</v>
      </c>
      <c r="H87" s="2">
        <v>1</v>
      </c>
      <c r="I87" s="6">
        <v>1.3888888888888889E-3</v>
      </c>
      <c r="J87" s="2" t="s">
        <v>18</v>
      </c>
      <c r="K87" s="2" t="s">
        <v>19</v>
      </c>
      <c r="L87" s="2" t="s">
        <v>20</v>
      </c>
      <c r="M87" s="2" t="s">
        <v>66</v>
      </c>
      <c r="N87" s="2" t="s">
        <v>67</v>
      </c>
    </row>
    <row r="88" spans="1:14" x14ac:dyDescent="0.5">
      <c r="A88" s="2" t="s">
        <v>14</v>
      </c>
      <c r="B88" s="3">
        <v>1</v>
      </c>
      <c r="C88" s="4" t="s">
        <v>59</v>
      </c>
      <c r="D88" s="2" t="s">
        <v>32</v>
      </c>
      <c r="E88" s="2" t="s">
        <v>23</v>
      </c>
      <c r="F88" s="5">
        <v>5</v>
      </c>
      <c r="G88" s="1">
        <v>25000000</v>
      </c>
      <c r="H88" s="2">
        <v>1</v>
      </c>
      <c r="I88" s="6">
        <v>1.3888888888888889E-3</v>
      </c>
      <c r="J88" s="2" t="s">
        <v>18</v>
      </c>
      <c r="K88" s="2" t="s">
        <v>47</v>
      </c>
      <c r="L88" s="2" t="s">
        <v>30</v>
      </c>
      <c r="M88" s="2" t="s">
        <v>66</v>
      </c>
      <c r="N88" s="2" t="s">
        <v>67</v>
      </c>
    </row>
    <row r="89" spans="1:14" x14ac:dyDescent="0.5">
      <c r="A89" s="2" t="s">
        <v>14</v>
      </c>
      <c r="B89" s="3">
        <v>12</v>
      </c>
      <c r="C89" s="4" t="s">
        <v>60</v>
      </c>
      <c r="D89" s="2" t="s">
        <v>16</v>
      </c>
      <c r="E89" s="2" t="s">
        <v>42</v>
      </c>
      <c r="F89" s="5">
        <v>2</v>
      </c>
      <c r="G89" s="1">
        <v>12000000</v>
      </c>
      <c r="H89" s="2">
        <v>2</v>
      </c>
      <c r="I89" s="6">
        <v>1.3888888888888889E-3</v>
      </c>
      <c r="J89" s="2" t="s">
        <v>18</v>
      </c>
      <c r="K89" s="2" t="s">
        <v>19</v>
      </c>
      <c r="L89" s="2" t="s">
        <v>30</v>
      </c>
      <c r="M89" s="2" t="s">
        <v>76</v>
      </c>
      <c r="N89" s="2" t="s">
        <v>26</v>
      </c>
    </row>
    <row r="90" spans="1:14" x14ac:dyDescent="0.5">
      <c r="A90" s="2" t="s">
        <v>14</v>
      </c>
      <c r="B90" s="3">
        <v>12</v>
      </c>
      <c r="C90" s="4" t="s">
        <v>60</v>
      </c>
      <c r="D90" s="2" t="s">
        <v>16</v>
      </c>
      <c r="E90" s="2" t="s">
        <v>42</v>
      </c>
      <c r="F90" s="5">
        <v>3</v>
      </c>
      <c r="G90" s="1">
        <v>15000000</v>
      </c>
      <c r="H90" s="2">
        <v>5</v>
      </c>
      <c r="I90" s="6">
        <v>1.3888888888888889E-3</v>
      </c>
      <c r="J90" s="2" t="s">
        <v>18</v>
      </c>
      <c r="K90" s="2" t="s">
        <v>39</v>
      </c>
      <c r="L90" s="2" t="s">
        <v>48</v>
      </c>
      <c r="M90" s="2" t="s">
        <v>78</v>
      </c>
      <c r="N90" s="2" t="s">
        <v>63</v>
      </c>
    </row>
    <row r="91" spans="1:14" x14ac:dyDescent="0.5">
      <c r="A91" s="2" t="s">
        <v>14</v>
      </c>
      <c r="B91" s="3">
        <v>10</v>
      </c>
      <c r="C91" s="4" t="s">
        <v>22</v>
      </c>
      <c r="D91" s="2" t="s">
        <v>16</v>
      </c>
      <c r="E91" s="2" t="s">
        <v>68</v>
      </c>
      <c r="F91" s="5">
        <v>2</v>
      </c>
      <c r="G91" s="1">
        <v>12000000</v>
      </c>
      <c r="H91" s="2">
        <v>4</v>
      </c>
      <c r="I91" s="6">
        <v>1.3888888888888889E-3</v>
      </c>
      <c r="J91" s="2" t="s">
        <v>18</v>
      </c>
      <c r="K91" s="2" t="s">
        <v>50</v>
      </c>
      <c r="L91" s="2" t="s">
        <v>33</v>
      </c>
      <c r="M91" s="2" t="s">
        <v>76</v>
      </c>
      <c r="N91" s="2" t="s">
        <v>31</v>
      </c>
    </row>
    <row r="92" spans="1:14" x14ac:dyDescent="0.5">
      <c r="A92" s="2" t="s">
        <v>70</v>
      </c>
      <c r="B92" s="3">
        <v>3</v>
      </c>
      <c r="C92" s="4" t="s">
        <v>60</v>
      </c>
      <c r="D92" s="2" t="s">
        <v>28</v>
      </c>
      <c r="E92" s="2" t="s">
        <v>23</v>
      </c>
      <c r="F92" s="5">
        <v>0</v>
      </c>
      <c r="G92" s="1">
        <v>0</v>
      </c>
      <c r="H92" s="2">
        <v>2</v>
      </c>
      <c r="I92" s="6">
        <v>1.3888888888888889E-3</v>
      </c>
      <c r="J92" s="2"/>
      <c r="K92" s="2"/>
      <c r="L92" s="2" t="s">
        <v>48</v>
      </c>
      <c r="M92" s="2" t="s">
        <v>76</v>
      </c>
      <c r="N92" s="2" t="s">
        <v>26</v>
      </c>
    </row>
    <row r="93" spans="1:14" x14ac:dyDescent="0.5">
      <c r="A93" s="2" t="s">
        <v>70</v>
      </c>
      <c r="B93" s="3">
        <v>13</v>
      </c>
      <c r="C93" s="4" t="s">
        <v>22</v>
      </c>
      <c r="D93" s="2" t="s">
        <v>28</v>
      </c>
      <c r="E93" s="2" t="s">
        <v>17</v>
      </c>
      <c r="F93" s="5">
        <v>0</v>
      </c>
      <c r="G93" s="1">
        <v>0</v>
      </c>
      <c r="H93" s="2">
        <v>1</v>
      </c>
      <c r="I93" s="6">
        <v>1.3888888888888889E-3</v>
      </c>
      <c r="J93" s="2"/>
      <c r="K93" s="2"/>
      <c r="L93" s="2" t="s">
        <v>33</v>
      </c>
      <c r="M93" s="2" t="s">
        <v>78</v>
      </c>
      <c r="N93" s="2" t="s">
        <v>21</v>
      </c>
    </row>
    <row r="94" spans="1:14" x14ac:dyDescent="0.5">
      <c r="A94" s="2" t="s">
        <v>70</v>
      </c>
      <c r="B94" s="3">
        <v>29</v>
      </c>
      <c r="C94" s="4" t="s">
        <v>37</v>
      </c>
      <c r="D94" s="2" t="s">
        <v>28</v>
      </c>
      <c r="E94" s="2" t="s">
        <v>17</v>
      </c>
      <c r="F94" s="5">
        <v>0</v>
      </c>
      <c r="G94" s="1">
        <v>0</v>
      </c>
      <c r="H94" s="2">
        <v>4</v>
      </c>
      <c r="I94" s="6">
        <v>1.3888888888888889E-3</v>
      </c>
      <c r="J94" s="2"/>
      <c r="K94" s="2"/>
      <c r="L94" s="2" t="s">
        <v>33</v>
      </c>
      <c r="M94" s="2" t="s">
        <v>77</v>
      </c>
      <c r="N94" s="2" t="s">
        <v>65</v>
      </c>
    </row>
    <row r="95" spans="1:14" x14ac:dyDescent="0.5">
      <c r="A95" s="2" t="s">
        <v>70</v>
      </c>
      <c r="B95" s="3">
        <v>5</v>
      </c>
      <c r="C95" s="4" t="s">
        <v>37</v>
      </c>
      <c r="D95" s="2" t="s">
        <v>28</v>
      </c>
      <c r="E95" s="2" t="s">
        <v>23</v>
      </c>
      <c r="F95" s="5">
        <v>0</v>
      </c>
      <c r="G95" s="1">
        <v>0</v>
      </c>
      <c r="H95" s="2">
        <v>5</v>
      </c>
      <c r="I95" s="6">
        <v>1.3888888888888889E-3</v>
      </c>
      <c r="J95" s="2"/>
      <c r="K95" s="2"/>
      <c r="L95" s="2" t="s">
        <v>25</v>
      </c>
      <c r="M95" s="2" t="s">
        <v>76</v>
      </c>
      <c r="N95" s="2" t="s">
        <v>52</v>
      </c>
    </row>
    <row r="96" spans="1:14" x14ac:dyDescent="0.5">
      <c r="A96" s="2" t="s">
        <v>70</v>
      </c>
      <c r="B96" s="3">
        <v>19</v>
      </c>
      <c r="C96" s="4" t="s">
        <v>44</v>
      </c>
      <c r="D96" s="2" t="s">
        <v>49</v>
      </c>
      <c r="E96" s="2" t="s">
        <v>42</v>
      </c>
      <c r="F96" s="5">
        <v>0</v>
      </c>
      <c r="G96" s="1">
        <v>0</v>
      </c>
      <c r="H96" s="2">
        <v>2</v>
      </c>
      <c r="I96" s="6">
        <v>1.3888888888888889E-3</v>
      </c>
      <c r="J96" s="2"/>
      <c r="K96" s="2"/>
      <c r="L96" s="2" t="s">
        <v>51</v>
      </c>
      <c r="M96" s="2" t="s">
        <v>66</v>
      </c>
      <c r="N96" s="2" t="s">
        <v>67</v>
      </c>
    </row>
    <row r="97" spans="1:14" x14ac:dyDescent="0.5">
      <c r="A97" s="2" t="s">
        <v>70</v>
      </c>
      <c r="B97" s="3">
        <v>18</v>
      </c>
      <c r="C97" s="4" t="s">
        <v>69</v>
      </c>
      <c r="D97" s="2" t="s">
        <v>16</v>
      </c>
      <c r="E97" s="2" t="s">
        <v>42</v>
      </c>
      <c r="F97" s="5">
        <v>0</v>
      </c>
      <c r="G97" s="1">
        <v>0</v>
      </c>
      <c r="H97" s="2">
        <v>1</v>
      </c>
      <c r="I97" s="6">
        <v>1.3888888888888889E-3</v>
      </c>
      <c r="J97" s="2"/>
      <c r="K97" s="2"/>
      <c r="L97" s="2" t="s">
        <v>30</v>
      </c>
      <c r="M97" s="2" t="s">
        <v>66</v>
      </c>
      <c r="N97" s="2" t="s">
        <v>36</v>
      </c>
    </row>
    <row r="98" spans="1:14" x14ac:dyDescent="0.5">
      <c r="A98" s="2" t="s">
        <v>70</v>
      </c>
      <c r="B98" s="3">
        <v>29</v>
      </c>
      <c r="C98" s="4" t="s">
        <v>69</v>
      </c>
      <c r="D98" s="2" t="s">
        <v>49</v>
      </c>
      <c r="E98" s="2" t="s">
        <v>17</v>
      </c>
      <c r="F98" s="5">
        <v>0</v>
      </c>
      <c r="G98" s="1">
        <v>0</v>
      </c>
      <c r="H98" s="2">
        <v>1</v>
      </c>
      <c r="I98" s="6">
        <v>1.3888888888888889E-3</v>
      </c>
      <c r="J98" s="2"/>
      <c r="K98" s="2"/>
      <c r="L98" s="2" t="s">
        <v>30</v>
      </c>
      <c r="M98" s="2" t="s">
        <v>78</v>
      </c>
      <c r="N98" s="2" t="s">
        <v>62</v>
      </c>
    </row>
    <row r="99" spans="1:14" x14ac:dyDescent="0.5">
      <c r="A99" s="2" t="s">
        <v>70</v>
      </c>
      <c r="B99" s="3">
        <v>1</v>
      </c>
      <c r="C99" s="4" t="s">
        <v>69</v>
      </c>
      <c r="D99" s="2" t="s">
        <v>49</v>
      </c>
      <c r="E99" s="2" t="s">
        <v>23</v>
      </c>
      <c r="F99" s="5">
        <v>0</v>
      </c>
      <c r="G99" s="1">
        <v>0</v>
      </c>
      <c r="H99" s="2">
        <v>2</v>
      </c>
      <c r="I99" s="6">
        <v>1.3888888888888889E-3</v>
      </c>
      <c r="J99" s="2"/>
      <c r="K99" s="2"/>
      <c r="L99" s="2" t="s">
        <v>43</v>
      </c>
      <c r="M99" s="2" t="s">
        <v>78</v>
      </c>
      <c r="N99" s="2" t="s">
        <v>21</v>
      </c>
    </row>
    <row r="100" spans="1:14" x14ac:dyDescent="0.5">
      <c r="A100" s="2" t="s">
        <v>70</v>
      </c>
      <c r="B100" s="3">
        <v>30</v>
      </c>
      <c r="C100" s="4" t="s">
        <v>69</v>
      </c>
      <c r="D100" s="2" t="s">
        <v>28</v>
      </c>
      <c r="E100" s="2" t="s">
        <v>23</v>
      </c>
      <c r="F100" s="5">
        <v>0</v>
      </c>
      <c r="G100" s="1">
        <v>0</v>
      </c>
      <c r="H100" s="2">
        <v>1</v>
      </c>
      <c r="I100" s="6">
        <v>1.3888888888888889E-3</v>
      </c>
      <c r="J100" s="2"/>
      <c r="K100" s="2"/>
      <c r="L100" s="2" t="s">
        <v>48</v>
      </c>
      <c r="M100" s="2" t="s">
        <v>77</v>
      </c>
      <c r="N100" s="2" t="s">
        <v>54</v>
      </c>
    </row>
    <row r="101" spans="1:14" x14ac:dyDescent="0.5">
      <c r="A101" s="2" t="s">
        <v>70</v>
      </c>
      <c r="B101" s="3">
        <v>3</v>
      </c>
      <c r="C101" s="4" t="s">
        <v>60</v>
      </c>
      <c r="D101" s="2" t="s">
        <v>28</v>
      </c>
      <c r="E101" s="2" t="s">
        <v>23</v>
      </c>
      <c r="F101" s="5">
        <v>0</v>
      </c>
      <c r="G101" s="1">
        <v>0</v>
      </c>
      <c r="H101" s="2">
        <v>2</v>
      </c>
      <c r="I101" s="6">
        <v>1.3888888888888889E-3</v>
      </c>
      <c r="J101" s="2"/>
      <c r="K101" s="2"/>
      <c r="L101" s="2" t="s">
        <v>48</v>
      </c>
      <c r="M101" s="2" t="s">
        <v>76</v>
      </c>
      <c r="N101" s="2" t="s">
        <v>26</v>
      </c>
    </row>
    <row r="102" spans="1:14" x14ac:dyDescent="0.5">
      <c r="A102" s="2" t="s">
        <v>14</v>
      </c>
      <c r="B102" s="3">
        <v>11</v>
      </c>
      <c r="C102" s="4" t="s">
        <v>55</v>
      </c>
      <c r="D102" s="2" t="s">
        <v>49</v>
      </c>
      <c r="E102" s="2" t="s">
        <v>17</v>
      </c>
      <c r="F102" s="5">
        <v>4</v>
      </c>
      <c r="G102" s="1">
        <v>20000000</v>
      </c>
      <c r="H102" s="2">
        <v>2</v>
      </c>
      <c r="I102" s="6">
        <v>1.3888888888888889E-3</v>
      </c>
      <c r="J102" s="2" t="s">
        <v>61</v>
      </c>
      <c r="K102" s="2" t="s">
        <v>35</v>
      </c>
      <c r="L102" s="2" t="s">
        <v>30</v>
      </c>
      <c r="M102" s="2" t="s">
        <v>66</v>
      </c>
      <c r="N102" s="2" t="s">
        <v>67</v>
      </c>
    </row>
    <row r="103" spans="1:14" x14ac:dyDescent="0.5">
      <c r="A103" s="2" t="s">
        <v>14</v>
      </c>
      <c r="B103" s="3">
        <v>14</v>
      </c>
      <c r="C103" s="4" t="s">
        <v>55</v>
      </c>
      <c r="D103" s="2" t="s">
        <v>49</v>
      </c>
      <c r="E103" s="2" t="s">
        <v>17</v>
      </c>
      <c r="F103" s="5">
        <v>3</v>
      </c>
      <c r="G103" s="1">
        <v>15000000</v>
      </c>
      <c r="H103" s="2">
        <v>2</v>
      </c>
      <c r="I103" s="6">
        <v>1.3888888888888889E-3</v>
      </c>
      <c r="J103" s="2" t="s">
        <v>18</v>
      </c>
      <c r="K103" s="2" t="s">
        <v>56</v>
      </c>
      <c r="L103" s="2" t="s">
        <v>30</v>
      </c>
      <c r="M103" s="2" t="s">
        <v>76</v>
      </c>
      <c r="N103" s="2" t="s">
        <v>52</v>
      </c>
    </row>
    <row r="104" spans="1:14" x14ac:dyDescent="0.5">
      <c r="A104" s="2" t="s">
        <v>14</v>
      </c>
      <c r="B104" s="3">
        <v>11</v>
      </c>
      <c r="C104" s="4" t="s">
        <v>57</v>
      </c>
      <c r="D104" s="2" t="s">
        <v>49</v>
      </c>
      <c r="E104" s="2" t="s">
        <v>42</v>
      </c>
      <c r="F104" s="5">
        <v>2</v>
      </c>
      <c r="G104" s="1">
        <v>10000000</v>
      </c>
      <c r="H104" s="2">
        <v>1</v>
      </c>
      <c r="I104" s="6">
        <v>1.3888888888888889E-3</v>
      </c>
      <c r="J104" s="2" t="s">
        <v>18</v>
      </c>
      <c r="K104" s="2" t="s">
        <v>39</v>
      </c>
      <c r="L104" s="2" t="s">
        <v>33</v>
      </c>
      <c r="M104" s="2" t="s">
        <v>78</v>
      </c>
      <c r="N104" s="2" t="s">
        <v>63</v>
      </c>
    </row>
    <row r="105" spans="1:14" x14ac:dyDescent="0.5">
      <c r="A105" s="2" t="s">
        <v>14</v>
      </c>
      <c r="B105" s="3">
        <v>1</v>
      </c>
      <c r="C105" s="4" t="s">
        <v>15</v>
      </c>
      <c r="D105" s="2" t="s">
        <v>28</v>
      </c>
      <c r="E105" s="2" t="s">
        <v>42</v>
      </c>
      <c r="F105" s="5">
        <v>5</v>
      </c>
      <c r="G105" s="1">
        <v>25000000</v>
      </c>
      <c r="H105" s="2">
        <v>1</v>
      </c>
      <c r="I105" s="6">
        <v>1.3888888888888889E-3</v>
      </c>
      <c r="J105" s="2" t="s">
        <v>18</v>
      </c>
      <c r="K105" s="2" t="s">
        <v>39</v>
      </c>
      <c r="L105" s="2" t="s">
        <v>40</v>
      </c>
      <c r="M105" s="2" t="s">
        <v>78</v>
      </c>
      <c r="N105" s="2" t="s">
        <v>41</v>
      </c>
    </row>
    <row r="106" spans="1:14" x14ac:dyDescent="0.5">
      <c r="A106" s="2" t="s">
        <v>14</v>
      </c>
      <c r="B106" s="3">
        <v>1</v>
      </c>
      <c r="C106" s="4" t="s">
        <v>72</v>
      </c>
      <c r="D106" s="2" t="s">
        <v>73</v>
      </c>
      <c r="E106" s="2" t="s">
        <v>23</v>
      </c>
      <c r="F106" s="5">
        <v>2</v>
      </c>
      <c r="G106" s="1">
        <v>12000000</v>
      </c>
      <c r="H106" s="2">
        <v>5</v>
      </c>
      <c r="I106" s="6">
        <v>1.3888888888888889E-3</v>
      </c>
      <c r="J106" s="2" t="s">
        <v>18</v>
      </c>
      <c r="K106" s="2" t="s">
        <v>56</v>
      </c>
      <c r="L106" s="2" t="s">
        <v>48</v>
      </c>
      <c r="M106" s="2" t="s">
        <v>77</v>
      </c>
      <c r="N106" s="2" t="s">
        <v>54</v>
      </c>
    </row>
    <row r="107" spans="1:14" x14ac:dyDescent="0.5">
      <c r="A107" s="2" t="s">
        <v>14</v>
      </c>
      <c r="B107" s="3">
        <v>30</v>
      </c>
      <c r="C107" s="4" t="s">
        <v>27</v>
      </c>
      <c r="D107" s="2" t="s">
        <v>16</v>
      </c>
      <c r="E107" s="2" t="s">
        <v>42</v>
      </c>
      <c r="F107" s="5">
        <v>2</v>
      </c>
      <c r="G107" s="1">
        <v>12000000</v>
      </c>
      <c r="H107" s="2">
        <v>1</v>
      </c>
      <c r="I107" s="6">
        <v>1.3888888888888889E-3</v>
      </c>
      <c r="J107" s="2" t="s">
        <v>18</v>
      </c>
      <c r="K107" s="2" t="s">
        <v>19</v>
      </c>
      <c r="L107" s="2" t="s">
        <v>30</v>
      </c>
      <c r="M107" s="2" t="s">
        <v>66</v>
      </c>
      <c r="N107" s="2" t="s">
        <v>67</v>
      </c>
    </row>
    <row r="108" spans="1:14" x14ac:dyDescent="0.5">
      <c r="A108" s="2" t="s">
        <v>14</v>
      </c>
      <c r="B108" s="3">
        <v>13</v>
      </c>
      <c r="C108" s="4" t="s">
        <v>27</v>
      </c>
      <c r="D108" s="2" t="s">
        <v>38</v>
      </c>
      <c r="E108" s="2" t="s">
        <v>42</v>
      </c>
      <c r="F108" s="5">
        <v>3</v>
      </c>
      <c r="G108" s="1">
        <v>12000000</v>
      </c>
      <c r="H108" s="2">
        <v>1</v>
      </c>
      <c r="I108" s="6">
        <v>1.3888888888888889E-3</v>
      </c>
      <c r="J108" s="2" t="s">
        <v>18</v>
      </c>
      <c r="K108" s="2" t="s">
        <v>47</v>
      </c>
      <c r="L108" s="2" t="s">
        <v>48</v>
      </c>
      <c r="M108" s="2" t="s">
        <v>78</v>
      </c>
      <c r="N108" s="2" t="s">
        <v>62</v>
      </c>
    </row>
    <row r="109" spans="1:14" x14ac:dyDescent="0.5">
      <c r="A109" s="2" t="s">
        <v>14</v>
      </c>
      <c r="B109" s="3">
        <v>1</v>
      </c>
      <c r="C109" s="4" t="s">
        <v>27</v>
      </c>
      <c r="D109" s="2" t="s">
        <v>16</v>
      </c>
      <c r="E109" s="2" t="s">
        <v>42</v>
      </c>
      <c r="F109" s="5">
        <v>1</v>
      </c>
      <c r="G109" s="1">
        <v>7000000</v>
      </c>
      <c r="H109" s="2">
        <v>4</v>
      </c>
      <c r="I109" s="6">
        <v>1.3888888888888889E-3</v>
      </c>
      <c r="J109" s="2" t="s">
        <v>18</v>
      </c>
      <c r="K109" s="2" t="s">
        <v>35</v>
      </c>
      <c r="L109" s="2" t="s">
        <v>51</v>
      </c>
      <c r="M109" s="2" t="s">
        <v>78</v>
      </c>
      <c r="N109" s="2" t="s">
        <v>62</v>
      </c>
    </row>
    <row r="110" spans="1:14" x14ac:dyDescent="0.5">
      <c r="A110" s="2" t="s">
        <v>14</v>
      </c>
      <c r="B110" s="3">
        <v>21</v>
      </c>
      <c r="C110" s="4" t="s">
        <v>37</v>
      </c>
      <c r="D110" s="2" t="s">
        <v>32</v>
      </c>
      <c r="E110" s="2" t="s">
        <v>42</v>
      </c>
      <c r="F110" s="5">
        <v>1</v>
      </c>
      <c r="G110" s="1">
        <v>19000000</v>
      </c>
      <c r="H110" s="2">
        <v>1</v>
      </c>
      <c r="I110" s="6">
        <v>1.3888888888888889E-3</v>
      </c>
      <c r="J110" s="2" t="s">
        <v>46</v>
      </c>
      <c r="K110" s="2" t="s">
        <v>39</v>
      </c>
      <c r="L110" s="2" t="s">
        <v>30</v>
      </c>
      <c r="M110" s="2" t="s">
        <v>78</v>
      </c>
      <c r="N110" s="2" t="s">
        <v>63</v>
      </c>
    </row>
    <row r="111" spans="1:14" x14ac:dyDescent="0.5">
      <c r="A111" s="2" t="s">
        <v>14</v>
      </c>
      <c r="B111" s="3">
        <v>3</v>
      </c>
      <c r="C111" s="4" t="s">
        <v>37</v>
      </c>
      <c r="D111" s="2" t="s">
        <v>32</v>
      </c>
      <c r="E111" s="2" t="s">
        <v>42</v>
      </c>
      <c r="F111" s="5">
        <v>2</v>
      </c>
      <c r="G111" s="1">
        <v>38000000</v>
      </c>
      <c r="H111" s="2">
        <v>2</v>
      </c>
      <c r="I111" s="6">
        <v>1.3888888888888889E-3</v>
      </c>
      <c r="J111" s="2" t="s">
        <v>46</v>
      </c>
      <c r="K111" s="2" t="s">
        <v>19</v>
      </c>
      <c r="L111" s="2" t="s">
        <v>51</v>
      </c>
      <c r="M111" s="2" t="s">
        <v>76</v>
      </c>
      <c r="N111" s="2" t="s">
        <v>31</v>
      </c>
    </row>
    <row r="112" spans="1:14" x14ac:dyDescent="0.5">
      <c r="A112" s="2" t="s">
        <v>14</v>
      </c>
      <c r="B112" s="3">
        <v>8</v>
      </c>
      <c r="C112" s="4" t="s">
        <v>37</v>
      </c>
      <c r="D112" s="2" t="s">
        <v>49</v>
      </c>
      <c r="E112" s="2" t="s">
        <v>42</v>
      </c>
      <c r="F112" s="5">
        <v>4</v>
      </c>
      <c r="G112" s="1">
        <v>20000000</v>
      </c>
      <c r="H112" s="2">
        <v>2</v>
      </c>
      <c r="I112" s="6">
        <v>1.3888888888888889E-3</v>
      </c>
      <c r="J112" s="2" t="s">
        <v>61</v>
      </c>
      <c r="K112" s="2" t="s">
        <v>39</v>
      </c>
      <c r="L112" s="2" t="s">
        <v>30</v>
      </c>
      <c r="M112" s="2" t="s">
        <v>76</v>
      </c>
      <c r="N112" s="2" t="s">
        <v>26</v>
      </c>
    </row>
    <row r="113" spans="1:14" x14ac:dyDescent="0.5">
      <c r="A113" s="2" t="s">
        <v>14</v>
      </c>
      <c r="B113" s="3">
        <v>14</v>
      </c>
      <c r="C113" s="4" t="s">
        <v>37</v>
      </c>
      <c r="D113" s="2" t="s">
        <v>16</v>
      </c>
      <c r="E113" s="2" t="s">
        <v>23</v>
      </c>
      <c r="F113" s="5">
        <v>1</v>
      </c>
      <c r="G113" s="1">
        <v>7000000</v>
      </c>
      <c r="H113" s="2">
        <v>5</v>
      </c>
      <c r="I113" s="6">
        <v>1.3888888888888889E-3</v>
      </c>
      <c r="J113" s="2" t="s">
        <v>18</v>
      </c>
      <c r="K113" s="2" t="s">
        <v>35</v>
      </c>
      <c r="L113" s="2" t="s">
        <v>43</v>
      </c>
      <c r="M113" s="2" t="s">
        <v>66</v>
      </c>
      <c r="N113" s="2" t="s">
        <v>67</v>
      </c>
    </row>
    <row r="114" spans="1:14" x14ac:dyDescent="0.5">
      <c r="A114" s="2" t="s">
        <v>14</v>
      </c>
      <c r="B114" s="3">
        <v>31</v>
      </c>
      <c r="C114" s="4" t="s">
        <v>37</v>
      </c>
      <c r="D114" s="2" t="s">
        <v>28</v>
      </c>
      <c r="E114" s="2" t="s">
        <v>23</v>
      </c>
      <c r="F114" s="5">
        <v>3</v>
      </c>
      <c r="G114" s="1">
        <v>15000000</v>
      </c>
      <c r="H114" s="2">
        <v>3</v>
      </c>
      <c r="I114" s="6">
        <v>1.3888888888888889E-3</v>
      </c>
      <c r="J114" s="2" t="s">
        <v>18</v>
      </c>
      <c r="K114" s="2" t="s">
        <v>29</v>
      </c>
      <c r="L114" s="2" t="s">
        <v>25</v>
      </c>
      <c r="M114" s="2" t="s">
        <v>77</v>
      </c>
      <c r="N114" s="2" t="s">
        <v>65</v>
      </c>
    </row>
    <row r="115" spans="1:14" x14ac:dyDescent="0.5">
      <c r="A115" s="2" t="s">
        <v>14</v>
      </c>
      <c r="B115" s="3">
        <v>20</v>
      </c>
      <c r="C115" s="4" t="s">
        <v>37</v>
      </c>
      <c r="D115" s="2" t="s">
        <v>32</v>
      </c>
      <c r="E115" s="2" t="s">
        <v>45</v>
      </c>
      <c r="F115" s="5">
        <v>3</v>
      </c>
      <c r="G115" s="1">
        <v>15000000</v>
      </c>
      <c r="H115" s="2">
        <v>1</v>
      </c>
      <c r="I115" s="6">
        <v>1.3888888888888889E-3</v>
      </c>
      <c r="J115" s="2" t="s">
        <v>18</v>
      </c>
      <c r="K115" s="2" t="s">
        <v>64</v>
      </c>
      <c r="L115" s="2" t="s">
        <v>48</v>
      </c>
      <c r="M115" s="2" t="s">
        <v>77</v>
      </c>
      <c r="N115" s="2" t="s">
        <v>54</v>
      </c>
    </row>
    <row r="116" spans="1:14" x14ac:dyDescent="0.5">
      <c r="A116" s="2" t="s">
        <v>14</v>
      </c>
      <c r="B116" s="3">
        <v>25</v>
      </c>
      <c r="C116" s="4" t="s">
        <v>44</v>
      </c>
      <c r="D116" s="2" t="s">
        <v>16</v>
      </c>
      <c r="E116" s="2" t="s">
        <v>23</v>
      </c>
      <c r="F116" s="5">
        <v>2</v>
      </c>
      <c r="G116" s="1">
        <v>38000000</v>
      </c>
      <c r="H116" s="2">
        <v>1</v>
      </c>
      <c r="I116" s="6">
        <v>1.3888888888888889E-3</v>
      </c>
      <c r="J116" s="2" t="s">
        <v>46</v>
      </c>
      <c r="K116" s="2" t="s">
        <v>47</v>
      </c>
      <c r="L116" s="2" t="s">
        <v>30</v>
      </c>
      <c r="M116" s="2" t="s">
        <v>78</v>
      </c>
      <c r="N116" s="2" t="s">
        <v>53</v>
      </c>
    </row>
    <row r="117" spans="1:14" x14ac:dyDescent="0.5">
      <c r="A117" s="2" t="s">
        <v>14</v>
      </c>
      <c r="B117" s="3">
        <v>5</v>
      </c>
      <c r="C117" s="4" t="s">
        <v>44</v>
      </c>
      <c r="D117" s="2" t="s">
        <v>32</v>
      </c>
      <c r="E117" s="2" t="s">
        <v>45</v>
      </c>
      <c r="F117" s="5">
        <v>3</v>
      </c>
      <c r="G117" s="1">
        <v>12000000</v>
      </c>
      <c r="H117" s="2">
        <v>2</v>
      </c>
      <c r="I117" s="6">
        <v>1.3888888888888889E-3</v>
      </c>
      <c r="J117" s="2" t="s">
        <v>18</v>
      </c>
      <c r="K117" s="2" t="s">
        <v>24</v>
      </c>
      <c r="L117" s="2" t="s">
        <v>43</v>
      </c>
      <c r="M117" s="2" t="s">
        <v>76</v>
      </c>
      <c r="N117" s="2" t="s">
        <v>52</v>
      </c>
    </row>
    <row r="118" spans="1:14" x14ac:dyDescent="0.5">
      <c r="A118" s="2" t="s">
        <v>14</v>
      </c>
      <c r="B118" s="3">
        <v>16</v>
      </c>
      <c r="C118" s="4" t="s">
        <v>44</v>
      </c>
      <c r="D118" s="2" t="s">
        <v>28</v>
      </c>
      <c r="E118" s="2" t="s">
        <v>42</v>
      </c>
      <c r="F118" s="5">
        <v>2</v>
      </c>
      <c r="G118" s="1">
        <v>12000000</v>
      </c>
      <c r="H118" s="2">
        <v>3</v>
      </c>
      <c r="I118" s="6">
        <v>1.3888888888888889E-3</v>
      </c>
      <c r="J118" s="2" t="s">
        <v>18</v>
      </c>
      <c r="K118" s="2" t="s">
        <v>19</v>
      </c>
      <c r="L118" s="2" t="s">
        <v>51</v>
      </c>
      <c r="M118" s="2" t="s">
        <v>76</v>
      </c>
      <c r="N118" s="2" t="s">
        <v>26</v>
      </c>
    </row>
    <row r="119" spans="1:14" x14ac:dyDescent="0.5">
      <c r="A119" s="2" t="s">
        <v>14</v>
      </c>
      <c r="B119" s="3">
        <v>26</v>
      </c>
      <c r="C119" s="4" t="s">
        <v>69</v>
      </c>
      <c r="D119" s="2" t="s">
        <v>38</v>
      </c>
      <c r="E119" s="2" t="s">
        <v>23</v>
      </c>
      <c r="F119" s="5">
        <v>5</v>
      </c>
      <c r="G119" s="1">
        <v>25000000</v>
      </c>
      <c r="H119" s="2">
        <v>5</v>
      </c>
      <c r="I119" s="6">
        <v>1.3888888888888889E-3</v>
      </c>
      <c r="J119" s="2" t="s">
        <v>18</v>
      </c>
      <c r="K119" s="2" t="s">
        <v>64</v>
      </c>
      <c r="L119" s="2" t="s">
        <v>40</v>
      </c>
      <c r="M119" s="2" t="s">
        <v>77</v>
      </c>
      <c r="N119" s="2" t="s">
        <v>54</v>
      </c>
    </row>
    <row r="120" spans="1:14" x14ac:dyDescent="0.5">
      <c r="A120" s="2" t="s">
        <v>14</v>
      </c>
      <c r="B120" s="3">
        <v>11</v>
      </c>
      <c r="C120" s="4" t="s">
        <v>55</v>
      </c>
      <c r="D120" s="2" t="s">
        <v>49</v>
      </c>
      <c r="E120" s="2" t="s">
        <v>17</v>
      </c>
      <c r="F120" s="5">
        <v>4</v>
      </c>
      <c r="G120" s="1">
        <v>20000000</v>
      </c>
      <c r="H120" s="2">
        <v>2</v>
      </c>
      <c r="I120" s="6">
        <v>1.3888888888888889E-3</v>
      </c>
      <c r="J120" s="2" t="s">
        <v>61</v>
      </c>
      <c r="K120" s="2" t="s">
        <v>35</v>
      </c>
      <c r="L120" s="2" t="s">
        <v>30</v>
      </c>
      <c r="M120" s="2" t="s">
        <v>66</v>
      </c>
      <c r="N120" s="2" t="s">
        <v>67</v>
      </c>
    </row>
    <row r="121" spans="1:14" x14ac:dyDescent="0.5">
      <c r="A121" s="2" t="s">
        <v>14</v>
      </c>
      <c r="B121" s="3">
        <v>14</v>
      </c>
      <c r="C121" s="4" t="s">
        <v>55</v>
      </c>
      <c r="D121" s="2" t="s">
        <v>49</v>
      </c>
      <c r="E121" s="2" t="s">
        <v>17</v>
      </c>
      <c r="F121" s="5">
        <v>3</v>
      </c>
      <c r="G121" s="1">
        <v>15000000</v>
      </c>
      <c r="H121" s="2">
        <v>2</v>
      </c>
      <c r="I121" s="6">
        <v>1.3888888888888889E-3</v>
      </c>
      <c r="J121" s="2" t="s">
        <v>18</v>
      </c>
      <c r="K121" s="2" t="s">
        <v>56</v>
      </c>
      <c r="L121" s="2" t="s">
        <v>30</v>
      </c>
      <c r="M121" s="2" t="s">
        <v>76</v>
      </c>
      <c r="N121" s="2" t="s">
        <v>52</v>
      </c>
    </row>
    <row r="122" spans="1:14" x14ac:dyDescent="0.5">
      <c r="A122" s="2" t="s">
        <v>14</v>
      </c>
      <c r="B122" s="3">
        <v>11</v>
      </c>
      <c r="C122" s="4" t="s">
        <v>57</v>
      </c>
      <c r="D122" s="2" t="s">
        <v>49</v>
      </c>
      <c r="E122" s="2" t="s">
        <v>42</v>
      </c>
      <c r="F122" s="5">
        <v>2</v>
      </c>
      <c r="G122" s="1">
        <v>10000000</v>
      </c>
      <c r="H122" s="2">
        <v>1</v>
      </c>
      <c r="I122" s="6">
        <v>1.3888888888888889E-3</v>
      </c>
      <c r="J122" s="2" t="s">
        <v>18</v>
      </c>
      <c r="K122" s="2" t="s">
        <v>39</v>
      </c>
      <c r="L122" s="2" t="s">
        <v>33</v>
      </c>
      <c r="M122" s="2" t="s">
        <v>78</v>
      </c>
      <c r="N122" s="2" t="s">
        <v>63</v>
      </c>
    </row>
    <row r="123" spans="1:14" x14ac:dyDescent="0.5">
      <c r="A123" s="2" t="s">
        <v>14</v>
      </c>
      <c r="B123" s="3">
        <v>1</v>
      </c>
      <c r="C123" s="4" t="s">
        <v>15</v>
      </c>
      <c r="D123" s="2" t="s">
        <v>28</v>
      </c>
      <c r="E123" s="2" t="s">
        <v>42</v>
      </c>
      <c r="F123" s="5">
        <v>5</v>
      </c>
      <c r="G123" s="1">
        <v>25000000</v>
      </c>
      <c r="H123" s="2">
        <v>1</v>
      </c>
      <c r="I123" s="6">
        <v>1.3888888888888889E-3</v>
      </c>
      <c r="J123" s="2" t="s">
        <v>18</v>
      </c>
      <c r="K123" s="2" t="s">
        <v>39</v>
      </c>
      <c r="L123" s="2" t="s">
        <v>40</v>
      </c>
      <c r="M123" s="2" t="s">
        <v>78</v>
      </c>
      <c r="N123" s="2" t="s">
        <v>41</v>
      </c>
    </row>
    <row r="124" spans="1:14" x14ac:dyDescent="0.5">
      <c r="A124" s="2" t="s">
        <v>14</v>
      </c>
      <c r="B124" s="3">
        <v>1</v>
      </c>
      <c r="C124" s="4" t="s">
        <v>72</v>
      </c>
      <c r="D124" s="2" t="s">
        <v>73</v>
      </c>
      <c r="E124" s="2" t="s">
        <v>23</v>
      </c>
      <c r="F124" s="5">
        <v>2</v>
      </c>
      <c r="G124" s="1">
        <v>12000000</v>
      </c>
      <c r="H124" s="2">
        <v>5</v>
      </c>
      <c r="I124" s="6">
        <v>1.3888888888888889E-3</v>
      </c>
      <c r="J124" s="2" t="s">
        <v>18</v>
      </c>
      <c r="K124" s="2" t="s">
        <v>56</v>
      </c>
      <c r="L124" s="2" t="s">
        <v>48</v>
      </c>
      <c r="M124" s="2" t="s">
        <v>77</v>
      </c>
      <c r="N124" s="2" t="s">
        <v>54</v>
      </c>
    </row>
    <row r="125" spans="1:14" x14ac:dyDescent="0.5">
      <c r="A125" s="2" t="s">
        <v>70</v>
      </c>
      <c r="B125" s="3">
        <v>13</v>
      </c>
      <c r="C125" s="4" t="s">
        <v>60</v>
      </c>
      <c r="D125" s="2" t="s">
        <v>16</v>
      </c>
      <c r="E125" s="2" t="s">
        <v>68</v>
      </c>
      <c r="F125" s="5">
        <v>0</v>
      </c>
      <c r="G125" s="1">
        <v>0</v>
      </c>
      <c r="H125" s="2">
        <v>3</v>
      </c>
      <c r="I125" s="6">
        <v>1.3888888888888889E-3</v>
      </c>
      <c r="J125" s="2"/>
      <c r="K125" s="2"/>
      <c r="L125" s="2" t="s">
        <v>25</v>
      </c>
      <c r="M125" s="2" t="s">
        <v>76</v>
      </c>
      <c r="N125" s="2" t="s">
        <v>26</v>
      </c>
    </row>
    <row r="126" spans="1:14" x14ac:dyDescent="0.5">
      <c r="A126" s="2" t="s">
        <v>70</v>
      </c>
      <c r="B126" s="3">
        <v>15</v>
      </c>
      <c r="C126" s="4" t="s">
        <v>27</v>
      </c>
      <c r="D126" s="2" t="s">
        <v>38</v>
      </c>
      <c r="E126" s="2" t="s">
        <v>23</v>
      </c>
      <c r="F126" s="5">
        <v>0</v>
      </c>
      <c r="G126" s="1">
        <v>0</v>
      </c>
      <c r="H126" s="2">
        <v>4</v>
      </c>
      <c r="I126" s="6">
        <v>1.3888888888888889E-3</v>
      </c>
      <c r="J126" s="2"/>
      <c r="K126" s="2"/>
      <c r="L126" s="2" t="s">
        <v>20</v>
      </c>
      <c r="M126" s="2" t="s">
        <v>78</v>
      </c>
      <c r="N126" s="2" t="s">
        <v>66</v>
      </c>
    </row>
    <row r="127" spans="1:14" x14ac:dyDescent="0.5">
      <c r="A127" s="2" t="s">
        <v>70</v>
      </c>
      <c r="B127" s="3">
        <v>28</v>
      </c>
      <c r="C127" s="4" t="s">
        <v>37</v>
      </c>
      <c r="D127" s="2" t="s">
        <v>32</v>
      </c>
      <c r="E127" s="2" t="s">
        <v>23</v>
      </c>
      <c r="F127" s="5">
        <v>0</v>
      </c>
      <c r="G127" s="1">
        <v>0</v>
      </c>
      <c r="H127" s="2">
        <v>3</v>
      </c>
      <c r="I127" s="6">
        <v>1.3888888888888889E-3</v>
      </c>
      <c r="J127" s="2"/>
      <c r="K127" s="2"/>
      <c r="L127" s="2" t="s">
        <v>33</v>
      </c>
      <c r="M127" s="2" t="s">
        <v>76</v>
      </c>
      <c r="N127" s="2" t="s">
        <v>31</v>
      </c>
    </row>
    <row r="128" spans="1:14" x14ac:dyDescent="0.5">
      <c r="A128" s="2" t="s">
        <v>70</v>
      </c>
      <c r="B128" s="3">
        <v>20</v>
      </c>
      <c r="C128" s="4" t="s">
        <v>37</v>
      </c>
      <c r="D128" s="2" t="s">
        <v>16</v>
      </c>
      <c r="E128" s="2" t="s">
        <v>42</v>
      </c>
      <c r="F128" s="5">
        <v>0</v>
      </c>
      <c r="G128" s="1">
        <v>0</v>
      </c>
      <c r="H128" s="2">
        <v>2</v>
      </c>
      <c r="I128" s="6">
        <v>1.3888888888888889E-3</v>
      </c>
      <c r="J128" s="2"/>
      <c r="K128" s="2"/>
      <c r="L128" s="2" t="s">
        <v>20</v>
      </c>
      <c r="M128" s="2" t="s">
        <v>78</v>
      </c>
      <c r="N128" s="2" t="s">
        <v>62</v>
      </c>
    </row>
    <row r="129" spans="1:14" x14ac:dyDescent="0.5">
      <c r="A129" s="2" t="s">
        <v>70</v>
      </c>
      <c r="B129" s="3">
        <v>14</v>
      </c>
      <c r="C129" s="4" t="s">
        <v>37</v>
      </c>
      <c r="D129" s="2" t="s">
        <v>16</v>
      </c>
      <c r="E129" s="2" t="s">
        <v>42</v>
      </c>
      <c r="F129" s="5">
        <v>0</v>
      </c>
      <c r="G129" s="1">
        <v>0</v>
      </c>
      <c r="H129" s="2">
        <v>1</v>
      </c>
      <c r="I129" s="6">
        <v>1.3888888888888889E-3</v>
      </c>
      <c r="J129" s="2"/>
      <c r="K129" s="2"/>
      <c r="L129" s="2" t="s">
        <v>48</v>
      </c>
      <c r="M129" s="2" t="s">
        <v>66</v>
      </c>
      <c r="N129" s="2" t="s">
        <v>67</v>
      </c>
    </row>
    <row r="130" spans="1:14" x14ac:dyDescent="0.5">
      <c r="A130" s="2" t="s">
        <v>70</v>
      </c>
      <c r="B130" s="3">
        <v>13</v>
      </c>
      <c r="C130" s="4" t="s">
        <v>44</v>
      </c>
      <c r="D130" s="2" t="s">
        <v>16</v>
      </c>
      <c r="E130" s="2" t="s">
        <v>23</v>
      </c>
      <c r="F130" s="5">
        <v>0</v>
      </c>
      <c r="G130" s="1">
        <v>0</v>
      </c>
      <c r="H130" s="2">
        <v>1</v>
      </c>
      <c r="I130" s="6">
        <v>1.3888888888888889E-3</v>
      </c>
      <c r="J130" s="2"/>
      <c r="K130" s="2"/>
      <c r="L130" s="2" t="s">
        <v>33</v>
      </c>
      <c r="M130" s="2" t="s">
        <v>78</v>
      </c>
      <c r="N130" s="2" t="s">
        <v>41</v>
      </c>
    </row>
    <row r="131" spans="1:14" x14ac:dyDescent="0.5">
      <c r="A131" s="2" t="s">
        <v>70</v>
      </c>
      <c r="B131" s="3">
        <v>15</v>
      </c>
      <c r="C131" s="4" t="s">
        <v>44</v>
      </c>
      <c r="D131" s="2" t="s">
        <v>49</v>
      </c>
      <c r="E131" s="2" t="s">
        <v>23</v>
      </c>
      <c r="F131" s="5">
        <v>0</v>
      </c>
      <c r="G131" s="1">
        <v>0</v>
      </c>
      <c r="H131" s="2">
        <v>4</v>
      </c>
      <c r="I131" s="6">
        <v>1.3888888888888889E-3</v>
      </c>
      <c r="J131" s="2"/>
      <c r="K131" s="2"/>
      <c r="L131" s="2" t="s">
        <v>33</v>
      </c>
      <c r="M131" s="2" t="s">
        <v>77</v>
      </c>
      <c r="N131" s="2" t="s">
        <v>54</v>
      </c>
    </row>
    <row r="132" spans="1:14" x14ac:dyDescent="0.5">
      <c r="A132" s="2" t="s">
        <v>70</v>
      </c>
      <c r="B132" s="3">
        <v>26</v>
      </c>
      <c r="C132" s="4" t="s">
        <v>44</v>
      </c>
      <c r="D132" s="2" t="s">
        <v>16</v>
      </c>
      <c r="E132" s="2" t="s">
        <v>42</v>
      </c>
      <c r="F132" s="5">
        <v>0</v>
      </c>
      <c r="G132" s="1">
        <v>0</v>
      </c>
      <c r="H132" s="2">
        <v>2</v>
      </c>
      <c r="I132" s="6">
        <v>1.3888888888888889E-3</v>
      </c>
      <c r="J132" s="2"/>
      <c r="K132" s="2"/>
      <c r="L132" s="2" t="s">
        <v>51</v>
      </c>
      <c r="M132" s="2" t="s">
        <v>76</v>
      </c>
      <c r="N132" s="2" t="s">
        <v>31</v>
      </c>
    </row>
    <row r="133" spans="1:14" x14ac:dyDescent="0.5">
      <c r="A133" s="2" t="s">
        <v>70</v>
      </c>
      <c r="B133" s="3">
        <v>13</v>
      </c>
      <c r="C133" s="4" t="s">
        <v>60</v>
      </c>
      <c r="D133" s="2" t="s">
        <v>16</v>
      </c>
      <c r="E133" s="2" t="s">
        <v>68</v>
      </c>
      <c r="F133" s="5">
        <v>0</v>
      </c>
      <c r="G133" s="1">
        <v>0</v>
      </c>
      <c r="H133" s="2">
        <v>3</v>
      </c>
      <c r="I133" s="6">
        <v>1.3888888888888889E-3</v>
      </c>
      <c r="J133" s="2"/>
      <c r="K133" s="2"/>
      <c r="L133" s="2" t="s">
        <v>25</v>
      </c>
      <c r="M133" s="2" t="s">
        <v>76</v>
      </c>
      <c r="N133" s="2" t="s">
        <v>26</v>
      </c>
    </row>
    <row r="134" spans="1:14" x14ac:dyDescent="0.5">
      <c r="A134" s="2" t="s">
        <v>14</v>
      </c>
      <c r="B134" s="3">
        <v>16</v>
      </c>
      <c r="C134" s="4" t="s">
        <v>55</v>
      </c>
      <c r="D134" s="2" t="s">
        <v>38</v>
      </c>
      <c r="E134" s="2" t="s">
        <v>23</v>
      </c>
      <c r="F134" s="5">
        <v>5</v>
      </c>
      <c r="G134" s="1">
        <v>25000000</v>
      </c>
      <c r="H134" s="2">
        <v>1</v>
      </c>
      <c r="I134" s="6">
        <v>1.3888888888888889E-3</v>
      </c>
      <c r="J134" s="2" t="s">
        <v>18</v>
      </c>
      <c r="K134" s="2" t="s">
        <v>47</v>
      </c>
      <c r="L134" s="2" t="s">
        <v>48</v>
      </c>
      <c r="M134" s="2" t="s">
        <v>76</v>
      </c>
      <c r="N134" s="2" t="s">
        <v>31</v>
      </c>
    </row>
    <row r="135" spans="1:14" x14ac:dyDescent="0.5">
      <c r="A135" s="2" t="s">
        <v>14</v>
      </c>
      <c r="B135" s="3">
        <v>1</v>
      </c>
      <c r="C135" s="4" t="s">
        <v>57</v>
      </c>
      <c r="D135" s="2" t="s">
        <v>32</v>
      </c>
      <c r="E135" s="2" t="s">
        <v>23</v>
      </c>
      <c r="F135" s="5">
        <v>1</v>
      </c>
      <c r="G135" s="1">
        <v>7000000</v>
      </c>
      <c r="H135" s="2">
        <v>2</v>
      </c>
      <c r="I135" s="6">
        <v>1.3888888888888889E-3</v>
      </c>
      <c r="J135" s="2" t="s">
        <v>18</v>
      </c>
      <c r="K135" s="2" t="s">
        <v>24</v>
      </c>
      <c r="L135" s="2" t="s">
        <v>33</v>
      </c>
      <c r="M135" s="2" t="s">
        <v>76</v>
      </c>
      <c r="N135" s="2" t="s">
        <v>31</v>
      </c>
    </row>
    <row r="136" spans="1:14" x14ac:dyDescent="0.5">
      <c r="A136" s="2" t="s">
        <v>14</v>
      </c>
      <c r="B136" s="3">
        <v>11</v>
      </c>
      <c r="C136" s="4" t="s">
        <v>57</v>
      </c>
      <c r="D136" s="2" t="s">
        <v>32</v>
      </c>
      <c r="E136" s="2" t="s">
        <v>45</v>
      </c>
      <c r="F136" s="5">
        <v>2</v>
      </c>
      <c r="G136" s="1">
        <v>12000000</v>
      </c>
      <c r="H136" s="2">
        <v>2</v>
      </c>
      <c r="I136" s="6">
        <v>1.3888888888888889E-3</v>
      </c>
      <c r="J136" s="2" t="s">
        <v>18</v>
      </c>
      <c r="K136" s="2" t="s">
        <v>24</v>
      </c>
      <c r="L136" s="2" t="s">
        <v>40</v>
      </c>
      <c r="M136" s="2" t="s">
        <v>78</v>
      </c>
      <c r="N136" s="2" t="s">
        <v>63</v>
      </c>
    </row>
    <row r="137" spans="1:14" x14ac:dyDescent="0.5">
      <c r="A137" s="2" t="s">
        <v>14</v>
      </c>
      <c r="B137" s="3">
        <v>11</v>
      </c>
      <c r="C137" s="4" t="s">
        <v>57</v>
      </c>
      <c r="D137" s="2" t="s">
        <v>16</v>
      </c>
      <c r="E137" s="2" t="s">
        <v>23</v>
      </c>
      <c r="F137" s="5">
        <v>3</v>
      </c>
      <c r="G137" s="1">
        <v>15000000</v>
      </c>
      <c r="H137" s="2">
        <v>1</v>
      </c>
      <c r="I137" s="6">
        <v>1.3888888888888889E-3</v>
      </c>
      <c r="J137" s="2" t="s">
        <v>18</v>
      </c>
      <c r="K137" s="2" t="s">
        <v>39</v>
      </c>
      <c r="L137" s="2" t="s">
        <v>48</v>
      </c>
      <c r="M137" s="2" t="s">
        <v>66</v>
      </c>
      <c r="N137" s="2" t="s">
        <v>36</v>
      </c>
    </row>
    <row r="138" spans="1:14" x14ac:dyDescent="0.5">
      <c r="A138" s="2" t="s">
        <v>14</v>
      </c>
      <c r="B138" s="3">
        <v>1</v>
      </c>
      <c r="C138" s="4" t="s">
        <v>15</v>
      </c>
      <c r="D138" s="2" t="s">
        <v>16</v>
      </c>
      <c r="E138" s="2" t="s">
        <v>17</v>
      </c>
      <c r="F138" s="5">
        <v>1</v>
      </c>
      <c r="G138" s="1">
        <v>19000000</v>
      </c>
      <c r="H138" s="2">
        <v>1</v>
      </c>
      <c r="I138" s="6">
        <v>1.3888888888888889E-3</v>
      </c>
      <c r="J138" s="2" t="s">
        <v>46</v>
      </c>
      <c r="K138" s="2" t="s">
        <v>39</v>
      </c>
      <c r="L138" s="2" t="s">
        <v>43</v>
      </c>
      <c r="M138" s="2" t="s">
        <v>78</v>
      </c>
      <c r="N138" s="2" t="s">
        <v>66</v>
      </c>
    </row>
    <row r="139" spans="1:14" x14ac:dyDescent="0.5">
      <c r="A139" s="2" t="s">
        <v>14</v>
      </c>
      <c r="B139" s="3">
        <v>1</v>
      </c>
      <c r="C139" s="4" t="s">
        <v>15</v>
      </c>
      <c r="D139" s="2" t="s">
        <v>38</v>
      </c>
      <c r="E139" s="2" t="s">
        <v>23</v>
      </c>
      <c r="F139" s="5">
        <v>4</v>
      </c>
      <c r="G139" s="1">
        <v>20000000</v>
      </c>
      <c r="H139" s="2">
        <v>3</v>
      </c>
      <c r="I139" s="6">
        <v>1.3888888888888889E-3</v>
      </c>
      <c r="J139" s="2" t="s">
        <v>61</v>
      </c>
      <c r="K139" s="2" t="s">
        <v>39</v>
      </c>
      <c r="L139" s="2" t="s">
        <v>48</v>
      </c>
      <c r="M139" s="2" t="s">
        <v>66</v>
      </c>
      <c r="N139" s="2" t="s">
        <v>67</v>
      </c>
    </row>
    <row r="140" spans="1:14" x14ac:dyDescent="0.5">
      <c r="A140" s="2" t="s">
        <v>14</v>
      </c>
      <c r="B140" s="3">
        <v>1</v>
      </c>
      <c r="C140" s="4" t="s">
        <v>15</v>
      </c>
      <c r="D140" s="2" t="s">
        <v>16</v>
      </c>
      <c r="E140" s="2" t="s">
        <v>42</v>
      </c>
      <c r="F140" s="5">
        <v>3</v>
      </c>
      <c r="G140" s="1">
        <v>15000000</v>
      </c>
      <c r="H140" s="2">
        <v>1</v>
      </c>
      <c r="I140" s="6">
        <v>1.3888888888888889E-3</v>
      </c>
      <c r="J140" s="2" t="s">
        <v>18</v>
      </c>
      <c r="K140" s="2" t="s">
        <v>56</v>
      </c>
      <c r="L140" s="2" t="s">
        <v>51</v>
      </c>
      <c r="M140" s="2" t="s">
        <v>77</v>
      </c>
      <c r="N140" s="2" t="s">
        <v>34</v>
      </c>
    </row>
    <row r="141" spans="1:14" x14ac:dyDescent="0.5">
      <c r="A141" s="2" t="s">
        <v>14</v>
      </c>
      <c r="B141" s="3">
        <v>1</v>
      </c>
      <c r="C141" s="4" t="s">
        <v>59</v>
      </c>
      <c r="D141" s="2" t="s">
        <v>16</v>
      </c>
      <c r="E141" s="2" t="s">
        <v>17</v>
      </c>
      <c r="F141" s="5">
        <v>4</v>
      </c>
      <c r="G141" s="1">
        <v>20000000</v>
      </c>
      <c r="H141" s="2">
        <v>4</v>
      </c>
      <c r="I141" s="6">
        <v>1.3888888888888889E-3</v>
      </c>
      <c r="J141" s="2" t="s">
        <v>61</v>
      </c>
      <c r="K141" s="2" t="s">
        <v>39</v>
      </c>
      <c r="L141" s="2" t="s">
        <v>25</v>
      </c>
      <c r="M141" s="2" t="s">
        <v>78</v>
      </c>
      <c r="N141" s="2" t="s">
        <v>62</v>
      </c>
    </row>
    <row r="142" spans="1:14" x14ac:dyDescent="0.5">
      <c r="A142" s="2" t="s">
        <v>14</v>
      </c>
      <c r="B142" s="3">
        <v>4</v>
      </c>
      <c r="C142" s="4" t="s">
        <v>59</v>
      </c>
      <c r="D142" s="2" t="s">
        <v>73</v>
      </c>
      <c r="E142" s="2" t="s">
        <v>17</v>
      </c>
      <c r="F142" s="5">
        <v>3</v>
      </c>
      <c r="G142" s="1">
        <v>15000000</v>
      </c>
      <c r="H142" s="2">
        <v>1</v>
      </c>
      <c r="I142" s="6">
        <v>1.3888888888888889E-3</v>
      </c>
      <c r="J142" s="2" t="s">
        <v>18</v>
      </c>
      <c r="K142" s="2" t="s">
        <v>35</v>
      </c>
      <c r="L142" s="2" t="s">
        <v>43</v>
      </c>
      <c r="M142" s="2" t="s">
        <v>76</v>
      </c>
      <c r="N142" s="2" t="s">
        <v>31</v>
      </c>
    </row>
    <row r="143" spans="1:14" x14ac:dyDescent="0.5">
      <c r="A143" s="2" t="s">
        <v>14</v>
      </c>
      <c r="B143" s="3">
        <v>11</v>
      </c>
      <c r="C143" s="4" t="s">
        <v>59</v>
      </c>
      <c r="D143" s="2" t="s">
        <v>38</v>
      </c>
      <c r="E143" s="2" t="s">
        <v>23</v>
      </c>
      <c r="F143" s="5">
        <v>5</v>
      </c>
      <c r="G143" s="1">
        <v>25000000</v>
      </c>
      <c r="H143" s="2">
        <v>4</v>
      </c>
      <c r="I143" s="6">
        <v>1.3888888888888889E-3</v>
      </c>
      <c r="J143" s="2" t="s">
        <v>18</v>
      </c>
      <c r="K143" s="2" t="s">
        <v>29</v>
      </c>
      <c r="L143" s="2" t="s">
        <v>43</v>
      </c>
      <c r="M143" s="2" t="s">
        <v>76</v>
      </c>
      <c r="N143" s="2" t="s">
        <v>52</v>
      </c>
    </row>
    <row r="144" spans="1:14" x14ac:dyDescent="0.5">
      <c r="A144" s="2" t="s">
        <v>14</v>
      </c>
      <c r="B144" s="3">
        <v>12</v>
      </c>
      <c r="C144" s="4" t="s">
        <v>72</v>
      </c>
      <c r="D144" s="2" t="s">
        <v>38</v>
      </c>
      <c r="E144" s="2" t="s">
        <v>23</v>
      </c>
      <c r="F144" s="5">
        <v>2</v>
      </c>
      <c r="G144" s="1">
        <v>12000000</v>
      </c>
      <c r="H144" s="2">
        <v>4</v>
      </c>
      <c r="I144" s="6">
        <v>1.3888888888888889E-3</v>
      </c>
      <c r="J144" s="2" t="s">
        <v>18</v>
      </c>
      <c r="K144" s="2" t="s">
        <v>35</v>
      </c>
      <c r="L144" s="2" t="s">
        <v>25</v>
      </c>
      <c r="M144" s="2" t="s">
        <v>77</v>
      </c>
      <c r="N144" s="2" t="s">
        <v>54</v>
      </c>
    </row>
    <row r="145" spans="1:14" x14ac:dyDescent="0.5">
      <c r="A145" s="2" t="s">
        <v>14</v>
      </c>
      <c r="B145" s="3">
        <v>31</v>
      </c>
      <c r="C145" s="4" t="s">
        <v>22</v>
      </c>
      <c r="D145" s="2" t="s">
        <v>16</v>
      </c>
      <c r="E145" s="2" t="s">
        <v>23</v>
      </c>
      <c r="F145" s="5">
        <v>1</v>
      </c>
      <c r="G145" s="1">
        <v>19000000</v>
      </c>
      <c r="H145" s="2">
        <v>3</v>
      </c>
      <c r="I145" s="6">
        <v>1.3888888888888889E-3</v>
      </c>
      <c r="J145" s="2" t="s">
        <v>46</v>
      </c>
      <c r="K145" s="2" t="s">
        <v>56</v>
      </c>
      <c r="L145" s="2" t="s">
        <v>25</v>
      </c>
      <c r="M145" s="2" t="s">
        <v>76</v>
      </c>
      <c r="N145" s="2" t="s">
        <v>52</v>
      </c>
    </row>
    <row r="146" spans="1:14" x14ac:dyDescent="0.5">
      <c r="A146" s="2" t="s">
        <v>14</v>
      </c>
      <c r="B146" s="3">
        <v>2</v>
      </c>
      <c r="C146" s="4" t="s">
        <v>22</v>
      </c>
      <c r="D146" s="2" t="s">
        <v>28</v>
      </c>
      <c r="E146" s="2" t="s">
        <v>45</v>
      </c>
      <c r="F146" s="5">
        <v>2</v>
      </c>
      <c r="G146" s="1">
        <v>12000000</v>
      </c>
      <c r="H146" s="2">
        <v>2</v>
      </c>
      <c r="I146" s="6">
        <v>1.3888888888888889E-3</v>
      </c>
      <c r="J146" s="2" t="s">
        <v>18</v>
      </c>
      <c r="K146" s="2" t="s">
        <v>56</v>
      </c>
      <c r="L146" s="2" t="s">
        <v>30</v>
      </c>
      <c r="M146" s="2" t="s">
        <v>78</v>
      </c>
      <c r="N146" s="2" t="s">
        <v>66</v>
      </c>
    </row>
    <row r="147" spans="1:14" x14ac:dyDescent="0.5">
      <c r="A147" s="2" t="s">
        <v>14</v>
      </c>
      <c r="B147" s="3">
        <v>9</v>
      </c>
      <c r="C147" s="4" t="s">
        <v>22</v>
      </c>
      <c r="D147" s="2" t="s">
        <v>16</v>
      </c>
      <c r="E147" s="2" t="s">
        <v>42</v>
      </c>
      <c r="F147" s="5">
        <v>3</v>
      </c>
      <c r="G147" s="1">
        <v>12000000</v>
      </c>
      <c r="H147" s="2">
        <v>5</v>
      </c>
      <c r="I147" s="6">
        <v>1.3888888888888889E-3</v>
      </c>
      <c r="J147" s="2" t="s">
        <v>18</v>
      </c>
      <c r="K147" s="2" t="s">
        <v>64</v>
      </c>
      <c r="L147" s="2" t="s">
        <v>40</v>
      </c>
      <c r="M147" s="2" t="s">
        <v>76</v>
      </c>
      <c r="N147" s="2" t="s">
        <v>52</v>
      </c>
    </row>
    <row r="148" spans="1:14" x14ac:dyDescent="0.5">
      <c r="A148" s="2" t="s">
        <v>14</v>
      </c>
      <c r="B148" s="3">
        <v>25</v>
      </c>
      <c r="C148" s="4" t="s">
        <v>22</v>
      </c>
      <c r="D148" s="2" t="s">
        <v>32</v>
      </c>
      <c r="E148" s="2" t="s">
        <v>42</v>
      </c>
      <c r="F148" s="5">
        <v>2</v>
      </c>
      <c r="G148" s="1">
        <v>10000000</v>
      </c>
      <c r="H148" s="2">
        <v>4</v>
      </c>
      <c r="I148" s="6">
        <v>1.3888888888888889E-3</v>
      </c>
      <c r="J148" s="2" t="s">
        <v>18</v>
      </c>
      <c r="K148" s="2" t="s">
        <v>64</v>
      </c>
      <c r="L148" s="2" t="s">
        <v>33</v>
      </c>
      <c r="M148" s="2" t="s">
        <v>76</v>
      </c>
      <c r="N148" s="2" t="s">
        <v>31</v>
      </c>
    </row>
    <row r="149" spans="1:14" x14ac:dyDescent="0.5">
      <c r="A149" s="2" t="s">
        <v>14</v>
      </c>
      <c r="B149" s="3">
        <v>9</v>
      </c>
      <c r="C149" s="4" t="s">
        <v>22</v>
      </c>
      <c r="D149" s="2" t="s">
        <v>16</v>
      </c>
      <c r="E149" s="2" t="s">
        <v>42</v>
      </c>
      <c r="F149" s="5">
        <v>2</v>
      </c>
      <c r="G149" s="1">
        <v>12000000</v>
      </c>
      <c r="H149" s="2">
        <v>1</v>
      </c>
      <c r="I149" s="6">
        <v>1.3888888888888889E-3</v>
      </c>
      <c r="J149" s="2" t="s">
        <v>18</v>
      </c>
      <c r="K149" s="2" t="s">
        <v>47</v>
      </c>
      <c r="L149" s="2" t="s">
        <v>40</v>
      </c>
      <c r="M149" s="2" t="s">
        <v>78</v>
      </c>
      <c r="N149" s="2" t="s">
        <v>63</v>
      </c>
    </row>
    <row r="150" spans="1:14" x14ac:dyDescent="0.5">
      <c r="A150" s="2" t="s">
        <v>14</v>
      </c>
      <c r="B150" s="3">
        <v>10</v>
      </c>
      <c r="C150" s="4" t="s">
        <v>22</v>
      </c>
      <c r="D150" s="2" t="s">
        <v>32</v>
      </c>
      <c r="E150" s="2" t="s">
        <v>42</v>
      </c>
      <c r="F150" s="5">
        <v>3</v>
      </c>
      <c r="G150" s="1">
        <v>15000000</v>
      </c>
      <c r="H150" s="2">
        <v>1</v>
      </c>
      <c r="I150" s="6">
        <v>1.3888888888888889E-3</v>
      </c>
      <c r="J150" s="2" t="s">
        <v>18</v>
      </c>
      <c r="K150" s="2" t="s">
        <v>56</v>
      </c>
      <c r="L150" s="2" t="s">
        <v>40</v>
      </c>
      <c r="M150" s="2" t="s">
        <v>76</v>
      </c>
      <c r="N150" s="2" t="s">
        <v>52</v>
      </c>
    </row>
    <row r="151" spans="1:14" x14ac:dyDescent="0.5">
      <c r="A151" s="2" t="s">
        <v>14</v>
      </c>
      <c r="B151" s="3">
        <v>14</v>
      </c>
      <c r="C151" s="4" t="s">
        <v>22</v>
      </c>
      <c r="D151" s="2" t="s">
        <v>49</v>
      </c>
      <c r="E151" s="2" t="s">
        <v>23</v>
      </c>
      <c r="F151" s="5">
        <v>4</v>
      </c>
      <c r="G151" s="1">
        <v>20000000</v>
      </c>
      <c r="H151" s="2">
        <v>3</v>
      </c>
      <c r="I151" s="6">
        <v>1.3888888888888889E-3</v>
      </c>
      <c r="J151" s="2" t="s">
        <v>18</v>
      </c>
      <c r="K151" s="2" t="s">
        <v>29</v>
      </c>
      <c r="L151" s="2" t="s">
        <v>20</v>
      </c>
      <c r="M151" s="2" t="s">
        <v>78</v>
      </c>
      <c r="N151" s="2" t="s">
        <v>63</v>
      </c>
    </row>
    <row r="152" spans="1:14" x14ac:dyDescent="0.5">
      <c r="A152" s="2" t="s">
        <v>14</v>
      </c>
      <c r="B152" s="3">
        <v>10</v>
      </c>
      <c r="C152" s="4" t="s">
        <v>27</v>
      </c>
      <c r="D152" s="2" t="s">
        <v>28</v>
      </c>
      <c r="E152" s="2" t="s">
        <v>45</v>
      </c>
      <c r="F152" s="5">
        <v>4</v>
      </c>
      <c r="G152" s="1">
        <v>11000000</v>
      </c>
      <c r="H152" s="2">
        <v>1</v>
      </c>
      <c r="I152" s="6">
        <v>1.3888888888888889E-3</v>
      </c>
      <c r="J152" s="2" t="s">
        <v>61</v>
      </c>
      <c r="K152" s="2" t="s">
        <v>19</v>
      </c>
      <c r="L152" s="2" t="s">
        <v>43</v>
      </c>
      <c r="M152" s="2" t="s">
        <v>77</v>
      </c>
      <c r="N152" s="2" t="s">
        <v>34</v>
      </c>
    </row>
    <row r="153" spans="1:14" x14ac:dyDescent="0.5">
      <c r="A153" s="2" t="s">
        <v>14</v>
      </c>
      <c r="B153" s="3">
        <v>27</v>
      </c>
      <c r="C153" s="4" t="s">
        <v>27</v>
      </c>
      <c r="D153" s="2" t="s">
        <v>32</v>
      </c>
      <c r="E153" s="2" t="s">
        <v>17</v>
      </c>
      <c r="F153" s="5">
        <v>3</v>
      </c>
      <c r="G153" s="1">
        <v>12000000</v>
      </c>
      <c r="H153" s="2">
        <v>3</v>
      </c>
      <c r="I153" s="6">
        <v>1.3888888888888889E-3</v>
      </c>
      <c r="J153" s="2" t="s">
        <v>18</v>
      </c>
      <c r="K153" s="2" t="s">
        <v>29</v>
      </c>
      <c r="L153" s="2" t="s">
        <v>30</v>
      </c>
      <c r="M153" s="2" t="s">
        <v>78</v>
      </c>
      <c r="N153" s="2" t="s">
        <v>62</v>
      </c>
    </row>
    <row r="154" spans="1:14" x14ac:dyDescent="0.5">
      <c r="A154" s="2" t="s">
        <v>14</v>
      </c>
      <c r="B154" s="3">
        <v>28</v>
      </c>
      <c r="C154" s="4" t="s">
        <v>27</v>
      </c>
      <c r="D154" s="2" t="s">
        <v>16</v>
      </c>
      <c r="E154" s="2" t="s">
        <v>42</v>
      </c>
      <c r="F154" s="5">
        <v>3</v>
      </c>
      <c r="G154" s="1">
        <v>15000000</v>
      </c>
      <c r="H154" s="2">
        <v>1</v>
      </c>
      <c r="I154" s="6">
        <v>1.3888888888888889E-3</v>
      </c>
      <c r="J154" s="2" t="s">
        <v>18</v>
      </c>
      <c r="K154" s="2" t="s">
        <v>29</v>
      </c>
      <c r="L154" s="2" t="s">
        <v>48</v>
      </c>
      <c r="M154" s="2" t="s">
        <v>76</v>
      </c>
      <c r="N154" s="2" t="s">
        <v>31</v>
      </c>
    </row>
    <row r="155" spans="1:14" x14ac:dyDescent="0.5">
      <c r="A155" s="2" t="s">
        <v>14</v>
      </c>
      <c r="B155" s="3">
        <v>28</v>
      </c>
      <c r="C155" s="4" t="s">
        <v>27</v>
      </c>
      <c r="D155" s="2" t="s">
        <v>16</v>
      </c>
      <c r="E155" s="2" t="s">
        <v>42</v>
      </c>
      <c r="F155" s="5">
        <v>5</v>
      </c>
      <c r="G155" s="1">
        <v>25000000</v>
      </c>
      <c r="H155" s="2">
        <v>2</v>
      </c>
      <c r="I155" s="6">
        <v>1.3888888888888889E-3</v>
      </c>
      <c r="J155" s="2" t="s">
        <v>18</v>
      </c>
      <c r="K155" s="2" t="s">
        <v>35</v>
      </c>
      <c r="L155" s="2" t="s">
        <v>30</v>
      </c>
      <c r="M155" s="2" t="s">
        <v>76</v>
      </c>
      <c r="N155" s="2" t="s">
        <v>26</v>
      </c>
    </row>
    <row r="156" spans="1:14" x14ac:dyDescent="0.5">
      <c r="A156" s="2" t="s">
        <v>14</v>
      </c>
      <c r="B156" s="3">
        <v>29</v>
      </c>
      <c r="C156" s="4" t="s">
        <v>27</v>
      </c>
      <c r="D156" s="2" t="s">
        <v>32</v>
      </c>
      <c r="E156" s="2" t="s">
        <v>23</v>
      </c>
      <c r="F156" s="5">
        <v>1</v>
      </c>
      <c r="G156" s="1">
        <v>7000000</v>
      </c>
      <c r="H156" s="2">
        <v>3</v>
      </c>
      <c r="I156" s="6">
        <v>1.3888888888888889E-3</v>
      </c>
      <c r="J156" s="2" t="s">
        <v>18</v>
      </c>
      <c r="K156" s="2" t="s">
        <v>39</v>
      </c>
      <c r="L156" s="2" t="s">
        <v>33</v>
      </c>
      <c r="M156" s="2" t="s">
        <v>66</v>
      </c>
      <c r="N156" s="2" t="s">
        <v>67</v>
      </c>
    </row>
    <row r="157" spans="1:14" x14ac:dyDescent="0.5">
      <c r="A157" s="2" t="s">
        <v>14</v>
      </c>
      <c r="B157" s="3">
        <v>30</v>
      </c>
      <c r="C157" s="4" t="s">
        <v>27</v>
      </c>
      <c r="D157" s="2" t="s">
        <v>73</v>
      </c>
      <c r="E157" s="2" t="s">
        <v>23</v>
      </c>
      <c r="F157" s="5">
        <v>2</v>
      </c>
      <c r="G157" s="1">
        <v>12000000</v>
      </c>
      <c r="H157" s="2">
        <v>4</v>
      </c>
      <c r="I157" s="6">
        <v>1.3888888888888889E-3</v>
      </c>
      <c r="J157" s="2" t="s">
        <v>18</v>
      </c>
      <c r="K157" s="2" t="s">
        <v>29</v>
      </c>
      <c r="L157" s="2" t="s">
        <v>30</v>
      </c>
      <c r="M157" s="2" t="s">
        <v>78</v>
      </c>
      <c r="N157" s="2" t="s">
        <v>53</v>
      </c>
    </row>
    <row r="158" spans="1:14" x14ac:dyDescent="0.5">
      <c r="A158" s="2" t="s">
        <v>14</v>
      </c>
      <c r="B158" s="3">
        <v>11</v>
      </c>
      <c r="C158" s="4" t="s">
        <v>27</v>
      </c>
      <c r="D158" s="2" t="s">
        <v>38</v>
      </c>
      <c r="E158" s="2" t="s">
        <v>42</v>
      </c>
      <c r="F158" s="5">
        <v>3</v>
      </c>
      <c r="G158" s="1">
        <v>15000000</v>
      </c>
      <c r="H158" s="2">
        <v>1</v>
      </c>
      <c r="I158" s="6">
        <v>1.3888888888888889E-3</v>
      </c>
      <c r="J158" s="2" t="s">
        <v>18</v>
      </c>
      <c r="K158" s="2" t="s">
        <v>19</v>
      </c>
      <c r="L158" s="2" t="s">
        <v>33</v>
      </c>
      <c r="M158" s="2" t="s">
        <v>66</v>
      </c>
      <c r="N158" s="2" t="s">
        <v>67</v>
      </c>
    </row>
    <row r="159" spans="1:14" x14ac:dyDescent="0.5">
      <c r="A159" s="2" t="s">
        <v>14</v>
      </c>
      <c r="B159" s="3">
        <v>15</v>
      </c>
      <c r="C159" s="4" t="s">
        <v>27</v>
      </c>
      <c r="D159" s="2" t="s">
        <v>28</v>
      </c>
      <c r="E159" s="2" t="s">
        <v>23</v>
      </c>
      <c r="F159" s="5">
        <v>4</v>
      </c>
      <c r="G159" s="1">
        <v>15000000</v>
      </c>
      <c r="H159" s="2">
        <v>3</v>
      </c>
      <c r="I159" s="6">
        <v>1.3888888888888889E-3</v>
      </c>
      <c r="J159" s="2" t="s">
        <v>18</v>
      </c>
      <c r="K159" s="2" t="s">
        <v>29</v>
      </c>
      <c r="L159" s="2" t="s">
        <v>43</v>
      </c>
      <c r="M159" s="2" t="s">
        <v>78</v>
      </c>
      <c r="N159" s="2" t="s">
        <v>62</v>
      </c>
    </row>
    <row r="160" spans="1:14" x14ac:dyDescent="0.5">
      <c r="A160" s="2" t="s">
        <v>14</v>
      </c>
      <c r="B160" s="3">
        <v>20</v>
      </c>
      <c r="C160" s="4" t="s">
        <v>37</v>
      </c>
      <c r="D160" s="2" t="s">
        <v>32</v>
      </c>
      <c r="E160" s="2" t="s">
        <v>23</v>
      </c>
      <c r="F160" s="5">
        <v>2</v>
      </c>
      <c r="G160" s="1">
        <v>38000000</v>
      </c>
      <c r="H160" s="2">
        <v>1</v>
      </c>
      <c r="I160" s="6">
        <v>1.3888888888888889E-3</v>
      </c>
      <c r="J160" s="2" t="s">
        <v>74</v>
      </c>
      <c r="K160" s="2" t="s">
        <v>19</v>
      </c>
      <c r="L160" s="2" t="s">
        <v>43</v>
      </c>
      <c r="M160" s="2" t="s">
        <v>66</v>
      </c>
      <c r="N160" s="2" t="s">
        <v>67</v>
      </c>
    </row>
    <row r="161" spans="1:14" x14ac:dyDescent="0.5">
      <c r="A161" s="2" t="s">
        <v>14</v>
      </c>
      <c r="B161" s="3">
        <v>8</v>
      </c>
      <c r="C161" s="4" t="s">
        <v>37</v>
      </c>
      <c r="D161" s="2" t="s">
        <v>38</v>
      </c>
      <c r="E161" s="2" t="s">
        <v>45</v>
      </c>
      <c r="F161" s="5">
        <v>2</v>
      </c>
      <c r="G161" s="1">
        <v>38000000</v>
      </c>
      <c r="H161" s="2">
        <v>4</v>
      </c>
      <c r="I161" s="6">
        <v>1.3888888888888889E-3</v>
      </c>
      <c r="J161" s="2" t="s">
        <v>46</v>
      </c>
      <c r="K161" s="2" t="s">
        <v>19</v>
      </c>
      <c r="L161" s="2" t="s">
        <v>33</v>
      </c>
      <c r="M161" s="2" t="s">
        <v>66</v>
      </c>
      <c r="N161" s="2" t="s">
        <v>67</v>
      </c>
    </row>
    <row r="162" spans="1:14" x14ac:dyDescent="0.5">
      <c r="A162" s="2" t="s">
        <v>14</v>
      </c>
      <c r="B162" s="3">
        <v>27</v>
      </c>
      <c r="C162" s="4" t="s">
        <v>37</v>
      </c>
      <c r="D162" s="2" t="s">
        <v>16</v>
      </c>
      <c r="E162" s="2" t="s">
        <v>68</v>
      </c>
      <c r="F162" s="5">
        <v>2</v>
      </c>
      <c r="G162" s="1">
        <v>38000000</v>
      </c>
      <c r="H162" s="2">
        <v>1</v>
      </c>
      <c r="I162" s="6">
        <v>1.3888888888888889E-3</v>
      </c>
      <c r="J162" s="2" t="s">
        <v>46</v>
      </c>
      <c r="K162" s="2" t="s">
        <v>35</v>
      </c>
      <c r="L162" s="2" t="s">
        <v>48</v>
      </c>
      <c r="M162" s="2" t="s">
        <v>66</v>
      </c>
      <c r="N162" s="2" t="s">
        <v>67</v>
      </c>
    </row>
    <row r="163" spans="1:14" x14ac:dyDescent="0.5">
      <c r="A163" s="2" t="s">
        <v>14</v>
      </c>
      <c r="B163" s="3">
        <v>5</v>
      </c>
      <c r="C163" s="4" t="s">
        <v>37</v>
      </c>
      <c r="D163" s="2" t="s">
        <v>49</v>
      </c>
      <c r="E163" s="2" t="s">
        <v>23</v>
      </c>
      <c r="F163" s="5">
        <v>4</v>
      </c>
      <c r="G163" s="1">
        <v>15000000</v>
      </c>
      <c r="H163" s="2">
        <v>1</v>
      </c>
      <c r="I163" s="6">
        <v>1.3888888888888889E-3</v>
      </c>
      <c r="J163" s="2" t="s">
        <v>18</v>
      </c>
      <c r="K163" s="2" t="s">
        <v>19</v>
      </c>
      <c r="L163" s="2" t="s">
        <v>33</v>
      </c>
      <c r="M163" s="2" t="s">
        <v>66</v>
      </c>
      <c r="N163" s="2" t="s">
        <v>36</v>
      </c>
    </row>
    <row r="164" spans="1:14" x14ac:dyDescent="0.5">
      <c r="A164" s="2" t="s">
        <v>14</v>
      </c>
      <c r="B164" s="3">
        <v>27</v>
      </c>
      <c r="C164" s="4" t="s">
        <v>37</v>
      </c>
      <c r="D164" s="2" t="s">
        <v>28</v>
      </c>
      <c r="E164" s="2" t="s">
        <v>23</v>
      </c>
      <c r="F164" s="5">
        <v>4</v>
      </c>
      <c r="G164" s="1">
        <v>15000000</v>
      </c>
      <c r="H164" s="2">
        <v>1</v>
      </c>
      <c r="I164" s="6">
        <v>1.3888888888888889E-3</v>
      </c>
      <c r="J164" s="2" t="s">
        <v>18</v>
      </c>
      <c r="K164" s="2" t="s">
        <v>19</v>
      </c>
      <c r="L164" s="2" t="s">
        <v>20</v>
      </c>
      <c r="M164" s="2" t="s">
        <v>77</v>
      </c>
      <c r="N164" s="2" t="s">
        <v>54</v>
      </c>
    </row>
    <row r="165" spans="1:14" x14ac:dyDescent="0.5">
      <c r="A165" s="2" t="s">
        <v>14</v>
      </c>
      <c r="B165" s="3">
        <v>30</v>
      </c>
      <c r="C165" s="4" t="s">
        <v>37</v>
      </c>
      <c r="D165" s="2" t="s">
        <v>38</v>
      </c>
      <c r="E165" s="2" t="s">
        <v>23</v>
      </c>
      <c r="F165" s="5">
        <v>3</v>
      </c>
      <c r="G165" s="1">
        <v>15000000</v>
      </c>
      <c r="H165" s="2">
        <v>1</v>
      </c>
      <c r="I165" s="6">
        <v>1.3888888888888889E-3</v>
      </c>
      <c r="J165" s="2" t="s">
        <v>18</v>
      </c>
      <c r="K165" s="2" t="s">
        <v>47</v>
      </c>
      <c r="L165" s="2" t="s">
        <v>20</v>
      </c>
      <c r="M165" s="2" t="s">
        <v>77</v>
      </c>
      <c r="N165" s="2" t="s">
        <v>54</v>
      </c>
    </row>
    <row r="166" spans="1:14" x14ac:dyDescent="0.5">
      <c r="A166" s="2" t="s">
        <v>14</v>
      </c>
      <c r="B166" s="3">
        <v>1</v>
      </c>
      <c r="C166" s="4" t="s">
        <v>37</v>
      </c>
      <c r="D166" s="2" t="s">
        <v>38</v>
      </c>
      <c r="E166" s="2" t="s">
        <v>42</v>
      </c>
      <c r="F166" s="5">
        <v>2</v>
      </c>
      <c r="G166" s="1">
        <v>10000000</v>
      </c>
      <c r="H166" s="2">
        <v>1</v>
      </c>
      <c r="I166" s="6">
        <v>1.3888888888888889E-3</v>
      </c>
      <c r="J166" s="2" t="s">
        <v>18</v>
      </c>
      <c r="K166" s="2" t="s">
        <v>39</v>
      </c>
      <c r="L166" s="2" t="s">
        <v>43</v>
      </c>
      <c r="M166" s="2" t="s">
        <v>78</v>
      </c>
      <c r="N166" s="2" t="s">
        <v>66</v>
      </c>
    </row>
    <row r="167" spans="1:14" x14ac:dyDescent="0.5">
      <c r="A167" s="2" t="s">
        <v>14</v>
      </c>
      <c r="B167" s="3">
        <v>2</v>
      </c>
      <c r="C167" s="4" t="s">
        <v>37</v>
      </c>
      <c r="D167" s="2" t="s">
        <v>16</v>
      </c>
      <c r="E167" s="2" t="s">
        <v>42</v>
      </c>
      <c r="F167" s="5">
        <v>3</v>
      </c>
      <c r="G167" s="1">
        <v>11000000</v>
      </c>
      <c r="H167" s="2">
        <v>1</v>
      </c>
      <c r="I167" s="6">
        <v>1.3888888888888889E-3</v>
      </c>
      <c r="J167" s="2" t="s">
        <v>18</v>
      </c>
      <c r="K167" s="2" t="s">
        <v>47</v>
      </c>
      <c r="L167" s="2" t="s">
        <v>51</v>
      </c>
      <c r="M167" s="2" t="s">
        <v>77</v>
      </c>
      <c r="N167" s="2" t="s">
        <v>54</v>
      </c>
    </row>
    <row r="168" spans="1:14" x14ac:dyDescent="0.5">
      <c r="A168" s="2" t="s">
        <v>14</v>
      </c>
      <c r="B168" s="3">
        <v>6</v>
      </c>
      <c r="C168" s="4" t="s">
        <v>37</v>
      </c>
      <c r="D168" s="2" t="s">
        <v>16</v>
      </c>
      <c r="E168" s="2" t="s">
        <v>23</v>
      </c>
      <c r="F168" s="5">
        <v>5</v>
      </c>
      <c r="G168" s="1">
        <v>20000000</v>
      </c>
      <c r="H168" s="2">
        <v>1</v>
      </c>
      <c r="I168" s="6">
        <v>1.3888888888888889E-3</v>
      </c>
      <c r="J168" s="2" t="s">
        <v>18</v>
      </c>
      <c r="K168" s="2" t="s">
        <v>29</v>
      </c>
      <c r="L168" s="2" t="s">
        <v>51</v>
      </c>
      <c r="M168" s="2" t="s">
        <v>66</v>
      </c>
      <c r="N168" s="2" t="s">
        <v>36</v>
      </c>
    </row>
    <row r="169" spans="1:14" x14ac:dyDescent="0.5">
      <c r="A169" s="2" t="s">
        <v>14</v>
      </c>
      <c r="B169" s="3">
        <v>29</v>
      </c>
      <c r="C169" s="4" t="s">
        <v>37</v>
      </c>
      <c r="D169" s="2" t="s">
        <v>38</v>
      </c>
      <c r="E169" s="2" t="s">
        <v>17</v>
      </c>
      <c r="F169" s="5">
        <v>5</v>
      </c>
      <c r="G169" s="1">
        <v>25000000</v>
      </c>
      <c r="H169" s="2">
        <v>6</v>
      </c>
      <c r="I169" s="6">
        <v>1.3888888888888889E-3</v>
      </c>
      <c r="J169" s="2" t="s">
        <v>18</v>
      </c>
      <c r="K169" s="2" t="s">
        <v>19</v>
      </c>
      <c r="L169" s="2" t="s">
        <v>51</v>
      </c>
      <c r="M169" s="2" t="s">
        <v>78</v>
      </c>
      <c r="N169" s="2" t="s">
        <v>21</v>
      </c>
    </row>
    <row r="170" spans="1:14" x14ac:dyDescent="0.5">
      <c r="A170" s="2" t="s">
        <v>14</v>
      </c>
      <c r="B170" s="3">
        <v>22</v>
      </c>
      <c r="C170" s="4" t="s">
        <v>44</v>
      </c>
      <c r="D170" s="2" t="s">
        <v>32</v>
      </c>
      <c r="E170" s="2" t="s">
        <v>42</v>
      </c>
      <c r="F170" s="5">
        <v>1</v>
      </c>
      <c r="G170" s="1">
        <v>19000000</v>
      </c>
      <c r="H170" s="2">
        <v>5</v>
      </c>
      <c r="I170" s="6">
        <v>1.3888888888888889E-3</v>
      </c>
      <c r="J170" s="2" t="s">
        <v>46</v>
      </c>
      <c r="K170" s="2" t="s">
        <v>29</v>
      </c>
      <c r="L170" s="2" t="s">
        <v>20</v>
      </c>
      <c r="M170" s="2" t="s">
        <v>78</v>
      </c>
      <c r="N170" s="2" t="s">
        <v>53</v>
      </c>
    </row>
    <row r="171" spans="1:14" x14ac:dyDescent="0.5">
      <c r="A171" s="2" t="s">
        <v>14</v>
      </c>
      <c r="B171" s="3">
        <v>22</v>
      </c>
      <c r="C171" s="4" t="s">
        <v>44</v>
      </c>
      <c r="D171" s="2" t="s">
        <v>16</v>
      </c>
      <c r="E171" s="2" t="s">
        <v>23</v>
      </c>
      <c r="F171" s="5">
        <v>4</v>
      </c>
      <c r="G171" s="1">
        <v>20000000</v>
      </c>
      <c r="H171" s="2">
        <v>4</v>
      </c>
      <c r="I171" s="6">
        <v>1.3888888888888889E-3</v>
      </c>
      <c r="J171" s="2" t="s">
        <v>61</v>
      </c>
      <c r="K171" s="2" t="s">
        <v>56</v>
      </c>
      <c r="L171" s="2" t="s">
        <v>20</v>
      </c>
      <c r="M171" s="2" t="s">
        <v>76</v>
      </c>
      <c r="N171" s="2" t="s">
        <v>52</v>
      </c>
    </row>
    <row r="172" spans="1:14" x14ac:dyDescent="0.5">
      <c r="A172" s="2" t="s">
        <v>14</v>
      </c>
      <c r="B172" s="3">
        <v>15</v>
      </c>
      <c r="C172" s="4" t="s">
        <v>44</v>
      </c>
      <c r="D172" s="2" t="s">
        <v>28</v>
      </c>
      <c r="E172" s="2" t="s">
        <v>42</v>
      </c>
      <c r="F172" s="5">
        <v>2</v>
      </c>
      <c r="G172" s="1">
        <v>12000000</v>
      </c>
      <c r="H172" s="2">
        <v>2</v>
      </c>
      <c r="I172" s="6">
        <v>1.3888888888888889E-3</v>
      </c>
      <c r="J172" s="2" t="s">
        <v>18</v>
      </c>
      <c r="K172" s="2" t="s">
        <v>29</v>
      </c>
      <c r="L172" s="2" t="s">
        <v>30</v>
      </c>
      <c r="M172" s="2" t="s">
        <v>78</v>
      </c>
      <c r="N172" s="2" t="s">
        <v>21</v>
      </c>
    </row>
    <row r="173" spans="1:14" x14ac:dyDescent="0.5">
      <c r="A173" s="2" t="s">
        <v>14</v>
      </c>
      <c r="B173" s="3">
        <v>19</v>
      </c>
      <c r="C173" s="4" t="s">
        <v>44</v>
      </c>
      <c r="D173" s="2" t="s">
        <v>16</v>
      </c>
      <c r="E173" s="2" t="s">
        <v>17</v>
      </c>
      <c r="F173" s="5">
        <v>3</v>
      </c>
      <c r="G173" s="1">
        <v>15000000</v>
      </c>
      <c r="H173" s="2">
        <v>3</v>
      </c>
      <c r="I173" s="6">
        <v>1.3888888888888889E-3</v>
      </c>
      <c r="J173" s="2" t="s">
        <v>18</v>
      </c>
      <c r="K173" s="2" t="s">
        <v>39</v>
      </c>
      <c r="L173" s="2" t="s">
        <v>30</v>
      </c>
      <c r="M173" s="2" t="s">
        <v>76</v>
      </c>
      <c r="N173" s="2" t="s">
        <v>26</v>
      </c>
    </row>
    <row r="174" spans="1:14" x14ac:dyDescent="0.5">
      <c r="A174" s="2" t="s">
        <v>14</v>
      </c>
      <c r="B174" s="3">
        <v>17</v>
      </c>
      <c r="C174" s="4" t="s">
        <v>44</v>
      </c>
      <c r="D174" s="2" t="s">
        <v>28</v>
      </c>
      <c r="E174" s="2" t="s">
        <v>42</v>
      </c>
      <c r="F174" s="5">
        <v>1</v>
      </c>
      <c r="G174" s="1">
        <v>7000000</v>
      </c>
      <c r="H174" s="2">
        <v>3</v>
      </c>
      <c r="I174" s="6">
        <v>1.3888888888888889E-3</v>
      </c>
      <c r="J174" s="2" t="s">
        <v>18</v>
      </c>
      <c r="K174" s="2" t="s">
        <v>19</v>
      </c>
      <c r="L174" s="2" t="s">
        <v>43</v>
      </c>
      <c r="M174" s="2" t="s">
        <v>78</v>
      </c>
      <c r="N174" s="2" t="s">
        <v>41</v>
      </c>
    </row>
    <row r="175" spans="1:14" x14ac:dyDescent="0.5">
      <c r="A175" s="2" t="s">
        <v>14</v>
      </c>
      <c r="B175" s="3">
        <v>19</v>
      </c>
      <c r="C175" s="4" t="s">
        <v>44</v>
      </c>
      <c r="D175" s="2" t="s">
        <v>73</v>
      </c>
      <c r="E175" s="2" t="s">
        <v>42</v>
      </c>
      <c r="F175" s="5">
        <v>2</v>
      </c>
      <c r="G175" s="1">
        <v>12000000</v>
      </c>
      <c r="H175" s="2">
        <v>1</v>
      </c>
      <c r="I175" s="6">
        <v>1.3888888888888889E-3</v>
      </c>
      <c r="J175" s="2" t="s">
        <v>18</v>
      </c>
      <c r="K175" s="2" t="s">
        <v>24</v>
      </c>
      <c r="L175" s="2" t="s">
        <v>48</v>
      </c>
      <c r="M175" s="2" t="s">
        <v>76</v>
      </c>
      <c r="N175" s="2" t="s">
        <v>31</v>
      </c>
    </row>
    <row r="176" spans="1:14" x14ac:dyDescent="0.5">
      <c r="A176" s="2" t="s">
        <v>14</v>
      </c>
      <c r="B176" s="3">
        <v>14</v>
      </c>
      <c r="C176" s="4" t="s">
        <v>44</v>
      </c>
      <c r="D176" s="2" t="s">
        <v>38</v>
      </c>
      <c r="E176" s="2" t="s">
        <v>17</v>
      </c>
      <c r="F176" s="5">
        <v>5</v>
      </c>
      <c r="G176" s="1">
        <v>25000000</v>
      </c>
      <c r="H176" s="2">
        <v>1</v>
      </c>
      <c r="I176" s="6">
        <v>1.3888888888888889E-3</v>
      </c>
      <c r="J176" s="2" t="s">
        <v>18</v>
      </c>
      <c r="K176" s="2" t="s">
        <v>39</v>
      </c>
      <c r="L176" s="2" t="s">
        <v>51</v>
      </c>
      <c r="M176" s="2" t="s">
        <v>77</v>
      </c>
      <c r="N176" s="2" t="s">
        <v>65</v>
      </c>
    </row>
    <row r="177" spans="1:14" x14ac:dyDescent="0.5">
      <c r="A177" s="2" t="s">
        <v>14</v>
      </c>
      <c r="B177" s="3">
        <v>29</v>
      </c>
      <c r="C177" s="4" t="s">
        <v>69</v>
      </c>
      <c r="D177" s="2" t="s">
        <v>28</v>
      </c>
      <c r="E177" s="2" t="s">
        <v>42</v>
      </c>
      <c r="F177" s="5">
        <v>1</v>
      </c>
      <c r="G177" s="1">
        <v>19000000</v>
      </c>
      <c r="H177" s="2">
        <v>1</v>
      </c>
      <c r="I177" s="6">
        <v>1.3888888888888889E-3</v>
      </c>
      <c r="J177" s="2" t="s">
        <v>46</v>
      </c>
      <c r="K177" s="2" t="s">
        <v>50</v>
      </c>
      <c r="L177" s="2" t="s">
        <v>20</v>
      </c>
      <c r="M177" s="2" t="s">
        <v>76</v>
      </c>
      <c r="N177" s="2" t="s">
        <v>75</v>
      </c>
    </row>
    <row r="178" spans="1:14" x14ac:dyDescent="0.5">
      <c r="A178" s="2" t="s">
        <v>14</v>
      </c>
      <c r="B178" s="3">
        <v>13</v>
      </c>
      <c r="C178" s="4" t="s">
        <v>69</v>
      </c>
      <c r="D178" s="2" t="s">
        <v>49</v>
      </c>
      <c r="E178" s="2" t="s">
        <v>42</v>
      </c>
      <c r="F178" s="5">
        <v>2</v>
      </c>
      <c r="G178" s="1">
        <v>12000000</v>
      </c>
      <c r="H178" s="2">
        <v>5</v>
      </c>
      <c r="I178" s="6">
        <v>1.3888888888888889E-3</v>
      </c>
      <c r="J178" s="2" t="s">
        <v>18</v>
      </c>
      <c r="K178" s="2" t="s">
        <v>19</v>
      </c>
      <c r="L178" s="2" t="s">
        <v>30</v>
      </c>
      <c r="M178" s="2" t="s">
        <v>78</v>
      </c>
      <c r="N178" s="2" t="s">
        <v>62</v>
      </c>
    </row>
    <row r="179" spans="1:14" x14ac:dyDescent="0.5">
      <c r="A179" s="2" t="s">
        <v>14</v>
      </c>
      <c r="B179" s="3">
        <v>26</v>
      </c>
      <c r="C179" s="4" t="s">
        <v>69</v>
      </c>
      <c r="D179" s="2" t="s">
        <v>32</v>
      </c>
      <c r="E179" s="2" t="s">
        <v>23</v>
      </c>
      <c r="F179" s="5">
        <v>5</v>
      </c>
      <c r="G179" s="1">
        <v>25000000</v>
      </c>
      <c r="H179" s="2">
        <v>2</v>
      </c>
      <c r="I179" s="6">
        <v>1.3888888888888889E-3</v>
      </c>
      <c r="J179" s="2" t="s">
        <v>18</v>
      </c>
      <c r="K179" s="2" t="s">
        <v>29</v>
      </c>
      <c r="L179" s="2" t="s">
        <v>30</v>
      </c>
      <c r="M179" s="2" t="s">
        <v>66</v>
      </c>
      <c r="N179" s="2" t="s">
        <v>36</v>
      </c>
    </row>
    <row r="180" spans="1:14" x14ac:dyDescent="0.5">
      <c r="A180" s="2" t="s">
        <v>14</v>
      </c>
      <c r="B180" s="3">
        <v>16</v>
      </c>
      <c r="C180" s="4" t="s">
        <v>69</v>
      </c>
      <c r="D180" s="2" t="s">
        <v>16</v>
      </c>
      <c r="E180" s="2" t="s">
        <v>23</v>
      </c>
      <c r="F180" s="5">
        <v>3</v>
      </c>
      <c r="G180" s="1">
        <v>15000000</v>
      </c>
      <c r="H180" s="2">
        <v>3</v>
      </c>
      <c r="I180" s="6">
        <v>1.3888888888888889E-3</v>
      </c>
      <c r="J180" s="2" t="s">
        <v>18</v>
      </c>
      <c r="K180" s="2" t="s">
        <v>24</v>
      </c>
      <c r="L180" s="2" t="s">
        <v>33</v>
      </c>
      <c r="M180" s="2" t="s">
        <v>76</v>
      </c>
      <c r="N180" s="2" t="s">
        <v>31</v>
      </c>
    </row>
    <row r="181" spans="1:14" x14ac:dyDescent="0.5">
      <c r="A181" s="2" t="s">
        <v>14</v>
      </c>
      <c r="B181" s="3">
        <v>14</v>
      </c>
      <c r="C181" s="4" t="s">
        <v>69</v>
      </c>
      <c r="D181" s="2" t="s">
        <v>32</v>
      </c>
      <c r="E181" s="2" t="s">
        <v>17</v>
      </c>
      <c r="F181" s="5">
        <v>1</v>
      </c>
      <c r="G181" s="1">
        <v>7000000</v>
      </c>
      <c r="H181" s="2">
        <v>1</v>
      </c>
      <c r="I181" s="6">
        <v>1.3888888888888889E-3</v>
      </c>
      <c r="J181" s="2" t="s">
        <v>18</v>
      </c>
      <c r="K181" s="2" t="s">
        <v>39</v>
      </c>
      <c r="L181" s="2" t="s">
        <v>48</v>
      </c>
      <c r="M181" s="2" t="s">
        <v>78</v>
      </c>
      <c r="N181" s="2" t="s">
        <v>53</v>
      </c>
    </row>
    <row r="182" spans="1:14" x14ac:dyDescent="0.5">
      <c r="A182" s="2" t="s">
        <v>14</v>
      </c>
      <c r="B182" s="3">
        <v>16</v>
      </c>
      <c r="C182" s="4" t="s">
        <v>55</v>
      </c>
      <c r="D182" s="2" t="s">
        <v>38</v>
      </c>
      <c r="E182" s="2" t="s">
        <v>23</v>
      </c>
      <c r="F182" s="5">
        <v>5</v>
      </c>
      <c r="G182" s="1">
        <v>25000000</v>
      </c>
      <c r="H182" s="2">
        <v>1</v>
      </c>
      <c r="I182" s="6">
        <v>1.3888888888888889E-3</v>
      </c>
      <c r="J182" s="2" t="s">
        <v>18</v>
      </c>
      <c r="K182" s="2" t="s">
        <v>47</v>
      </c>
      <c r="L182" s="2" t="s">
        <v>48</v>
      </c>
      <c r="M182" s="2" t="s">
        <v>76</v>
      </c>
      <c r="N182" s="2" t="s">
        <v>31</v>
      </c>
    </row>
    <row r="183" spans="1:14" x14ac:dyDescent="0.5">
      <c r="A183" s="2" t="s">
        <v>14</v>
      </c>
      <c r="B183" s="3">
        <v>1</v>
      </c>
      <c r="C183" s="4" t="s">
        <v>57</v>
      </c>
      <c r="D183" s="2" t="s">
        <v>32</v>
      </c>
      <c r="E183" s="2" t="s">
        <v>23</v>
      </c>
      <c r="F183" s="5">
        <v>1</v>
      </c>
      <c r="G183" s="1">
        <v>7000000</v>
      </c>
      <c r="H183" s="2">
        <v>2</v>
      </c>
      <c r="I183" s="6">
        <v>1.3888888888888889E-3</v>
      </c>
      <c r="J183" s="2" t="s">
        <v>18</v>
      </c>
      <c r="K183" s="2" t="s">
        <v>24</v>
      </c>
      <c r="L183" s="2" t="s">
        <v>33</v>
      </c>
      <c r="M183" s="2" t="s">
        <v>76</v>
      </c>
      <c r="N183" s="2" t="s">
        <v>31</v>
      </c>
    </row>
    <row r="184" spans="1:14" x14ac:dyDescent="0.5">
      <c r="A184" s="2" t="s">
        <v>14</v>
      </c>
      <c r="B184" s="3">
        <v>11</v>
      </c>
      <c r="C184" s="4" t="s">
        <v>57</v>
      </c>
      <c r="D184" s="2" t="s">
        <v>32</v>
      </c>
      <c r="E184" s="2" t="s">
        <v>45</v>
      </c>
      <c r="F184" s="5">
        <v>2</v>
      </c>
      <c r="G184" s="1">
        <v>12000000</v>
      </c>
      <c r="H184" s="2">
        <v>2</v>
      </c>
      <c r="I184" s="6">
        <v>1.3888888888888889E-3</v>
      </c>
      <c r="J184" s="2" t="s">
        <v>18</v>
      </c>
      <c r="K184" s="2" t="s">
        <v>24</v>
      </c>
      <c r="L184" s="2" t="s">
        <v>40</v>
      </c>
      <c r="M184" s="2" t="s">
        <v>78</v>
      </c>
      <c r="N184" s="2" t="s">
        <v>63</v>
      </c>
    </row>
    <row r="185" spans="1:14" x14ac:dyDescent="0.5">
      <c r="A185" s="2" t="s">
        <v>14</v>
      </c>
      <c r="B185" s="3">
        <v>11</v>
      </c>
      <c r="C185" s="4" t="s">
        <v>57</v>
      </c>
      <c r="D185" s="2" t="s">
        <v>16</v>
      </c>
      <c r="E185" s="2" t="s">
        <v>23</v>
      </c>
      <c r="F185" s="5">
        <v>3</v>
      </c>
      <c r="G185" s="1">
        <v>15000000</v>
      </c>
      <c r="H185" s="2">
        <v>1</v>
      </c>
      <c r="I185" s="6">
        <v>1.3888888888888889E-3</v>
      </c>
      <c r="J185" s="2" t="s">
        <v>18</v>
      </c>
      <c r="K185" s="2" t="s">
        <v>39</v>
      </c>
      <c r="L185" s="2" t="s">
        <v>48</v>
      </c>
      <c r="M185" s="2" t="s">
        <v>66</v>
      </c>
      <c r="N185" s="2" t="s">
        <v>36</v>
      </c>
    </row>
    <row r="186" spans="1:14" x14ac:dyDescent="0.5">
      <c r="A186" s="2" t="s">
        <v>14</v>
      </c>
      <c r="B186" s="3">
        <v>1</v>
      </c>
      <c r="C186" s="4" t="s">
        <v>15</v>
      </c>
      <c r="D186" s="2" t="s">
        <v>16</v>
      </c>
      <c r="E186" s="2" t="s">
        <v>17</v>
      </c>
      <c r="F186" s="5">
        <v>1</v>
      </c>
      <c r="G186" s="1">
        <v>19000000</v>
      </c>
      <c r="H186" s="2">
        <v>1</v>
      </c>
      <c r="I186" s="6">
        <v>1.3888888888888889E-3</v>
      </c>
      <c r="J186" s="2" t="s">
        <v>46</v>
      </c>
      <c r="K186" s="2" t="s">
        <v>39</v>
      </c>
      <c r="L186" s="2" t="s">
        <v>43</v>
      </c>
      <c r="M186" s="2" t="s">
        <v>78</v>
      </c>
      <c r="N186" s="2" t="s">
        <v>66</v>
      </c>
    </row>
    <row r="187" spans="1:14" x14ac:dyDescent="0.5">
      <c r="A187" s="2" t="s">
        <v>14</v>
      </c>
      <c r="B187" s="3">
        <v>1</v>
      </c>
      <c r="C187" s="4" t="s">
        <v>15</v>
      </c>
      <c r="D187" s="2" t="s">
        <v>38</v>
      </c>
      <c r="E187" s="2" t="s">
        <v>23</v>
      </c>
      <c r="F187" s="5">
        <v>4</v>
      </c>
      <c r="G187" s="1">
        <v>20000000</v>
      </c>
      <c r="H187" s="2">
        <v>3</v>
      </c>
      <c r="I187" s="6">
        <v>1.3888888888888889E-3</v>
      </c>
      <c r="J187" s="2" t="s">
        <v>61</v>
      </c>
      <c r="K187" s="2" t="s">
        <v>39</v>
      </c>
      <c r="L187" s="2" t="s">
        <v>48</v>
      </c>
      <c r="M187" s="2" t="s">
        <v>66</v>
      </c>
      <c r="N187" s="2" t="s">
        <v>67</v>
      </c>
    </row>
    <row r="188" spans="1:14" x14ac:dyDescent="0.5">
      <c r="A188" s="2" t="s">
        <v>14</v>
      </c>
      <c r="B188" s="3">
        <v>1</v>
      </c>
      <c r="C188" s="4" t="s">
        <v>15</v>
      </c>
      <c r="D188" s="2" t="s">
        <v>16</v>
      </c>
      <c r="E188" s="2" t="s">
        <v>42</v>
      </c>
      <c r="F188" s="5">
        <v>3</v>
      </c>
      <c r="G188" s="1">
        <v>15000000</v>
      </c>
      <c r="H188" s="2">
        <v>1</v>
      </c>
      <c r="I188" s="6">
        <v>1.3888888888888889E-3</v>
      </c>
      <c r="J188" s="2" t="s">
        <v>18</v>
      </c>
      <c r="K188" s="2" t="s">
        <v>56</v>
      </c>
      <c r="L188" s="2" t="s">
        <v>51</v>
      </c>
      <c r="M188" s="2" t="s">
        <v>77</v>
      </c>
      <c r="N188" s="2" t="s">
        <v>34</v>
      </c>
    </row>
    <row r="189" spans="1:14" x14ac:dyDescent="0.5">
      <c r="A189" s="2" t="s">
        <v>14</v>
      </c>
      <c r="B189" s="3">
        <v>1</v>
      </c>
      <c r="C189" s="4" t="s">
        <v>59</v>
      </c>
      <c r="D189" s="2" t="s">
        <v>16</v>
      </c>
      <c r="E189" s="2" t="s">
        <v>17</v>
      </c>
      <c r="F189" s="5">
        <v>4</v>
      </c>
      <c r="G189" s="1">
        <v>20000000</v>
      </c>
      <c r="H189" s="2">
        <v>4</v>
      </c>
      <c r="I189" s="6">
        <v>1.3888888888888889E-3</v>
      </c>
      <c r="J189" s="2" t="s">
        <v>61</v>
      </c>
      <c r="K189" s="2" t="s">
        <v>39</v>
      </c>
      <c r="L189" s="2" t="s">
        <v>25</v>
      </c>
      <c r="M189" s="2" t="s">
        <v>78</v>
      </c>
      <c r="N189" s="2" t="s">
        <v>62</v>
      </c>
    </row>
    <row r="190" spans="1:14" x14ac:dyDescent="0.5">
      <c r="A190" s="2" t="s">
        <v>14</v>
      </c>
      <c r="B190" s="3">
        <v>4</v>
      </c>
      <c r="C190" s="4" t="s">
        <v>59</v>
      </c>
      <c r="D190" s="2" t="s">
        <v>73</v>
      </c>
      <c r="E190" s="2" t="s">
        <v>17</v>
      </c>
      <c r="F190" s="5">
        <v>3</v>
      </c>
      <c r="G190" s="1">
        <v>15000000</v>
      </c>
      <c r="H190" s="2">
        <v>1</v>
      </c>
      <c r="I190" s="6">
        <v>1.3888888888888889E-3</v>
      </c>
      <c r="J190" s="2" t="s">
        <v>18</v>
      </c>
      <c r="K190" s="2" t="s">
        <v>35</v>
      </c>
      <c r="L190" s="2" t="s">
        <v>43</v>
      </c>
      <c r="M190" s="2" t="s">
        <v>76</v>
      </c>
      <c r="N190" s="2" t="s">
        <v>31</v>
      </c>
    </row>
    <row r="191" spans="1:14" x14ac:dyDescent="0.5">
      <c r="A191" s="2" t="s">
        <v>14</v>
      </c>
      <c r="B191" s="3">
        <v>11</v>
      </c>
      <c r="C191" s="4" t="s">
        <v>59</v>
      </c>
      <c r="D191" s="2" t="s">
        <v>38</v>
      </c>
      <c r="E191" s="2" t="s">
        <v>23</v>
      </c>
      <c r="F191" s="5">
        <v>5</v>
      </c>
      <c r="G191" s="1">
        <v>25000000</v>
      </c>
      <c r="H191" s="2">
        <v>4</v>
      </c>
      <c r="I191" s="6">
        <v>1.3888888888888889E-3</v>
      </c>
      <c r="J191" s="2" t="s">
        <v>18</v>
      </c>
      <c r="K191" s="2" t="s">
        <v>29</v>
      </c>
      <c r="L191" s="2" t="s">
        <v>43</v>
      </c>
      <c r="M191" s="2" t="s">
        <v>76</v>
      </c>
      <c r="N191" s="2" t="s">
        <v>52</v>
      </c>
    </row>
    <row r="192" spans="1:14" x14ac:dyDescent="0.5">
      <c r="A192" s="2" t="s">
        <v>14</v>
      </c>
      <c r="B192" s="3">
        <v>12</v>
      </c>
      <c r="C192" s="4" t="s">
        <v>72</v>
      </c>
      <c r="D192" s="2" t="s">
        <v>38</v>
      </c>
      <c r="E192" s="2" t="s">
        <v>23</v>
      </c>
      <c r="F192" s="5">
        <v>2</v>
      </c>
      <c r="G192" s="1">
        <v>12000000</v>
      </c>
      <c r="H192" s="2">
        <v>4</v>
      </c>
      <c r="I192" s="6">
        <v>1.3888888888888889E-3</v>
      </c>
      <c r="J192" s="2" t="s">
        <v>18</v>
      </c>
      <c r="K192" s="2" t="s">
        <v>35</v>
      </c>
      <c r="L192" s="2" t="s">
        <v>25</v>
      </c>
      <c r="M192" s="2" t="s">
        <v>77</v>
      </c>
      <c r="N192" s="2" t="s">
        <v>54</v>
      </c>
    </row>
    <row r="193" spans="1:14" x14ac:dyDescent="0.5">
      <c r="A193" s="2" t="s">
        <v>14</v>
      </c>
      <c r="B193" s="3">
        <v>31</v>
      </c>
      <c r="C193" s="4" t="s">
        <v>22</v>
      </c>
      <c r="D193" s="2" t="s">
        <v>16</v>
      </c>
      <c r="E193" s="2" t="s">
        <v>23</v>
      </c>
      <c r="F193" s="5">
        <v>1</v>
      </c>
      <c r="G193" s="1">
        <v>19000000</v>
      </c>
      <c r="H193" s="2">
        <v>3</v>
      </c>
      <c r="I193" s="6">
        <v>1.3888888888888889E-3</v>
      </c>
      <c r="J193" s="2" t="s">
        <v>46</v>
      </c>
      <c r="K193" s="2" t="s">
        <v>56</v>
      </c>
      <c r="L193" s="2" t="s">
        <v>25</v>
      </c>
      <c r="M193" s="2" t="s">
        <v>76</v>
      </c>
      <c r="N193" s="2" t="s">
        <v>52</v>
      </c>
    </row>
    <row r="194" spans="1:14" x14ac:dyDescent="0.5">
      <c r="A194" s="2" t="s">
        <v>14</v>
      </c>
      <c r="B194" s="3">
        <v>2</v>
      </c>
      <c r="C194" s="4" t="s">
        <v>22</v>
      </c>
      <c r="D194" s="2" t="s">
        <v>28</v>
      </c>
      <c r="E194" s="2" t="s">
        <v>45</v>
      </c>
      <c r="F194" s="5">
        <v>2</v>
      </c>
      <c r="G194" s="1">
        <v>12000000</v>
      </c>
      <c r="H194" s="2">
        <v>2</v>
      </c>
      <c r="I194" s="6">
        <v>1.3888888888888889E-3</v>
      </c>
      <c r="J194" s="2" t="s">
        <v>18</v>
      </c>
      <c r="K194" s="2" t="s">
        <v>56</v>
      </c>
      <c r="L194" s="2" t="s">
        <v>30</v>
      </c>
      <c r="M194" s="2" t="s">
        <v>78</v>
      </c>
      <c r="N194" s="2" t="s">
        <v>66</v>
      </c>
    </row>
    <row r="195" spans="1:14" x14ac:dyDescent="0.5">
      <c r="A195" s="2" t="s">
        <v>14</v>
      </c>
      <c r="B195" s="3">
        <v>9</v>
      </c>
      <c r="C195" s="4" t="s">
        <v>22</v>
      </c>
      <c r="D195" s="2" t="s">
        <v>16</v>
      </c>
      <c r="E195" s="2" t="s">
        <v>42</v>
      </c>
      <c r="F195" s="5">
        <v>3</v>
      </c>
      <c r="G195" s="1">
        <v>12000000</v>
      </c>
      <c r="H195" s="2">
        <v>5</v>
      </c>
      <c r="I195" s="6">
        <v>1.3888888888888889E-3</v>
      </c>
      <c r="J195" s="2" t="s">
        <v>18</v>
      </c>
      <c r="K195" s="2" t="s">
        <v>64</v>
      </c>
      <c r="L195" s="2" t="s">
        <v>40</v>
      </c>
      <c r="M195" s="2" t="s">
        <v>76</v>
      </c>
      <c r="N195" s="2" t="s">
        <v>52</v>
      </c>
    </row>
    <row r="196" spans="1:14" x14ac:dyDescent="0.5">
      <c r="A196" s="2" t="s">
        <v>14</v>
      </c>
      <c r="B196" s="3">
        <v>25</v>
      </c>
      <c r="C196" s="4" t="s">
        <v>22</v>
      </c>
      <c r="D196" s="2" t="s">
        <v>32</v>
      </c>
      <c r="E196" s="2" t="s">
        <v>42</v>
      </c>
      <c r="F196" s="5">
        <v>2</v>
      </c>
      <c r="G196" s="1">
        <v>10000000</v>
      </c>
      <c r="H196" s="2">
        <v>4</v>
      </c>
      <c r="I196" s="6">
        <v>1.3888888888888889E-3</v>
      </c>
      <c r="J196" s="2" t="s">
        <v>18</v>
      </c>
      <c r="K196" s="2" t="s">
        <v>64</v>
      </c>
      <c r="L196" s="2" t="s">
        <v>33</v>
      </c>
      <c r="M196" s="2" t="s">
        <v>76</v>
      </c>
      <c r="N196" s="2" t="s">
        <v>31</v>
      </c>
    </row>
    <row r="197" spans="1:14" x14ac:dyDescent="0.5">
      <c r="A197" s="2" t="s">
        <v>70</v>
      </c>
      <c r="B197" s="3">
        <v>8</v>
      </c>
      <c r="C197" s="4" t="s">
        <v>72</v>
      </c>
      <c r="D197" s="2" t="s">
        <v>28</v>
      </c>
      <c r="E197" s="2" t="s">
        <v>17</v>
      </c>
      <c r="F197" s="5">
        <v>0</v>
      </c>
      <c r="G197" s="1">
        <v>0</v>
      </c>
      <c r="H197" s="2">
        <v>3</v>
      </c>
      <c r="I197" s="6">
        <v>1.3888888888888889E-3</v>
      </c>
      <c r="J197" s="2"/>
      <c r="K197" s="2"/>
      <c r="L197" s="2" t="s">
        <v>30</v>
      </c>
      <c r="M197" s="2" t="s">
        <v>76</v>
      </c>
      <c r="N197" s="2" t="s">
        <v>52</v>
      </c>
    </row>
    <row r="198" spans="1:14" x14ac:dyDescent="0.5">
      <c r="A198" s="2" t="s">
        <v>70</v>
      </c>
      <c r="B198" s="3">
        <v>5</v>
      </c>
      <c r="C198" s="4" t="s">
        <v>72</v>
      </c>
      <c r="D198" s="2" t="s">
        <v>38</v>
      </c>
      <c r="E198" s="2" t="s">
        <v>42</v>
      </c>
      <c r="F198" s="5">
        <v>0</v>
      </c>
      <c r="G198" s="1">
        <v>0</v>
      </c>
      <c r="H198" s="2">
        <v>1</v>
      </c>
      <c r="I198" s="6">
        <v>1.3888888888888889E-3</v>
      </c>
      <c r="J198" s="2"/>
      <c r="K198" s="2"/>
      <c r="L198" s="2" t="s">
        <v>33</v>
      </c>
      <c r="M198" s="2" t="s">
        <v>78</v>
      </c>
      <c r="N198" s="2" t="s">
        <v>41</v>
      </c>
    </row>
    <row r="199" spans="1:14" x14ac:dyDescent="0.5">
      <c r="A199" s="2" t="s">
        <v>70</v>
      </c>
      <c r="B199" s="3">
        <v>2</v>
      </c>
      <c r="C199" s="4" t="s">
        <v>27</v>
      </c>
      <c r="D199" s="2" t="s">
        <v>49</v>
      </c>
      <c r="E199" s="2" t="s">
        <v>42</v>
      </c>
      <c r="F199" s="5">
        <v>0</v>
      </c>
      <c r="G199" s="1">
        <v>0</v>
      </c>
      <c r="H199" s="2">
        <v>2</v>
      </c>
      <c r="I199" s="6">
        <v>1.3888888888888889E-3</v>
      </c>
      <c r="J199" s="2"/>
      <c r="K199" s="2"/>
      <c r="L199" s="2" t="s">
        <v>30</v>
      </c>
      <c r="M199" s="2" t="s">
        <v>77</v>
      </c>
      <c r="N199" s="2" t="s">
        <v>65</v>
      </c>
    </row>
    <row r="200" spans="1:14" x14ac:dyDescent="0.5">
      <c r="A200" s="2" t="s">
        <v>70</v>
      </c>
      <c r="B200" s="3">
        <v>20</v>
      </c>
      <c r="C200" s="4" t="s">
        <v>27</v>
      </c>
      <c r="D200" s="2" t="s">
        <v>38</v>
      </c>
      <c r="E200" s="2" t="s">
        <v>42</v>
      </c>
      <c r="F200" s="5">
        <v>0</v>
      </c>
      <c r="G200" s="1">
        <v>0</v>
      </c>
      <c r="H200" s="2">
        <v>1</v>
      </c>
      <c r="I200" s="6">
        <v>1.3888888888888889E-3</v>
      </c>
      <c r="J200" s="2"/>
      <c r="K200" s="2"/>
      <c r="L200" s="2" t="s">
        <v>40</v>
      </c>
      <c r="M200" s="2" t="s">
        <v>76</v>
      </c>
      <c r="N200" s="2" t="s">
        <v>31</v>
      </c>
    </row>
    <row r="201" spans="1:14" x14ac:dyDescent="0.5">
      <c r="A201" s="2" t="s">
        <v>70</v>
      </c>
      <c r="B201" s="3">
        <v>22</v>
      </c>
      <c r="C201" s="4" t="s">
        <v>27</v>
      </c>
      <c r="D201" s="2" t="s">
        <v>16</v>
      </c>
      <c r="E201" s="2" t="s">
        <v>23</v>
      </c>
      <c r="F201" s="5">
        <v>0</v>
      </c>
      <c r="G201" s="1">
        <v>0</v>
      </c>
      <c r="H201" s="2">
        <v>3</v>
      </c>
      <c r="I201" s="6">
        <v>1.3888888888888889E-3</v>
      </c>
      <c r="J201" s="2"/>
      <c r="K201" s="2"/>
      <c r="L201" s="2" t="s">
        <v>43</v>
      </c>
      <c r="M201" s="2" t="s">
        <v>76</v>
      </c>
      <c r="N201" s="2" t="s">
        <v>31</v>
      </c>
    </row>
    <row r="202" spans="1:14" x14ac:dyDescent="0.5">
      <c r="A202" s="2" t="s">
        <v>70</v>
      </c>
      <c r="B202" s="3">
        <v>15</v>
      </c>
      <c r="C202" s="4" t="s">
        <v>27</v>
      </c>
      <c r="D202" s="2" t="s">
        <v>16</v>
      </c>
      <c r="E202" s="2" t="s">
        <v>23</v>
      </c>
      <c r="F202" s="5">
        <v>0</v>
      </c>
      <c r="G202" s="1">
        <v>0</v>
      </c>
      <c r="H202" s="2">
        <v>3</v>
      </c>
      <c r="I202" s="6">
        <v>1.3888888888888889E-3</v>
      </c>
      <c r="J202" s="2"/>
      <c r="K202" s="2"/>
      <c r="L202" s="2" t="s">
        <v>51</v>
      </c>
      <c r="M202" s="2" t="s">
        <v>66</v>
      </c>
      <c r="N202" s="2" t="s">
        <v>67</v>
      </c>
    </row>
    <row r="203" spans="1:14" x14ac:dyDescent="0.5">
      <c r="A203" s="2" t="s">
        <v>70</v>
      </c>
      <c r="B203" s="3">
        <v>21</v>
      </c>
      <c r="C203" s="4" t="s">
        <v>27</v>
      </c>
      <c r="D203" s="2" t="s">
        <v>38</v>
      </c>
      <c r="E203" s="2" t="s">
        <v>42</v>
      </c>
      <c r="F203" s="5">
        <v>0</v>
      </c>
      <c r="G203" s="1">
        <v>0</v>
      </c>
      <c r="H203" s="2">
        <v>2</v>
      </c>
      <c r="I203" s="6">
        <v>1.3888888888888889E-3</v>
      </c>
      <c r="J203" s="2"/>
      <c r="K203" s="2"/>
      <c r="L203" s="2" t="s">
        <v>51</v>
      </c>
      <c r="M203" s="2" t="s">
        <v>77</v>
      </c>
      <c r="N203" s="2" t="s">
        <v>34</v>
      </c>
    </row>
    <row r="204" spans="1:14" x14ac:dyDescent="0.5">
      <c r="A204" s="2" t="s">
        <v>70</v>
      </c>
      <c r="B204" s="3">
        <v>24</v>
      </c>
      <c r="C204" s="4" t="s">
        <v>37</v>
      </c>
      <c r="D204" s="2" t="s">
        <v>38</v>
      </c>
      <c r="E204" s="2" t="s">
        <v>23</v>
      </c>
      <c r="F204" s="5">
        <v>0</v>
      </c>
      <c r="G204" s="1">
        <v>0</v>
      </c>
      <c r="H204" s="2">
        <v>1</v>
      </c>
      <c r="I204" s="6">
        <v>1.3888888888888889E-3</v>
      </c>
      <c r="J204" s="2"/>
      <c r="K204" s="2"/>
      <c r="L204" s="2" t="s">
        <v>33</v>
      </c>
      <c r="M204" s="2" t="s">
        <v>66</v>
      </c>
      <c r="N204" s="2" t="s">
        <v>67</v>
      </c>
    </row>
    <row r="205" spans="1:14" x14ac:dyDescent="0.5">
      <c r="A205" s="2" t="s">
        <v>70</v>
      </c>
      <c r="B205" s="3">
        <v>5</v>
      </c>
      <c r="C205" s="4" t="s">
        <v>37</v>
      </c>
      <c r="D205" s="2" t="s">
        <v>32</v>
      </c>
      <c r="E205" s="2" t="s">
        <v>17</v>
      </c>
      <c r="F205" s="5">
        <v>0</v>
      </c>
      <c r="G205" s="1">
        <v>0</v>
      </c>
      <c r="H205" s="2">
        <v>5</v>
      </c>
      <c r="I205" s="6">
        <v>1.3888888888888889E-3</v>
      </c>
      <c r="J205" s="2"/>
      <c r="K205" s="2"/>
      <c r="L205" s="2" t="s">
        <v>48</v>
      </c>
      <c r="M205" s="2" t="s">
        <v>78</v>
      </c>
      <c r="N205" s="2" t="s">
        <v>66</v>
      </c>
    </row>
    <row r="206" spans="1:14" x14ac:dyDescent="0.5">
      <c r="A206" s="2" t="s">
        <v>70</v>
      </c>
      <c r="B206" s="3">
        <v>15</v>
      </c>
      <c r="C206" s="4" t="s">
        <v>44</v>
      </c>
      <c r="D206" s="2" t="s">
        <v>16</v>
      </c>
      <c r="E206" s="2" t="s">
        <v>23</v>
      </c>
      <c r="F206" s="5">
        <v>0</v>
      </c>
      <c r="G206" s="1">
        <v>0</v>
      </c>
      <c r="H206" s="2">
        <v>1</v>
      </c>
      <c r="I206" s="6">
        <v>1.3888888888888889E-3</v>
      </c>
      <c r="J206" s="2"/>
      <c r="K206" s="2"/>
      <c r="L206" s="2" t="s">
        <v>30</v>
      </c>
      <c r="M206" s="2" t="s">
        <v>76</v>
      </c>
      <c r="N206" s="2" t="s">
        <v>31</v>
      </c>
    </row>
    <row r="207" spans="1:14" x14ac:dyDescent="0.5">
      <c r="A207" s="2" t="s">
        <v>70</v>
      </c>
      <c r="B207" s="3">
        <v>29</v>
      </c>
      <c r="C207" s="4" t="s">
        <v>44</v>
      </c>
      <c r="D207" s="2" t="s">
        <v>32</v>
      </c>
      <c r="E207" s="2" t="s">
        <v>17</v>
      </c>
      <c r="F207" s="5">
        <v>0</v>
      </c>
      <c r="G207" s="1">
        <v>0</v>
      </c>
      <c r="H207" s="2">
        <v>4</v>
      </c>
      <c r="I207" s="6">
        <v>1.3888888888888889E-3</v>
      </c>
      <c r="J207" s="2"/>
      <c r="K207" s="2"/>
      <c r="L207" s="2" t="s">
        <v>40</v>
      </c>
      <c r="M207" s="2" t="s">
        <v>78</v>
      </c>
      <c r="N207" s="2" t="s">
        <v>63</v>
      </c>
    </row>
    <row r="208" spans="1:14" x14ac:dyDescent="0.5">
      <c r="A208" s="2" t="s">
        <v>70</v>
      </c>
      <c r="B208" s="3">
        <v>11</v>
      </c>
      <c r="C208" s="4" t="s">
        <v>44</v>
      </c>
      <c r="D208" s="2" t="s">
        <v>32</v>
      </c>
      <c r="E208" s="2" t="s">
        <v>23</v>
      </c>
      <c r="F208" s="5">
        <v>0</v>
      </c>
      <c r="G208" s="1">
        <v>0</v>
      </c>
      <c r="H208" s="2">
        <v>3</v>
      </c>
      <c r="I208" s="6">
        <v>1.3888888888888889E-3</v>
      </c>
      <c r="J208" s="2"/>
      <c r="K208" s="2"/>
      <c r="L208" s="2" t="s">
        <v>33</v>
      </c>
      <c r="M208" s="2" t="s">
        <v>78</v>
      </c>
      <c r="N208" s="2" t="s">
        <v>53</v>
      </c>
    </row>
    <row r="209" spans="1:14" x14ac:dyDescent="0.5">
      <c r="A209" s="2" t="s">
        <v>70</v>
      </c>
      <c r="B209" s="3">
        <v>26</v>
      </c>
      <c r="C209" s="4" t="s">
        <v>44</v>
      </c>
      <c r="D209" s="2" t="s">
        <v>28</v>
      </c>
      <c r="E209" s="2" t="s">
        <v>23</v>
      </c>
      <c r="F209" s="5">
        <v>0</v>
      </c>
      <c r="G209" s="1">
        <v>0</v>
      </c>
      <c r="H209" s="2">
        <v>6</v>
      </c>
      <c r="I209" s="6">
        <v>1.3888888888888889E-3</v>
      </c>
      <c r="J209" s="2"/>
      <c r="K209" s="2"/>
      <c r="L209" s="2" t="s">
        <v>51</v>
      </c>
      <c r="M209" s="2" t="s">
        <v>76</v>
      </c>
      <c r="N209" s="2" t="s">
        <v>31</v>
      </c>
    </row>
    <row r="210" spans="1:14" x14ac:dyDescent="0.5">
      <c r="A210" s="2" t="s">
        <v>70</v>
      </c>
      <c r="B210" s="3">
        <v>31</v>
      </c>
      <c r="C210" s="4" t="s">
        <v>69</v>
      </c>
      <c r="D210" s="2" t="s">
        <v>38</v>
      </c>
      <c r="E210" s="2" t="s">
        <v>17</v>
      </c>
      <c r="F210" s="5">
        <v>0</v>
      </c>
      <c r="G210" s="1">
        <v>0</v>
      </c>
      <c r="H210" s="2">
        <v>1</v>
      </c>
      <c r="I210" s="6">
        <v>1.3888888888888889E-3</v>
      </c>
      <c r="J210" s="2"/>
      <c r="K210" s="2"/>
      <c r="L210" s="2" t="s">
        <v>30</v>
      </c>
      <c r="M210" s="2" t="s">
        <v>78</v>
      </c>
      <c r="N210" s="2" t="s">
        <v>63</v>
      </c>
    </row>
    <row r="211" spans="1:14" x14ac:dyDescent="0.5">
      <c r="A211" s="2" t="s">
        <v>70</v>
      </c>
      <c r="B211" s="3">
        <v>30</v>
      </c>
      <c r="C211" s="4" t="s">
        <v>69</v>
      </c>
      <c r="D211" s="2" t="s">
        <v>49</v>
      </c>
      <c r="E211" s="2" t="s">
        <v>42</v>
      </c>
      <c r="F211" s="5">
        <v>0</v>
      </c>
      <c r="G211" s="1">
        <v>0</v>
      </c>
      <c r="H211" s="2">
        <v>4</v>
      </c>
      <c r="I211" s="6">
        <v>1.3888888888888889E-3</v>
      </c>
      <c r="J211" s="2"/>
      <c r="K211" s="2"/>
      <c r="L211" s="2" t="s">
        <v>40</v>
      </c>
      <c r="M211" s="2" t="s">
        <v>66</v>
      </c>
      <c r="N211" s="2" t="s">
        <v>36</v>
      </c>
    </row>
    <row r="212" spans="1:14" x14ac:dyDescent="0.5">
      <c r="A212" s="2" t="s">
        <v>70</v>
      </c>
      <c r="B212" s="3">
        <v>14</v>
      </c>
      <c r="C212" s="4" t="s">
        <v>69</v>
      </c>
      <c r="D212" s="2" t="s">
        <v>32</v>
      </c>
      <c r="E212" s="2" t="s">
        <v>42</v>
      </c>
      <c r="F212" s="5">
        <v>0</v>
      </c>
      <c r="G212" s="1">
        <v>0</v>
      </c>
      <c r="H212" s="2">
        <v>1</v>
      </c>
      <c r="I212" s="6">
        <v>1.3888888888888889E-3</v>
      </c>
      <c r="J212" s="2"/>
      <c r="K212" s="2"/>
      <c r="L212" s="2" t="s">
        <v>25</v>
      </c>
      <c r="M212" s="2" t="s">
        <v>78</v>
      </c>
      <c r="N212" s="2" t="s">
        <v>41</v>
      </c>
    </row>
    <row r="213" spans="1:14" x14ac:dyDescent="0.5">
      <c r="A213" s="2" t="s">
        <v>70</v>
      </c>
      <c r="B213" s="3">
        <v>30</v>
      </c>
      <c r="C213" s="4" t="s">
        <v>69</v>
      </c>
      <c r="D213" s="2" t="s">
        <v>32</v>
      </c>
      <c r="E213" s="2" t="s">
        <v>17</v>
      </c>
      <c r="F213" s="5">
        <v>0</v>
      </c>
      <c r="G213" s="1">
        <v>0</v>
      </c>
      <c r="H213" s="2">
        <v>4</v>
      </c>
      <c r="I213" s="6">
        <v>1.3888888888888889E-3</v>
      </c>
      <c r="J213" s="2"/>
      <c r="K213" s="2"/>
      <c r="L213" s="2" t="s">
        <v>48</v>
      </c>
      <c r="M213" s="2" t="s">
        <v>76</v>
      </c>
      <c r="N213" s="2" t="s">
        <v>52</v>
      </c>
    </row>
    <row r="214" spans="1:14" x14ac:dyDescent="0.5">
      <c r="A214" s="2" t="s">
        <v>70</v>
      </c>
      <c r="B214" s="3">
        <v>8</v>
      </c>
      <c r="C214" s="4" t="s">
        <v>72</v>
      </c>
      <c r="D214" s="2" t="s">
        <v>28</v>
      </c>
      <c r="E214" s="2" t="s">
        <v>17</v>
      </c>
      <c r="F214" s="5">
        <v>0</v>
      </c>
      <c r="G214" s="1">
        <v>0</v>
      </c>
      <c r="H214" s="2">
        <v>3</v>
      </c>
      <c r="I214" s="6">
        <v>1.3888888888888889E-3</v>
      </c>
      <c r="J214" s="2"/>
      <c r="K214" s="2"/>
      <c r="L214" s="2" t="s">
        <v>30</v>
      </c>
      <c r="M214" s="2" t="s">
        <v>76</v>
      </c>
      <c r="N214" s="2" t="s">
        <v>52</v>
      </c>
    </row>
    <row r="215" spans="1:14" x14ac:dyDescent="0.5">
      <c r="A215" s="2" t="s">
        <v>70</v>
      </c>
      <c r="B215" s="3">
        <v>5</v>
      </c>
      <c r="C215" s="4" t="s">
        <v>72</v>
      </c>
      <c r="D215" s="2" t="s">
        <v>38</v>
      </c>
      <c r="E215" s="2" t="s">
        <v>42</v>
      </c>
      <c r="F215" s="5">
        <v>0</v>
      </c>
      <c r="G215" s="1">
        <v>0</v>
      </c>
      <c r="H215" s="2">
        <v>1</v>
      </c>
      <c r="I215" s="6">
        <v>1.3888888888888889E-3</v>
      </c>
      <c r="J215" s="2"/>
      <c r="K215" s="2"/>
      <c r="L215" s="2" t="s">
        <v>33</v>
      </c>
      <c r="M215" s="2" t="s">
        <v>78</v>
      </c>
      <c r="N215" s="2" t="s">
        <v>41</v>
      </c>
    </row>
    <row r="216" spans="1:14" x14ac:dyDescent="0.5">
      <c r="A216" s="2" t="s">
        <v>14</v>
      </c>
      <c r="B216" s="3">
        <v>11</v>
      </c>
      <c r="C216" s="4" t="s">
        <v>57</v>
      </c>
      <c r="D216" s="2" t="s">
        <v>73</v>
      </c>
      <c r="E216" s="2" t="s">
        <v>17</v>
      </c>
      <c r="F216" s="5">
        <v>2</v>
      </c>
      <c r="G216" s="1">
        <v>38000000</v>
      </c>
      <c r="H216" s="2">
        <v>3</v>
      </c>
      <c r="I216" s="6">
        <v>1.3888888888888889E-3</v>
      </c>
      <c r="J216" s="2" t="s">
        <v>46</v>
      </c>
      <c r="K216" s="2" t="s">
        <v>39</v>
      </c>
      <c r="L216" s="2" t="s">
        <v>33</v>
      </c>
      <c r="M216" s="2" t="s">
        <v>78</v>
      </c>
      <c r="N216" s="2" t="s">
        <v>53</v>
      </c>
    </row>
    <row r="217" spans="1:14" x14ac:dyDescent="0.5">
      <c r="A217" s="2" t="s">
        <v>14</v>
      </c>
      <c r="B217" s="3">
        <v>13</v>
      </c>
      <c r="C217" s="4" t="s">
        <v>27</v>
      </c>
      <c r="D217" s="2" t="s">
        <v>32</v>
      </c>
      <c r="E217" s="2" t="s">
        <v>68</v>
      </c>
      <c r="F217" s="5">
        <v>1</v>
      </c>
      <c r="G217" s="1">
        <v>19000000</v>
      </c>
      <c r="H217" s="2">
        <v>6</v>
      </c>
      <c r="I217" s="6">
        <v>1.3888888888888889E-3</v>
      </c>
      <c r="J217" s="2" t="s">
        <v>46</v>
      </c>
      <c r="K217" s="2" t="s">
        <v>35</v>
      </c>
      <c r="L217" s="2" t="s">
        <v>20</v>
      </c>
      <c r="M217" s="2" t="s">
        <v>78</v>
      </c>
      <c r="N217" s="2" t="s">
        <v>62</v>
      </c>
    </row>
    <row r="218" spans="1:14" x14ac:dyDescent="0.5">
      <c r="A218" s="2" t="s">
        <v>14</v>
      </c>
      <c r="B218" s="3">
        <v>25</v>
      </c>
      <c r="C218" s="4" t="s">
        <v>27</v>
      </c>
      <c r="D218" s="2" t="s">
        <v>32</v>
      </c>
      <c r="E218" s="2" t="s">
        <v>42</v>
      </c>
      <c r="F218" s="5">
        <v>3</v>
      </c>
      <c r="G218" s="1">
        <v>15000000</v>
      </c>
      <c r="H218" s="2">
        <v>4</v>
      </c>
      <c r="I218" s="6">
        <v>1.3888888888888889E-3</v>
      </c>
      <c r="J218" s="2" t="s">
        <v>18</v>
      </c>
      <c r="K218" s="2" t="s">
        <v>19</v>
      </c>
      <c r="L218" s="2" t="s">
        <v>30</v>
      </c>
      <c r="M218" s="2" t="s">
        <v>66</v>
      </c>
      <c r="N218" s="2" t="s">
        <v>67</v>
      </c>
    </row>
    <row r="219" spans="1:14" x14ac:dyDescent="0.5">
      <c r="A219" s="2" t="s">
        <v>14</v>
      </c>
      <c r="B219" s="3">
        <v>30</v>
      </c>
      <c r="C219" s="4" t="s">
        <v>27</v>
      </c>
      <c r="D219" s="2" t="s">
        <v>73</v>
      </c>
      <c r="E219" s="2" t="s">
        <v>23</v>
      </c>
      <c r="F219" s="5">
        <v>2</v>
      </c>
      <c r="G219" s="1">
        <v>12000000</v>
      </c>
      <c r="H219" s="2">
        <v>4</v>
      </c>
      <c r="I219" s="6">
        <v>1.3888888888888889E-3</v>
      </c>
      <c r="J219" s="2" t="s">
        <v>18</v>
      </c>
      <c r="K219" s="2" t="s">
        <v>19</v>
      </c>
      <c r="L219" s="2" t="s">
        <v>30</v>
      </c>
      <c r="M219" s="2" t="s">
        <v>76</v>
      </c>
      <c r="N219" s="2" t="s">
        <v>26</v>
      </c>
    </row>
    <row r="220" spans="1:14" x14ac:dyDescent="0.5">
      <c r="A220" s="2" t="s">
        <v>14</v>
      </c>
      <c r="B220" s="3">
        <v>26</v>
      </c>
      <c r="C220" s="4" t="s">
        <v>37</v>
      </c>
      <c r="D220" s="2" t="s">
        <v>16</v>
      </c>
      <c r="E220" s="2" t="s">
        <v>45</v>
      </c>
      <c r="F220" s="5">
        <v>4</v>
      </c>
      <c r="G220" s="1">
        <v>11000000</v>
      </c>
      <c r="H220" s="2">
        <v>1</v>
      </c>
      <c r="I220" s="6">
        <v>1.3888888888888889E-3</v>
      </c>
      <c r="J220" s="2" t="s">
        <v>61</v>
      </c>
      <c r="K220" s="2" t="s">
        <v>24</v>
      </c>
      <c r="L220" s="2" t="s">
        <v>25</v>
      </c>
      <c r="M220" s="2" t="s">
        <v>66</v>
      </c>
      <c r="N220" s="2" t="s">
        <v>67</v>
      </c>
    </row>
    <row r="221" spans="1:14" x14ac:dyDescent="0.5">
      <c r="A221" s="2" t="s">
        <v>14</v>
      </c>
      <c r="B221" s="3">
        <v>28</v>
      </c>
      <c r="C221" s="4" t="s">
        <v>37</v>
      </c>
      <c r="D221" s="2" t="s">
        <v>28</v>
      </c>
      <c r="E221" s="2" t="s">
        <v>23</v>
      </c>
      <c r="F221" s="5">
        <v>2</v>
      </c>
      <c r="G221" s="1">
        <v>12000000</v>
      </c>
      <c r="H221" s="2">
        <v>1</v>
      </c>
      <c r="I221" s="6">
        <v>1.3888888888888889E-3</v>
      </c>
      <c r="J221" s="2" t="s">
        <v>18</v>
      </c>
      <c r="K221" s="2" t="s">
        <v>64</v>
      </c>
      <c r="L221" s="2" t="s">
        <v>30</v>
      </c>
      <c r="M221" s="2" t="s">
        <v>66</v>
      </c>
      <c r="N221" s="2" t="s">
        <v>36</v>
      </c>
    </row>
    <row r="222" spans="1:14" x14ac:dyDescent="0.5">
      <c r="A222" s="2" t="s">
        <v>14</v>
      </c>
      <c r="B222" s="3">
        <v>28</v>
      </c>
      <c r="C222" s="4" t="s">
        <v>37</v>
      </c>
      <c r="D222" s="2" t="s">
        <v>49</v>
      </c>
      <c r="E222" s="2" t="s">
        <v>23</v>
      </c>
      <c r="F222" s="5">
        <v>1</v>
      </c>
      <c r="G222" s="1">
        <v>7000000</v>
      </c>
      <c r="H222" s="2">
        <v>3</v>
      </c>
      <c r="I222" s="6">
        <v>1.3888888888888889E-3</v>
      </c>
      <c r="J222" s="2" t="s">
        <v>18</v>
      </c>
      <c r="K222" s="2" t="s">
        <v>39</v>
      </c>
      <c r="L222" s="2" t="s">
        <v>51</v>
      </c>
      <c r="M222" s="2" t="s">
        <v>78</v>
      </c>
      <c r="N222" s="2" t="s">
        <v>53</v>
      </c>
    </row>
    <row r="223" spans="1:14" x14ac:dyDescent="0.5">
      <c r="A223" s="2" t="s">
        <v>14</v>
      </c>
      <c r="B223" s="3">
        <v>24</v>
      </c>
      <c r="C223" s="4" t="s">
        <v>44</v>
      </c>
      <c r="D223" s="2" t="s">
        <v>28</v>
      </c>
      <c r="E223" s="2" t="s">
        <v>45</v>
      </c>
      <c r="F223" s="5">
        <v>4</v>
      </c>
      <c r="G223" s="1">
        <v>20000000</v>
      </c>
      <c r="H223" s="2">
        <v>7</v>
      </c>
      <c r="I223" s="6">
        <v>1.3888888888888889E-3</v>
      </c>
      <c r="J223" s="2" t="s">
        <v>18</v>
      </c>
      <c r="K223" s="2" t="s">
        <v>29</v>
      </c>
      <c r="L223" s="2" t="s">
        <v>30</v>
      </c>
      <c r="M223" s="2" t="s">
        <v>76</v>
      </c>
      <c r="N223" s="2" t="s">
        <v>75</v>
      </c>
    </row>
    <row r="224" spans="1:14" x14ac:dyDescent="0.5">
      <c r="A224" s="2" t="s">
        <v>14</v>
      </c>
      <c r="B224" s="3">
        <v>26</v>
      </c>
      <c r="C224" s="4" t="s">
        <v>44</v>
      </c>
      <c r="D224" s="2" t="s">
        <v>16</v>
      </c>
      <c r="E224" s="2" t="s">
        <v>42</v>
      </c>
      <c r="F224" s="5">
        <v>5</v>
      </c>
      <c r="G224" s="1">
        <v>25000000</v>
      </c>
      <c r="H224" s="2">
        <v>3</v>
      </c>
      <c r="I224" s="6">
        <v>1.3888888888888889E-3</v>
      </c>
      <c r="J224" s="2" t="s">
        <v>18</v>
      </c>
      <c r="K224" s="2" t="s">
        <v>56</v>
      </c>
      <c r="L224" s="2" t="s">
        <v>40</v>
      </c>
      <c r="M224" s="2" t="s">
        <v>78</v>
      </c>
      <c r="N224" s="2" t="s">
        <v>66</v>
      </c>
    </row>
    <row r="225" spans="1:14" x14ac:dyDescent="0.5">
      <c r="A225" s="2" t="s">
        <v>14</v>
      </c>
      <c r="B225" s="3">
        <v>1</v>
      </c>
      <c r="C225" s="4" t="s">
        <v>44</v>
      </c>
      <c r="D225" s="2" t="s">
        <v>16</v>
      </c>
      <c r="E225" s="2" t="s">
        <v>42</v>
      </c>
      <c r="F225" s="5">
        <v>3</v>
      </c>
      <c r="G225" s="1">
        <v>15000000</v>
      </c>
      <c r="H225" s="2">
        <v>2</v>
      </c>
      <c r="I225" s="6">
        <v>1.3888888888888889E-3</v>
      </c>
      <c r="J225" s="2" t="s">
        <v>18</v>
      </c>
      <c r="K225" s="2" t="s">
        <v>35</v>
      </c>
      <c r="L225" s="2" t="s">
        <v>43</v>
      </c>
      <c r="M225" s="2" t="s">
        <v>76</v>
      </c>
      <c r="N225" s="2" t="s">
        <v>26</v>
      </c>
    </row>
    <row r="226" spans="1:14" x14ac:dyDescent="0.5">
      <c r="A226" s="2" t="s">
        <v>14</v>
      </c>
      <c r="B226" s="3">
        <v>30</v>
      </c>
      <c r="C226" s="4" t="s">
        <v>44</v>
      </c>
      <c r="D226" s="2" t="s">
        <v>38</v>
      </c>
      <c r="E226" s="2" t="s">
        <v>23</v>
      </c>
      <c r="F226" s="5">
        <v>5</v>
      </c>
      <c r="G226" s="1">
        <v>21000000</v>
      </c>
      <c r="H226" s="2">
        <v>3</v>
      </c>
      <c r="I226" s="6">
        <v>1.3888888888888889E-3</v>
      </c>
      <c r="J226" s="2" t="s">
        <v>18</v>
      </c>
      <c r="K226" s="2" t="s">
        <v>56</v>
      </c>
      <c r="L226" s="2" t="s">
        <v>48</v>
      </c>
      <c r="M226" s="2" t="s">
        <v>76</v>
      </c>
      <c r="N226" s="2" t="s">
        <v>52</v>
      </c>
    </row>
    <row r="227" spans="1:14" x14ac:dyDescent="0.5">
      <c r="A227" s="2" t="s">
        <v>14</v>
      </c>
      <c r="B227" s="3">
        <v>11</v>
      </c>
      <c r="C227" s="4" t="s">
        <v>57</v>
      </c>
      <c r="D227" s="2" t="s">
        <v>73</v>
      </c>
      <c r="E227" s="2" t="s">
        <v>17</v>
      </c>
      <c r="F227" s="5">
        <v>2</v>
      </c>
      <c r="G227" s="1">
        <v>38000000</v>
      </c>
      <c r="H227" s="2">
        <v>3</v>
      </c>
      <c r="I227" s="6">
        <v>1.3888888888888889E-3</v>
      </c>
      <c r="J227" s="2" t="s">
        <v>46</v>
      </c>
      <c r="K227" s="2" t="s">
        <v>39</v>
      </c>
      <c r="L227" s="2" t="s">
        <v>33</v>
      </c>
      <c r="M227" s="2" t="s">
        <v>78</v>
      </c>
      <c r="N227" s="2" t="s">
        <v>53</v>
      </c>
    </row>
    <row r="228" spans="1:14" x14ac:dyDescent="0.5">
      <c r="A228" s="2" t="s">
        <v>70</v>
      </c>
      <c r="B228" s="3">
        <v>11</v>
      </c>
      <c r="C228" s="4" t="s">
        <v>44</v>
      </c>
      <c r="D228" s="2" t="s">
        <v>49</v>
      </c>
      <c r="E228" s="2" t="s">
        <v>42</v>
      </c>
      <c r="F228" s="5">
        <v>0</v>
      </c>
      <c r="G228" s="1">
        <v>0</v>
      </c>
      <c r="H228" s="2">
        <v>2</v>
      </c>
      <c r="I228" s="6">
        <v>1.3888888888888889E-3</v>
      </c>
      <c r="J228" s="2"/>
      <c r="K228" s="2"/>
      <c r="L228" s="2" t="s">
        <v>25</v>
      </c>
      <c r="M228" s="2" t="s">
        <v>77</v>
      </c>
      <c r="N228" s="2" t="s">
        <v>34</v>
      </c>
    </row>
    <row r="229" spans="1:14" x14ac:dyDescent="0.5">
      <c r="A229" s="2" t="s">
        <v>70</v>
      </c>
      <c r="B229" s="3">
        <v>29</v>
      </c>
      <c r="C229" s="4" t="s">
        <v>44</v>
      </c>
      <c r="D229" s="2" t="s">
        <v>16</v>
      </c>
      <c r="E229" s="2" t="s">
        <v>42</v>
      </c>
      <c r="F229" s="5">
        <v>0</v>
      </c>
      <c r="G229" s="1">
        <v>0</v>
      </c>
      <c r="H229" s="2">
        <v>3</v>
      </c>
      <c r="I229" s="6">
        <v>1.3888888888888889E-3</v>
      </c>
      <c r="J229" s="2"/>
      <c r="K229" s="2"/>
      <c r="L229" s="2" t="s">
        <v>48</v>
      </c>
      <c r="M229" s="2" t="s">
        <v>76</v>
      </c>
      <c r="N229" s="2" t="s">
        <v>52</v>
      </c>
    </row>
    <row r="230" spans="1:14" x14ac:dyDescent="0.5">
      <c r="A230" s="2" t="s">
        <v>14</v>
      </c>
      <c r="B230" s="3">
        <v>12</v>
      </c>
      <c r="C230" s="4" t="s">
        <v>57</v>
      </c>
      <c r="D230" s="2" t="s">
        <v>32</v>
      </c>
      <c r="E230" s="2" t="s">
        <v>17</v>
      </c>
      <c r="F230" s="5">
        <v>1</v>
      </c>
      <c r="G230" s="1">
        <v>19000000</v>
      </c>
      <c r="H230" s="2">
        <v>5</v>
      </c>
      <c r="I230" s="6">
        <v>1.3888888888888889E-3</v>
      </c>
      <c r="J230" s="2" t="s">
        <v>46</v>
      </c>
      <c r="K230" s="2" t="s">
        <v>35</v>
      </c>
      <c r="L230" s="2" t="s">
        <v>48</v>
      </c>
      <c r="M230" s="2" t="s">
        <v>66</v>
      </c>
      <c r="N230" s="2" t="s">
        <v>67</v>
      </c>
    </row>
    <row r="231" spans="1:14" x14ac:dyDescent="0.5">
      <c r="A231" s="2" t="s">
        <v>14</v>
      </c>
      <c r="B231" s="3">
        <v>11</v>
      </c>
      <c r="C231" s="4" t="s">
        <v>58</v>
      </c>
      <c r="D231" s="2" t="s">
        <v>16</v>
      </c>
      <c r="E231" s="2" t="s">
        <v>42</v>
      </c>
      <c r="F231" s="5">
        <v>4</v>
      </c>
      <c r="G231" s="1">
        <v>20000000</v>
      </c>
      <c r="H231" s="2">
        <v>1</v>
      </c>
      <c r="I231" s="6">
        <v>1.3888888888888889E-3</v>
      </c>
      <c r="J231" s="2" t="s">
        <v>18</v>
      </c>
      <c r="K231" s="2" t="s">
        <v>29</v>
      </c>
      <c r="L231" s="2" t="s">
        <v>30</v>
      </c>
      <c r="M231" s="2" t="s">
        <v>76</v>
      </c>
      <c r="N231" s="2" t="s">
        <v>31</v>
      </c>
    </row>
    <row r="232" spans="1:14" x14ac:dyDescent="0.5">
      <c r="A232" s="2" t="s">
        <v>14</v>
      </c>
      <c r="B232" s="3">
        <v>19</v>
      </c>
      <c r="C232" s="4" t="s">
        <v>37</v>
      </c>
      <c r="D232" s="2" t="s">
        <v>49</v>
      </c>
      <c r="E232" s="2" t="s">
        <v>23</v>
      </c>
      <c r="F232" s="5">
        <v>4</v>
      </c>
      <c r="G232" s="1">
        <v>11000000</v>
      </c>
      <c r="H232" s="2">
        <v>1</v>
      </c>
      <c r="I232" s="6">
        <v>1.3888888888888889E-3</v>
      </c>
      <c r="J232" s="2" t="s">
        <v>61</v>
      </c>
      <c r="K232" s="2" t="s">
        <v>56</v>
      </c>
      <c r="L232" s="2" t="s">
        <v>33</v>
      </c>
      <c r="M232" s="2" t="s">
        <v>78</v>
      </c>
      <c r="N232" s="2" t="s">
        <v>21</v>
      </c>
    </row>
    <row r="233" spans="1:14" x14ac:dyDescent="0.5">
      <c r="A233" s="2" t="s">
        <v>14</v>
      </c>
      <c r="B233" s="3">
        <v>5</v>
      </c>
      <c r="C233" s="4" t="s">
        <v>37</v>
      </c>
      <c r="D233" s="2" t="s">
        <v>49</v>
      </c>
      <c r="E233" s="2" t="s">
        <v>23</v>
      </c>
      <c r="F233" s="5">
        <v>5</v>
      </c>
      <c r="G233" s="1">
        <v>25000000</v>
      </c>
      <c r="H233" s="2">
        <v>2</v>
      </c>
      <c r="I233" s="6">
        <v>1.3888888888888889E-3</v>
      </c>
      <c r="J233" s="2" t="s">
        <v>18</v>
      </c>
      <c r="K233" s="2" t="s">
        <v>56</v>
      </c>
      <c r="L233" s="2" t="s">
        <v>30</v>
      </c>
      <c r="M233" s="2" t="s">
        <v>77</v>
      </c>
      <c r="N233" s="2" t="s">
        <v>54</v>
      </c>
    </row>
    <row r="234" spans="1:14" x14ac:dyDescent="0.5">
      <c r="A234" s="2" t="s">
        <v>14</v>
      </c>
      <c r="B234" s="3">
        <v>22</v>
      </c>
      <c r="C234" s="4" t="s">
        <v>37</v>
      </c>
      <c r="D234" s="2" t="s">
        <v>73</v>
      </c>
      <c r="E234" s="2" t="s">
        <v>23</v>
      </c>
      <c r="F234" s="5">
        <v>2</v>
      </c>
      <c r="G234" s="1">
        <v>12000000</v>
      </c>
      <c r="H234" s="2">
        <v>2</v>
      </c>
      <c r="I234" s="6">
        <v>1.3888888888888889E-3</v>
      </c>
      <c r="J234" s="2" t="s">
        <v>18</v>
      </c>
      <c r="K234" s="2" t="s">
        <v>56</v>
      </c>
      <c r="L234" s="2" t="s">
        <v>40</v>
      </c>
      <c r="M234" s="2" t="s">
        <v>78</v>
      </c>
      <c r="N234" s="2" t="s">
        <v>41</v>
      </c>
    </row>
    <row r="235" spans="1:14" x14ac:dyDescent="0.5">
      <c r="A235" s="2" t="s">
        <v>14</v>
      </c>
      <c r="B235" s="3">
        <v>8</v>
      </c>
      <c r="C235" s="4" t="s">
        <v>37</v>
      </c>
      <c r="D235" s="2" t="s">
        <v>49</v>
      </c>
      <c r="E235" s="2" t="s">
        <v>42</v>
      </c>
      <c r="F235" s="5">
        <v>2</v>
      </c>
      <c r="G235" s="1">
        <v>12000000</v>
      </c>
      <c r="H235" s="2">
        <v>3</v>
      </c>
      <c r="I235" s="6">
        <v>1.3888888888888889E-3</v>
      </c>
      <c r="J235" s="2" t="s">
        <v>18</v>
      </c>
      <c r="K235" s="2" t="s">
        <v>19</v>
      </c>
      <c r="L235" s="2" t="s">
        <v>43</v>
      </c>
      <c r="M235" s="2" t="s">
        <v>76</v>
      </c>
      <c r="N235" s="2" t="s">
        <v>31</v>
      </c>
    </row>
    <row r="236" spans="1:14" x14ac:dyDescent="0.5">
      <c r="A236" s="2" t="s">
        <v>14</v>
      </c>
      <c r="B236" s="3">
        <v>22</v>
      </c>
      <c r="C236" s="4" t="s">
        <v>44</v>
      </c>
      <c r="D236" s="2" t="s">
        <v>38</v>
      </c>
      <c r="E236" s="2" t="s">
        <v>42</v>
      </c>
      <c r="F236" s="5">
        <v>3</v>
      </c>
      <c r="G236" s="1">
        <v>15000000</v>
      </c>
      <c r="H236" s="2">
        <v>1</v>
      </c>
      <c r="I236" s="6">
        <v>1.3888888888888889E-3</v>
      </c>
      <c r="J236" s="2" t="s">
        <v>18</v>
      </c>
      <c r="K236" s="2" t="s">
        <v>50</v>
      </c>
      <c r="L236" s="2" t="s">
        <v>40</v>
      </c>
      <c r="M236" s="2" t="s">
        <v>78</v>
      </c>
      <c r="N236" s="2" t="s">
        <v>62</v>
      </c>
    </row>
    <row r="237" spans="1:14" x14ac:dyDescent="0.5">
      <c r="A237" s="2" t="s">
        <v>14</v>
      </c>
      <c r="B237" s="3">
        <v>11</v>
      </c>
      <c r="C237" s="4" t="s">
        <v>44</v>
      </c>
      <c r="D237" s="2" t="s">
        <v>28</v>
      </c>
      <c r="E237" s="2" t="s">
        <v>45</v>
      </c>
      <c r="F237" s="5">
        <v>5</v>
      </c>
      <c r="G237" s="1">
        <v>21000000</v>
      </c>
      <c r="H237" s="2">
        <v>4</v>
      </c>
      <c r="I237" s="6">
        <v>1.3888888888888889E-3</v>
      </c>
      <c r="J237" s="2" t="s">
        <v>18</v>
      </c>
      <c r="K237" s="2" t="s">
        <v>19</v>
      </c>
      <c r="L237" s="2" t="s">
        <v>20</v>
      </c>
      <c r="M237" s="2" t="s">
        <v>76</v>
      </c>
      <c r="N237" s="2" t="s">
        <v>26</v>
      </c>
    </row>
    <row r="238" spans="1:14" x14ac:dyDescent="0.5">
      <c r="A238" s="2" t="s">
        <v>14</v>
      </c>
      <c r="B238" s="3">
        <v>17</v>
      </c>
      <c r="C238" s="4" t="s">
        <v>44</v>
      </c>
      <c r="D238" s="2" t="s">
        <v>16</v>
      </c>
      <c r="E238" s="2" t="s">
        <v>42</v>
      </c>
      <c r="F238" s="5">
        <v>3</v>
      </c>
      <c r="G238" s="1">
        <v>15000000</v>
      </c>
      <c r="H238" s="2">
        <v>1</v>
      </c>
      <c r="I238" s="6">
        <v>1.3888888888888889E-3</v>
      </c>
      <c r="J238" s="2" t="s">
        <v>18</v>
      </c>
      <c r="K238" s="2" t="s">
        <v>29</v>
      </c>
      <c r="L238" s="2" t="s">
        <v>48</v>
      </c>
      <c r="M238" s="2" t="s">
        <v>76</v>
      </c>
      <c r="N238" s="2" t="s">
        <v>31</v>
      </c>
    </row>
    <row r="239" spans="1:14" x14ac:dyDescent="0.5">
      <c r="A239" s="2" t="s">
        <v>14</v>
      </c>
      <c r="B239" s="3">
        <v>12</v>
      </c>
      <c r="C239" s="4" t="s">
        <v>57</v>
      </c>
      <c r="D239" s="2" t="s">
        <v>32</v>
      </c>
      <c r="E239" s="2" t="s">
        <v>17</v>
      </c>
      <c r="F239" s="5">
        <v>1</v>
      </c>
      <c r="G239" s="1">
        <v>19000000</v>
      </c>
      <c r="H239" s="2">
        <v>5</v>
      </c>
      <c r="I239" s="6">
        <v>1.3888888888888889E-3</v>
      </c>
      <c r="J239" s="2" t="s">
        <v>46</v>
      </c>
      <c r="K239" s="2" t="s">
        <v>35</v>
      </c>
      <c r="L239" s="2" t="s">
        <v>48</v>
      </c>
      <c r="M239" s="2" t="s">
        <v>66</v>
      </c>
      <c r="N239" s="2" t="s">
        <v>67</v>
      </c>
    </row>
    <row r="240" spans="1:14" x14ac:dyDescent="0.5">
      <c r="A240" s="2" t="s">
        <v>14</v>
      </c>
      <c r="B240" s="3">
        <v>11</v>
      </c>
      <c r="C240" s="4" t="s">
        <v>58</v>
      </c>
      <c r="D240" s="2" t="s">
        <v>16</v>
      </c>
      <c r="E240" s="2" t="s">
        <v>42</v>
      </c>
      <c r="F240" s="5">
        <v>4</v>
      </c>
      <c r="G240" s="1">
        <v>20000000</v>
      </c>
      <c r="H240" s="2">
        <v>1</v>
      </c>
      <c r="I240" s="6">
        <v>1.3888888888888889E-3</v>
      </c>
      <c r="J240" s="2" t="s">
        <v>18</v>
      </c>
      <c r="K240" s="2" t="s">
        <v>29</v>
      </c>
      <c r="L240" s="2" t="s">
        <v>30</v>
      </c>
      <c r="M240" s="2" t="s">
        <v>76</v>
      </c>
      <c r="N240" s="2" t="s">
        <v>31</v>
      </c>
    </row>
    <row r="241" spans="1:14" x14ac:dyDescent="0.5">
      <c r="A241" s="2" t="s">
        <v>70</v>
      </c>
      <c r="B241" s="3">
        <v>5</v>
      </c>
      <c r="C241" s="4" t="s">
        <v>59</v>
      </c>
      <c r="D241" s="2" t="s">
        <v>16</v>
      </c>
      <c r="E241" s="2" t="s">
        <v>23</v>
      </c>
      <c r="F241" s="5">
        <v>0</v>
      </c>
      <c r="G241" s="1">
        <v>0</v>
      </c>
      <c r="H241" s="2">
        <v>1</v>
      </c>
      <c r="I241" s="6">
        <v>1.3888888888888889E-3</v>
      </c>
      <c r="J241" s="2"/>
      <c r="K241" s="2"/>
      <c r="L241" s="2" t="s">
        <v>43</v>
      </c>
      <c r="M241" s="2" t="s">
        <v>78</v>
      </c>
      <c r="N241" s="2" t="s">
        <v>63</v>
      </c>
    </row>
    <row r="242" spans="1:14" x14ac:dyDescent="0.5">
      <c r="A242" s="2" t="s">
        <v>70</v>
      </c>
      <c r="B242" s="3">
        <v>29</v>
      </c>
      <c r="C242" s="4" t="s">
        <v>27</v>
      </c>
      <c r="D242" s="2" t="s">
        <v>16</v>
      </c>
      <c r="E242" s="2" t="s">
        <v>42</v>
      </c>
      <c r="F242" s="5">
        <v>0</v>
      </c>
      <c r="G242" s="1">
        <v>0</v>
      </c>
      <c r="H242" s="2">
        <v>4</v>
      </c>
      <c r="I242" s="6">
        <v>1.3888888888888889E-3</v>
      </c>
      <c r="J242" s="2"/>
      <c r="K242" s="2"/>
      <c r="L242" s="2" t="s">
        <v>48</v>
      </c>
      <c r="M242" s="2" t="s">
        <v>78</v>
      </c>
      <c r="N242" s="2" t="s">
        <v>62</v>
      </c>
    </row>
    <row r="243" spans="1:14" x14ac:dyDescent="0.5">
      <c r="A243" s="2" t="s">
        <v>70</v>
      </c>
      <c r="B243" s="3">
        <v>11</v>
      </c>
      <c r="C243" s="4" t="s">
        <v>37</v>
      </c>
      <c r="D243" s="2" t="s">
        <v>28</v>
      </c>
      <c r="E243" s="2" t="s">
        <v>42</v>
      </c>
      <c r="F243" s="5">
        <v>0</v>
      </c>
      <c r="G243" s="1">
        <v>0</v>
      </c>
      <c r="H243" s="2">
        <v>1</v>
      </c>
      <c r="I243" s="6">
        <v>1.3888888888888889E-3</v>
      </c>
      <c r="J243" s="2"/>
      <c r="K243" s="2"/>
      <c r="L243" s="2" t="s">
        <v>51</v>
      </c>
      <c r="M243" s="2" t="s">
        <v>77</v>
      </c>
      <c r="N243" s="2" t="s">
        <v>65</v>
      </c>
    </row>
    <row r="244" spans="1:14" x14ac:dyDescent="0.5">
      <c r="A244" s="2" t="s">
        <v>70</v>
      </c>
      <c r="B244" s="3">
        <v>23</v>
      </c>
      <c r="C244" s="4" t="s">
        <v>44</v>
      </c>
      <c r="D244" s="2" t="s">
        <v>38</v>
      </c>
      <c r="E244" s="2" t="s">
        <v>23</v>
      </c>
      <c r="F244" s="5">
        <v>0</v>
      </c>
      <c r="G244" s="1">
        <v>0</v>
      </c>
      <c r="H244" s="2">
        <v>1</v>
      </c>
      <c r="I244" s="6">
        <v>1.3888888888888889E-3</v>
      </c>
      <c r="J244" s="2"/>
      <c r="K244" s="2"/>
      <c r="L244" s="2" t="s">
        <v>30</v>
      </c>
      <c r="M244" s="2" t="s">
        <v>76</v>
      </c>
      <c r="N244" s="2" t="s">
        <v>31</v>
      </c>
    </row>
    <row r="245" spans="1:14" x14ac:dyDescent="0.5">
      <c r="A245" s="2" t="s">
        <v>70</v>
      </c>
      <c r="B245" s="3">
        <v>5</v>
      </c>
      <c r="C245" s="4" t="s">
        <v>59</v>
      </c>
      <c r="D245" s="2" t="s">
        <v>16</v>
      </c>
      <c r="E245" s="2" t="s">
        <v>23</v>
      </c>
      <c r="F245" s="5">
        <v>0</v>
      </c>
      <c r="G245" s="1">
        <v>0</v>
      </c>
      <c r="H245" s="2">
        <v>1</v>
      </c>
      <c r="I245" s="6">
        <v>1.3888888888888889E-3</v>
      </c>
      <c r="J245" s="2"/>
      <c r="K245" s="2"/>
      <c r="L245" s="2" t="s">
        <v>43</v>
      </c>
      <c r="M245" s="2" t="s">
        <v>78</v>
      </c>
      <c r="N245" s="2" t="s">
        <v>63</v>
      </c>
    </row>
    <row r="246" spans="1:14" x14ac:dyDescent="0.5">
      <c r="A246" s="2" t="s">
        <v>14</v>
      </c>
      <c r="B246" s="3">
        <v>2</v>
      </c>
      <c r="C246" s="4" t="s">
        <v>55</v>
      </c>
      <c r="D246" s="2" t="s">
        <v>32</v>
      </c>
      <c r="E246" s="2" t="s">
        <v>42</v>
      </c>
      <c r="F246" s="5">
        <v>4</v>
      </c>
      <c r="G246" s="1">
        <v>15000000</v>
      </c>
      <c r="H246" s="2">
        <v>3</v>
      </c>
      <c r="I246" s="6">
        <v>1.3888888888888889E-3</v>
      </c>
      <c r="J246" s="2" t="s">
        <v>18</v>
      </c>
      <c r="K246" s="2" t="s">
        <v>24</v>
      </c>
      <c r="L246" s="2" t="s">
        <v>25</v>
      </c>
      <c r="M246" s="2" t="s">
        <v>78</v>
      </c>
      <c r="N246" s="2" t="s">
        <v>41</v>
      </c>
    </row>
    <row r="247" spans="1:14" x14ac:dyDescent="0.5">
      <c r="A247" s="2" t="s">
        <v>14</v>
      </c>
      <c r="B247" s="3">
        <v>11</v>
      </c>
      <c r="C247" s="4" t="s">
        <v>57</v>
      </c>
      <c r="D247" s="2" t="s">
        <v>38</v>
      </c>
      <c r="E247" s="2" t="s">
        <v>42</v>
      </c>
      <c r="F247" s="5">
        <v>2</v>
      </c>
      <c r="G247" s="1">
        <v>12000000</v>
      </c>
      <c r="H247" s="2">
        <v>1</v>
      </c>
      <c r="I247" s="6">
        <v>1.3888888888888889E-3</v>
      </c>
      <c r="J247" s="2" t="s">
        <v>18</v>
      </c>
      <c r="K247" s="2" t="s">
        <v>19</v>
      </c>
      <c r="L247" s="2" t="s">
        <v>25</v>
      </c>
      <c r="M247" s="2" t="s">
        <v>78</v>
      </c>
      <c r="N247" s="2" t="s">
        <v>53</v>
      </c>
    </row>
    <row r="248" spans="1:14" x14ac:dyDescent="0.5">
      <c r="A248" s="2" t="s">
        <v>14</v>
      </c>
      <c r="B248" s="3">
        <v>1</v>
      </c>
      <c r="C248" s="4" t="s">
        <v>59</v>
      </c>
      <c r="D248" s="2" t="s">
        <v>32</v>
      </c>
      <c r="E248" s="2" t="s">
        <v>45</v>
      </c>
      <c r="F248" s="5">
        <v>1</v>
      </c>
      <c r="G248" s="1">
        <v>19000000</v>
      </c>
      <c r="H248" s="2">
        <v>2</v>
      </c>
      <c r="I248" s="6">
        <v>1.3888888888888889E-3</v>
      </c>
      <c r="J248" s="2" t="s">
        <v>46</v>
      </c>
      <c r="K248" s="2" t="s">
        <v>39</v>
      </c>
      <c r="L248" s="2" t="s">
        <v>30</v>
      </c>
      <c r="M248" s="2" t="s">
        <v>77</v>
      </c>
      <c r="N248" s="2" t="s">
        <v>65</v>
      </c>
    </row>
    <row r="249" spans="1:14" x14ac:dyDescent="0.5">
      <c r="A249" s="2" t="s">
        <v>14</v>
      </c>
      <c r="B249" s="3">
        <v>1</v>
      </c>
      <c r="C249" s="4" t="s">
        <v>60</v>
      </c>
      <c r="D249" s="2" t="s">
        <v>49</v>
      </c>
      <c r="E249" s="2" t="s">
        <v>23</v>
      </c>
      <c r="F249" s="5">
        <v>3</v>
      </c>
      <c r="G249" s="1">
        <v>15000000</v>
      </c>
      <c r="H249" s="2">
        <v>2</v>
      </c>
      <c r="I249" s="6">
        <v>1.3888888888888889E-3</v>
      </c>
      <c r="J249" s="2" t="s">
        <v>18</v>
      </c>
      <c r="K249" s="2" t="s">
        <v>56</v>
      </c>
      <c r="L249" s="2" t="s">
        <v>51</v>
      </c>
      <c r="M249" s="2" t="s">
        <v>76</v>
      </c>
      <c r="N249" s="2" t="s">
        <v>31</v>
      </c>
    </row>
    <row r="250" spans="1:14" x14ac:dyDescent="0.5">
      <c r="A250" s="2" t="s">
        <v>14</v>
      </c>
      <c r="B250" s="3">
        <v>12</v>
      </c>
      <c r="C250" s="4" t="s">
        <v>27</v>
      </c>
      <c r="D250" s="2" t="s">
        <v>73</v>
      </c>
      <c r="E250" s="2" t="s">
        <v>42</v>
      </c>
      <c r="F250" s="5">
        <v>2</v>
      </c>
      <c r="G250" s="1">
        <v>38000000</v>
      </c>
      <c r="H250" s="2">
        <v>6</v>
      </c>
      <c r="I250" s="6">
        <v>1.3888888888888889E-3</v>
      </c>
      <c r="J250" s="2" t="s">
        <v>46</v>
      </c>
      <c r="K250" s="2" t="s">
        <v>35</v>
      </c>
      <c r="L250" s="2" t="s">
        <v>30</v>
      </c>
      <c r="M250" s="2" t="s">
        <v>78</v>
      </c>
      <c r="N250" s="2" t="s">
        <v>63</v>
      </c>
    </row>
    <row r="251" spans="1:14" x14ac:dyDescent="0.5">
      <c r="A251" s="2" t="s">
        <v>14</v>
      </c>
      <c r="B251" s="3">
        <v>7</v>
      </c>
      <c r="C251" s="4" t="s">
        <v>27</v>
      </c>
      <c r="D251" s="2" t="s">
        <v>16</v>
      </c>
      <c r="E251" s="2" t="s">
        <v>23</v>
      </c>
      <c r="F251" s="5">
        <v>5</v>
      </c>
      <c r="G251" s="1">
        <v>21000000</v>
      </c>
      <c r="H251" s="2">
        <v>5</v>
      </c>
      <c r="I251" s="6">
        <v>1.3888888888888889E-3</v>
      </c>
      <c r="J251" s="2" t="s">
        <v>18</v>
      </c>
      <c r="K251" s="2" t="s">
        <v>24</v>
      </c>
      <c r="L251" s="2" t="s">
        <v>43</v>
      </c>
      <c r="M251" s="2" t="s">
        <v>76</v>
      </c>
      <c r="N251" s="2" t="s">
        <v>26</v>
      </c>
    </row>
    <row r="252" spans="1:14" x14ac:dyDescent="0.5">
      <c r="A252" s="2" t="s">
        <v>14</v>
      </c>
      <c r="B252" s="3">
        <v>11</v>
      </c>
      <c r="C252" s="4" t="s">
        <v>27</v>
      </c>
      <c r="D252" s="2" t="s">
        <v>28</v>
      </c>
      <c r="E252" s="2" t="s">
        <v>42</v>
      </c>
      <c r="F252" s="5">
        <v>5</v>
      </c>
      <c r="G252" s="1">
        <v>25000000</v>
      </c>
      <c r="H252" s="2">
        <v>5</v>
      </c>
      <c r="I252" s="6">
        <v>1.3888888888888889E-3</v>
      </c>
      <c r="J252" s="2" t="s">
        <v>18</v>
      </c>
      <c r="K252" s="2" t="s">
        <v>39</v>
      </c>
      <c r="L252" s="2" t="s">
        <v>33</v>
      </c>
      <c r="M252" s="2" t="s">
        <v>76</v>
      </c>
      <c r="N252" s="2" t="s">
        <v>31</v>
      </c>
    </row>
    <row r="253" spans="1:14" x14ac:dyDescent="0.5">
      <c r="A253" s="2" t="s">
        <v>14</v>
      </c>
      <c r="B253" s="3">
        <v>29</v>
      </c>
      <c r="C253" s="4" t="s">
        <v>27</v>
      </c>
      <c r="D253" s="2" t="s">
        <v>49</v>
      </c>
      <c r="E253" s="2" t="s">
        <v>42</v>
      </c>
      <c r="F253" s="5">
        <v>1</v>
      </c>
      <c r="G253" s="1">
        <v>7000000</v>
      </c>
      <c r="H253" s="2">
        <v>2</v>
      </c>
      <c r="I253" s="6">
        <v>1.3888888888888889E-3</v>
      </c>
      <c r="J253" s="2" t="s">
        <v>18</v>
      </c>
      <c r="K253" s="2" t="s">
        <v>47</v>
      </c>
      <c r="L253" s="2" t="s">
        <v>40</v>
      </c>
      <c r="M253" s="2" t="s">
        <v>66</v>
      </c>
      <c r="N253" s="2" t="s">
        <v>67</v>
      </c>
    </row>
    <row r="254" spans="1:14" x14ac:dyDescent="0.5">
      <c r="A254" s="2" t="s">
        <v>14</v>
      </c>
      <c r="B254" s="3">
        <v>3</v>
      </c>
      <c r="C254" s="4" t="s">
        <v>37</v>
      </c>
      <c r="D254" s="2" t="s">
        <v>38</v>
      </c>
      <c r="E254" s="2" t="s">
        <v>42</v>
      </c>
      <c r="F254" s="5">
        <v>2</v>
      </c>
      <c r="G254" s="1">
        <v>38000000</v>
      </c>
      <c r="H254" s="2">
        <v>3</v>
      </c>
      <c r="I254" s="6">
        <v>1.3888888888888889E-3</v>
      </c>
      <c r="J254" s="2" t="s">
        <v>46</v>
      </c>
      <c r="K254" s="2" t="s">
        <v>29</v>
      </c>
      <c r="L254" s="2" t="s">
        <v>30</v>
      </c>
      <c r="M254" s="2" t="s">
        <v>77</v>
      </c>
      <c r="N254" s="2" t="s">
        <v>65</v>
      </c>
    </row>
    <row r="255" spans="1:14" x14ac:dyDescent="0.5">
      <c r="A255" s="2" t="s">
        <v>14</v>
      </c>
      <c r="B255" s="3">
        <v>6</v>
      </c>
      <c r="C255" s="4" t="s">
        <v>37</v>
      </c>
      <c r="D255" s="2" t="s">
        <v>38</v>
      </c>
      <c r="E255" s="2" t="s">
        <v>42</v>
      </c>
      <c r="F255" s="5">
        <v>1</v>
      </c>
      <c r="G255" s="1">
        <v>19000000</v>
      </c>
      <c r="H255" s="2">
        <v>1</v>
      </c>
      <c r="I255" s="6">
        <v>1.3888888888888889E-3</v>
      </c>
      <c r="J255" s="2" t="s">
        <v>46</v>
      </c>
      <c r="K255" s="2" t="s">
        <v>19</v>
      </c>
      <c r="L255" s="2" t="s">
        <v>40</v>
      </c>
      <c r="M255" s="2" t="s">
        <v>66</v>
      </c>
      <c r="N255" s="2" t="s">
        <v>36</v>
      </c>
    </row>
    <row r="256" spans="1:14" x14ac:dyDescent="0.5">
      <c r="A256" s="2" t="s">
        <v>14</v>
      </c>
      <c r="B256" s="3">
        <v>26</v>
      </c>
      <c r="C256" s="4" t="s">
        <v>37</v>
      </c>
      <c r="D256" s="2" t="s">
        <v>16</v>
      </c>
      <c r="E256" s="2" t="s">
        <v>23</v>
      </c>
      <c r="F256" s="5">
        <v>4</v>
      </c>
      <c r="G256" s="1">
        <v>20000000</v>
      </c>
      <c r="H256" s="2">
        <v>3</v>
      </c>
      <c r="I256" s="6">
        <v>1.3888888888888889E-3</v>
      </c>
      <c r="J256" s="2" t="s">
        <v>61</v>
      </c>
      <c r="K256" s="2" t="s">
        <v>19</v>
      </c>
      <c r="L256" s="2" t="s">
        <v>48</v>
      </c>
      <c r="M256" s="2" t="s">
        <v>78</v>
      </c>
      <c r="N256" s="2" t="s">
        <v>63</v>
      </c>
    </row>
    <row r="257" spans="1:14" x14ac:dyDescent="0.5">
      <c r="A257" s="2" t="s">
        <v>14</v>
      </c>
      <c r="B257" s="3">
        <v>1</v>
      </c>
      <c r="C257" s="4" t="s">
        <v>37</v>
      </c>
      <c r="D257" s="2" t="s">
        <v>16</v>
      </c>
      <c r="E257" s="2" t="s">
        <v>17</v>
      </c>
      <c r="F257" s="5">
        <v>1</v>
      </c>
      <c r="G257" s="1">
        <v>7000000</v>
      </c>
      <c r="H257" s="2">
        <v>4</v>
      </c>
      <c r="I257" s="6">
        <v>1.3888888888888889E-3</v>
      </c>
      <c r="J257" s="2" t="s">
        <v>18</v>
      </c>
      <c r="K257" s="2" t="s">
        <v>29</v>
      </c>
      <c r="L257" s="2" t="s">
        <v>30</v>
      </c>
      <c r="M257" s="2" t="s">
        <v>76</v>
      </c>
      <c r="N257" s="2" t="s">
        <v>31</v>
      </c>
    </row>
    <row r="258" spans="1:14" x14ac:dyDescent="0.5">
      <c r="A258" s="2" t="s">
        <v>14</v>
      </c>
      <c r="B258" s="3">
        <v>1</v>
      </c>
      <c r="C258" s="4" t="s">
        <v>37</v>
      </c>
      <c r="D258" s="2" t="s">
        <v>32</v>
      </c>
      <c r="E258" s="2" t="s">
        <v>23</v>
      </c>
      <c r="F258" s="5">
        <v>2</v>
      </c>
      <c r="G258" s="1">
        <v>12000000</v>
      </c>
      <c r="H258" s="2">
        <v>4</v>
      </c>
      <c r="I258" s="6">
        <v>1.3888888888888889E-3</v>
      </c>
      <c r="J258" s="2" t="s">
        <v>18</v>
      </c>
      <c r="K258" s="2" t="s">
        <v>56</v>
      </c>
      <c r="L258" s="2" t="s">
        <v>30</v>
      </c>
      <c r="M258" s="2" t="s">
        <v>78</v>
      </c>
      <c r="N258" s="2" t="s">
        <v>66</v>
      </c>
    </row>
    <row r="259" spans="1:14" x14ac:dyDescent="0.5">
      <c r="A259" s="2" t="s">
        <v>14</v>
      </c>
      <c r="B259" s="3">
        <v>30</v>
      </c>
      <c r="C259" s="4" t="s">
        <v>37</v>
      </c>
      <c r="D259" s="2" t="s">
        <v>38</v>
      </c>
      <c r="E259" s="2" t="s">
        <v>42</v>
      </c>
      <c r="F259" s="5">
        <v>3</v>
      </c>
      <c r="G259" s="1">
        <v>15000000</v>
      </c>
      <c r="H259" s="2">
        <v>2</v>
      </c>
      <c r="I259" s="6">
        <v>1.3888888888888889E-3</v>
      </c>
      <c r="J259" s="2" t="s">
        <v>18</v>
      </c>
      <c r="K259" s="2" t="s">
        <v>50</v>
      </c>
      <c r="L259" s="2" t="s">
        <v>48</v>
      </c>
      <c r="M259" s="2" t="s">
        <v>76</v>
      </c>
      <c r="N259" s="2" t="s">
        <v>26</v>
      </c>
    </row>
    <row r="260" spans="1:14" x14ac:dyDescent="0.5">
      <c r="A260" s="2" t="s">
        <v>14</v>
      </c>
      <c r="B260" s="3">
        <v>3</v>
      </c>
      <c r="C260" s="4" t="s">
        <v>44</v>
      </c>
      <c r="D260" s="2" t="s">
        <v>32</v>
      </c>
      <c r="E260" s="2" t="s">
        <v>23</v>
      </c>
      <c r="F260" s="5">
        <v>4</v>
      </c>
      <c r="G260" s="1">
        <v>20000000</v>
      </c>
      <c r="H260" s="2">
        <v>6</v>
      </c>
      <c r="I260" s="6">
        <v>1.3888888888888889E-3</v>
      </c>
      <c r="J260" s="2" t="s">
        <v>61</v>
      </c>
      <c r="K260" s="2" t="s">
        <v>29</v>
      </c>
      <c r="L260" s="2" t="s">
        <v>33</v>
      </c>
      <c r="M260" s="2" t="s">
        <v>77</v>
      </c>
      <c r="N260" s="2" t="s">
        <v>54</v>
      </c>
    </row>
    <row r="261" spans="1:14" x14ac:dyDescent="0.5">
      <c r="A261" s="2" t="s">
        <v>14</v>
      </c>
      <c r="B261" s="3">
        <v>3</v>
      </c>
      <c r="C261" s="4" t="s">
        <v>44</v>
      </c>
      <c r="D261" s="2" t="s">
        <v>38</v>
      </c>
      <c r="E261" s="2" t="s">
        <v>45</v>
      </c>
      <c r="F261" s="5">
        <v>5</v>
      </c>
      <c r="G261" s="1">
        <v>25000000</v>
      </c>
      <c r="H261" s="2">
        <v>2</v>
      </c>
      <c r="I261" s="6">
        <v>1.3888888888888889E-3</v>
      </c>
      <c r="J261" s="2" t="s">
        <v>18</v>
      </c>
      <c r="K261" s="2" t="s">
        <v>64</v>
      </c>
      <c r="L261" s="2" t="s">
        <v>43</v>
      </c>
      <c r="M261" s="2" t="s">
        <v>78</v>
      </c>
      <c r="N261" s="2" t="s">
        <v>53</v>
      </c>
    </row>
    <row r="262" spans="1:14" x14ac:dyDescent="0.5">
      <c r="A262" s="2" t="s">
        <v>14</v>
      </c>
      <c r="B262" s="3">
        <v>10</v>
      </c>
      <c r="C262" s="4" t="s">
        <v>44</v>
      </c>
      <c r="D262" s="2" t="s">
        <v>32</v>
      </c>
      <c r="E262" s="2" t="s">
        <v>42</v>
      </c>
      <c r="F262" s="5">
        <v>2</v>
      </c>
      <c r="G262" s="1">
        <v>12000000</v>
      </c>
      <c r="H262" s="2">
        <v>1</v>
      </c>
      <c r="I262" s="6">
        <v>1.3888888888888889E-3</v>
      </c>
      <c r="J262" s="2" t="s">
        <v>18</v>
      </c>
      <c r="K262" s="2" t="s">
        <v>47</v>
      </c>
      <c r="L262" s="2" t="s">
        <v>43</v>
      </c>
      <c r="M262" s="2" t="s">
        <v>78</v>
      </c>
      <c r="N262" s="2" t="s">
        <v>66</v>
      </c>
    </row>
    <row r="263" spans="1:14" x14ac:dyDescent="0.5">
      <c r="A263" s="2" t="s">
        <v>14</v>
      </c>
      <c r="B263" s="3">
        <v>2</v>
      </c>
      <c r="C263" s="4" t="s">
        <v>44</v>
      </c>
      <c r="D263" s="2" t="s">
        <v>28</v>
      </c>
      <c r="E263" s="2" t="s">
        <v>23</v>
      </c>
      <c r="F263" s="5">
        <v>5</v>
      </c>
      <c r="G263" s="1">
        <v>25000000</v>
      </c>
      <c r="H263" s="2">
        <v>1</v>
      </c>
      <c r="I263" s="6">
        <v>1.3888888888888889E-3</v>
      </c>
      <c r="J263" s="2" t="s">
        <v>18</v>
      </c>
      <c r="K263" s="2" t="s">
        <v>29</v>
      </c>
      <c r="L263" s="2" t="s">
        <v>48</v>
      </c>
      <c r="M263" s="2" t="s">
        <v>76</v>
      </c>
      <c r="N263" s="2" t="s">
        <v>52</v>
      </c>
    </row>
    <row r="264" spans="1:14" x14ac:dyDescent="0.5">
      <c r="A264" s="2" t="s">
        <v>14</v>
      </c>
      <c r="B264" s="3">
        <v>16</v>
      </c>
      <c r="C264" s="4" t="s">
        <v>69</v>
      </c>
      <c r="D264" s="2" t="s">
        <v>16</v>
      </c>
      <c r="E264" s="2" t="s">
        <v>23</v>
      </c>
      <c r="F264" s="5">
        <v>3</v>
      </c>
      <c r="G264" s="1">
        <v>12000000</v>
      </c>
      <c r="H264" s="2">
        <v>3</v>
      </c>
      <c r="I264" s="6">
        <v>1.3888888888888889E-3</v>
      </c>
      <c r="J264" s="2" t="s">
        <v>18</v>
      </c>
      <c r="K264" s="2" t="s">
        <v>35</v>
      </c>
      <c r="L264" s="2" t="s">
        <v>33</v>
      </c>
      <c r="M264" s="2" t="s">
        <v>66</v>
      </c>
      <c r="N264" s="2" t="s">
        <v>36</v>
      </c>
    </row>
    <row r="265" spans="1:14" x14ac:dyDescent="0.5">
      <c r="A265" s="2" t="s">
        <v>14</v>
      </c>
      <c r="B265" s="3">
        <v>1</v>
      </c>
      <c r="C265" s="4" t="s">
        <v>69</v>
      </c>
      <c r="D265" s="2" t="s">
        <v>28</v>
      </c>
      <c r="E265" s="2" t="s">
        <v>42</v>
      </c>
      <c r="F265" s="5">
        <v>2</v>
      </c>
      <c r="G265" s="1">
        <v>10000000</v>
      </c>
      <c r="H265" s="2">
        <v>2</v>
      </c>
      <c r="I265" s="6">
        <v>1.3888888888888889E-3</v>
      </c>
      <c r="J265" s="2" t="s">
        <v>18</v>
      </c>
      <c r="K265" s="2" t="s">
        <v>39</v>
      </c>
      <c r="L265" s="2" t="s">
        <v>51</v>
      </c>
      <c r="M265" s="2" t="s">
        <v>77</v>
      </c>
      <c r="N265" s="2" t="s">
        <v>65</v>
      </c>
    </row>
    <row r="266" spans="1:14" x14ac:dyDescent="0.5">
      <c r="A266" s="2" t="s">
        <v>14</v>
      </c>
      <c r="B266" s="3">
        <v>2</v>
      </c>
      <c r="C266" s="4" t="s">
        <v>55</v>
      </c>
      <c r="D266" s="2" t="s">
        <v>32</v>
      </c>
      <c r="E266" s="2" t="s">
        <v>42</v>
      </c>
      <c r="F266" s="5">
        <v>4</v>
      </c>
      <c r="G266" s="1">
        <v>15000000</v>
      </c>
      <c r="H266" s="2">
        <v>3</v>
      </c>
      <c r="I266" s="6">
        <v>1.3888888888888889E-3</v>
      </c>
      <c r="J266" s="2" t="s">
        <v>18</v>
      </c>
      <c r="K266" s="2" t="s">
        <v>24</v>
      </c>
      <c r="L266" s="2" t="s">
        <v>25</v>
      </c>
      <c r="M266" s="2" t="s">
        <v>78</v>
      </c>
      <c r="N266" s="2" t="s">
        <v>41</v>
      </c>
    </row>
    <row r="267" spans="1:14" x14ac:dyDescent="0.5">
      <c r="A267" s="2" t="s">
        <v>14</v>
      </c>
      <c r="B267" s="3">
        <v>11</v>
      </c>
      <c r="C267" s="4" t="s">
        <v>57</v>
      </c>
      <c r="D267" s="2" t="s">
        <v>38</v>
      </c>
      <c r="E267" s="2" t="s">
        <v>42</v>
      </c>
      <c r="F267" s="5">
        <v>2</v>
      </c>
      <c r="G267" s="1">
        <v>12000000</v>
      </c>
      <c r="H267" s="2">
        <v>1</v>
      </c>
      <c r="I267" s="6">
        <v>1.3888888888888889E-3</v>
      </c>
      <c r="J267" s="2" t="s">
        <v>18</v>
      </c>
      <c r="K267" s="2" t="s">
        <v>19</v>
      </c>
      <c r="L267" s="2" t="s">
        <v>25</v>
      </c>
      <c r="M267" s="2" t="s">
        <v>78</v>
      </c>
      <c r="N267" s="2" t="s">
        <v>53</v>
      </c>
    </row>
    <row r="268" spans="1:14" x14ac:dyDescent="0.5">
      <c r="A268" s="2" t="s">
        <v>14</v>
      </c>
      <c r="B268" s="3">
        <v>1</v>
      </c>
      <c r="C268" s="4" t="s">
        <v>59</v>
      </c>
      <c r="D268" s="2" t="s">
        <v>32</v>
      </c>
      <c r="E268" s="2" t="s">
        <v>45</v>
      </c>
      <c r="F268" s="5">
        <v>1</v>
      </c>
      <c r="G268" s="1">
        <v>19000000</v>
      </c>
      <c r="H268" s="2">
        <v>2</v>
      </c>
      <c r="I268" s="6">
        <v>1.3888888888888889E-3</v>
      </c>
      <c r="J268" s="2" t="s">
        <v>46</v>
      </c>
      <c r="K268" s="2" t="s">
        <v>39</v>
      </c>
      <c r="L268" s="2" t="s">
        <v>30</v>
      </c>
      <c r="M268" s="2" t="s">
        <v>77</v>
      </c>
      <c r="N268" s="2" t="s">
        <v>65</v>
      </c>
    </row>
    <row r="269" spans="1:14" x14ac:dyDescent="0.5">
      <c r="A269" s="2" t="s">
        <v>14</v>
      </c>
      <c r="B269" s="3">
        <v>1</v>
      </c>
      <c r="C269" s="4" t="s">
        <v>60</v>
      </c>
      <c r="D269" s="2" t="s">
        <v>49</v>
      </c>
      <c r="E269" s="2" t="s">
        <v>23</v>
      </c>
      <c r="F269" s="5">
        <v>3</v>
      </c>
      <c r="G269" s="1">
        <v>15000000</v>
      </c>
      <c r="H269" s="2">
        <v>2</v>
      </c>
      <c r="I269" s="6">
        <v>1.3888888888888889E-3</v>
      </c>
      <c r="J269" s="2" t="s">
        <v>18</v>
      </c>
      <c r="K269" s="2" t="s">
        <v>56</v>
      </c>
      <c r="L269" s="2" t="s">
        <v>51</v>
      </c>
      <c r="M269" s="2" t="s">
        <v>76</v>
      </c>
      <c r="N269" s="2" t="s">
        <v>31</v>
      </c>
    </row>
    <row r="270" spans="1:14" x14ac:dyDescent="0.5">
      <c r="A270" s="2" t="s">
        <v>70</v>
      </c>
      <c r="B270" s="3">
        <v>23</v>
      </c>
      <c r="C270" s="4" t="s">
        <v>27</v>
      </c>
      <c r="D270" s="2" t="s">
        <v>73</v>
      </c>
      <c r="E270" s="2" t="s">
        <v>23</v>
      </c>
      <c r="F270" s="5">
        <v>0</v>
      </c>
      <c r="G270" s="1">
        <v>0</v>
      </c>
      <c r="H270" s="2">
        <v>1</v>
      </c>
      <c r="I270" s="6">
        <v>1.3888888888888889E-3</v>
      </c>
      <c r="J270" s="2"/>
      <c r="K270" s="2"/>
      <c r="L270" s="2" t="s">
        <v>48</v>
      </c>
      <c r="M270" s="2" t="s">
        <v>77</v>
      </c>
      <c r="N270" s="2" t="s">
        <v>54</v>
      </c>
    </row>
    <row r="271" spans="1:14" x14ac:dyDescent="0.5">
      <c r="A271" s="2" t="s">
        <v>70</v>
      </c>
      <c r="B271" s="3">
        <v>9</v>
      </c>
      <c r="C271" s="4" t="s">
        <v>37</v>
      </c>
      <c r="D271" s="2" t="s">
        <v>32</v>
      </c>
      <c r="E271" s="2" t="s">
        <v>68</v>
      </c>
      <c r="F271" s="5">
        <v>0</v>
      </c>
      <c r="G271" s="1">
        <v>0</v>
      </c>
      <c r="H271" s="2">
        <v>1</v>
      </c>
      <c r="I271" s="6">
        <v>1.3888888888888889E-3</v>
      </c>
      <c r="J271" s="2"/>
      <c r="K271" s="2"/>
      <c r="L271" s="2" t="s">
        <v>33</v>
      </c>
      <c r="M271" s="2" t="s">
        <v>77</v>
      </c>
      <c r="N271" s="2" t="s">
        <v>54</v>
      </c>
    </row>
    <row r="272" spans="1:14" x14ac:dyDescent="0.5">
      <c r="A272" s="2" t="s">
        <v>70</v>
      </c>
      <c r="B272" s="3">
        <v>23</v>
      </c>
      <c r="C272" s="4" t="s">
        <v>37</v>
      </c>
      <c r="D272" s="2" t="s">
        <v>32</v>
      </c>
      <c r="E272" s="2" t="s">
        <v>45</v>
      </c>
      <c r="F272" s="5">
        <v>0</v>
      </c>
      <c r="G272" s="1">
        <v>0</v>
      </c>
      <c r="H272" s="2">
        <v>1</v>
      </c>
      <c r="I272" s="6">
        <v>1.3888888888888889E-3</v>
      </c>
      <c r="J272" s="2"/>
      <c r="K272" s="2"/>
      <c r="L272" s="2" t="s">
        <v>20</v>
      </c>
      <c r="M272" s="2" t="s">
        <v>66</v>
      </c>
      <c r="N272" s="2" t="s">
        <v>36</v>
      </c>
    </row>
    <row r="273" spans="1:14" x14ac:dyDescent="0.5">
      <c r="A273" s="2" t="s">
        <v>70</v>
      </c>
      <c r="B273" s="3">
        <v>4</v>
      </c>
      <c r="C273" s="4" t="s">
        <v>37</v>
      </c>
      <c r="D273" s="2" t="s">
        <v>16</v>
      </c>
      <c r="E273" s="2" t="s">
        <v>42</v>
      </c>
      <c r="F273" s="5">
        <v>0</v>
      </c>
      <c r="G273" s="1">
        <v>0</v>
      </c>
      <c r="H273" s="2">
        <v>2</v>
      </c>
      <c r="I273" s="6">
        <v>1.3888888888888889E-3</v>
      </c>
      <c r="J273" s="2"/>
      <c r="K273" s="2"/>
      <c r="L273" s="2" t="s">
        <v>43</v>
      </c>
      <c r="M273" s="2" t="s">
        <v>76</v>
      </c>
      <c r="N273" s="2" t="s">
        <v>52</v>
      </c>
    </row>
    <row r="274" spans="1:14" x14ac:dyDescent="0.5">
      <c r="A274" s="2" t="s">
        <v>70</v>
      </c>
      <c r="B274" s="3">
        <v>8</v>
      </c>
      <c r="C274" s="4" t="s">
        <v>69</v>
      </c>
      <c r="D274" s="2" t="s">
        <v>16</v>
      </c>
      <c r="E274" s="2" t="s">
        <v>17</v>
      </c>
      <c r="F274" s="5">
        <v>0</v>
      </c>
      <c r="G274" s="1">
        <v>0</v>
      </c>
      <c r="H274" s="2">
        <v>6</v>
      </c>
      <c r="I274" s="6">
        <v>1.3888888888888889E-3</v>
      </c>
      <c r="J274" s="2"/>
      <c r="K274" s="2"/>
      <c r="L274" s="2" t="s">
        <v>43</v>
      </c>
      <c r="M274" s="2" t="s">
        <v>76</v>
      </c>
      <c r="N274" s="2" t="s">
        <v>75</v>
      </c>
    </row>
    <row r="275" spans="1:14" x14ac:dyDescent="0.5">
      <c r="A275" s="2" t="s">
        <v>70</v>
      </c>
      <c r="B275" s="3">
        <v>10</v>
      </c>
      <c r="C275" s="4" t="s">
        <v>69</v>
      </c>
      <c r="D275" s="2" t="s">
        <v>32</v>
      </c>
      <c r="E275" s="2" t="s">
        <v>42</v>
      </c>
      <c r="F275" s="5">
        <v>0</v>
      </c>
      <c r="G275" s="1">
        <v>0</v>
      </c>
      <c r="H275" s="2">
        <v>1</v>
      </c>
      <c r="I275" s="6">
        <v>1.3888888888888889E-3</v>
      </c>
      <c r="J275" s="2"/>
      <c r="K275" s="2"/>
      <c r="L275" s="2" t="s">
        <v>51</v>
      </c>
      <c r="M275" s="2" t="s">
        <v>66</v>
      </c>
      <c r="N275" s="2" t="s">
        <v>36</v>
      </c>
    </row>
    <row r="276" spans="1:14" x14ac:dyDescent="0.5">
      <c r="A276" s="2" t="s">
        <v>14</v>
      </c>
      <c r="B276" s="3">
        <v>11</v>
      </c>
      <c r="C276" s="4" t="s">
        <v>57</v>
      </c>
      <c r="D276" s="2" t="s">
        <v>16</v>
      </c>
      <c r="E276" s="2" t="s">
        <v>23</v>
      </c>
      <c r="F276" s="5">
        <v>4</v>
      </c>
      <c r="G276" s="1">
        <v>20000000</v>
      </c>
      <c r="H276" s="2">
        <v>1</v>
      </c>
      <c r="I276" s="6">
        <v>1.3888888888888889E-3</v>
      </c>
      <c r="J276" s="2" t="s">
        <v>18</v>
      </c>
      <c r="K276" s="2" t="s">
        <v>47</v>
      </c>
      <c r="L276" s="2" t="s">
        <v>25</v>
      </c>
      <c r="M276" s="2" t="s">
        <v>66</v>
      </c>
      <c r="N276" s="2" t="s">
        <v>67</v>
      </c>
    </row>
    <row r="277" spans="1:14" x14ac:dyDescent="0.5">
      <c r="A277" s="2" t="s">
        <v>14</v>
      </c>
      <c r="B277" s="3">
        <v>1</v>
      </c>
      <c r="C277" s="4" t="s">
        <v>15</v>
      </c>
      <c r="D277" s="2" t="s">
        <v>49</v>
      </c>
      <c r="E277" s="2" t="s">
        <v>42</v>
      </c>
      <c r="F277" s="5">
        <v>2</v>
      </c>
      <c r="G277" s="1">
        <v>12000000</v>
      </c>
      <c r="H277" s="2">
        <v>1</v>
      </c>
      <c r="I277" s="6">
        <v>1.3888888888888889E-3</v>
      </c>
      <c r="J277" s="2" t="s">
        <v>18</v>
      </c>
      <c r="K277" s="2" t="s">
        <v>29</v>
      </c>
      <c r="L277" s="2" t="s">
        <v>33</v>
      </c>
      <c r="M277" s="2" t="s">
        <v>76</v>
      </c>
      <c r="N277" s="2" t="s">
        <v>71</v>
      </c>
    </row>
    <row r="278" spans="1:14" x14ac:dyDescent="0.5">
      <c r="A278" s="2" t="s">
        <v>14</v>
      </c>
      <c r="B278" s="3">
        <v>13</v>
      </c>
      <c r="C278" s="4" t="s">
        <v>60</v>
      </c>
      <c r="D278" s="2" t="s">
        <v>16</v>
      </c>
      <c r="E278" s="2" t="s">
        <v>23</v>
      </c>
      <c r="F278" s="5">
        <v>5</v>
      </c>
      <c r="G278" s="1">
        <v>21000000</v>
      </c>
      <c r="H278" s="2">
        <v>4</v>
      </c>
      <c r="I278" s="6">
        <v>1.3888888888888889E-3</v>
      </c>
      <c r="J278" s="2" t="s">
        <v>18</v>
      </c>
      <c r="K278" s="2" t="s">
        <v>50</v>
      </c>
      <c r="L278" s="2" t="s">
        <v>40</v>
      </c>
      <c r="M278" s="2" t="s">
        <v>66</v>
      </c>
      <c r="N278" s="2" t="s">
        <v>36</v>
      </c>
    </row>
    <row r="279" spans="1:14" x14ac:dyDescent="0.5">
      <c r="A279" s="2" t="s">
        <v>14</v>
      </c>
      <c r="B279" s="3">
        <v>28</v>
      </c>
      <c r="C279" s="4" t="s">
        <v>22</v>
      </c>
      <c r="D279" s="2" t="s">
        <v>38</v>
      </c>
      <c r="E279" s="2" t="s">
        <v>42</v>
      </c>
      <c r="F279" s="5">
        <v>4</v>
      </c>
      <c r="G279" s="1">
        <v>11000000</v>
      </c>
      <c r="H279" s="2">
        <v>2</v>
      </c>
      <c r="I279" s="6">
        <v>1.3888888888888889E-3</v>
      </c>
      <c r="J279" s="2" t="s">
        <v>61</v>
      </c>
      <c r="K279" s="2" t="s">
        <v>19</v>
      </c>
      <c r="L279" s="2" t="s">
        <v>40</v>
      </c>
      <c r="M279" s="2" t="s">
        <v>77</v>
      </c>
      <c r="N279" s="2" t="s">
        <v>54</v>
      </c>
    </row>
    <row r="280" spans="1:14" x14ac:dyDescent="0.5">
      <c r="A280" s="2" t="s">
        <v>14</v>
      </c>
      <c r="B280" s="3">
        <v>27</v>
      </c>
      <c r="C280" s="4" t="s">
        <v>37</v>
      </c>
      <c r="D280" s="2" t="s">
        <v>16</v>
      </c>
      <c r="E280" s="2" t="s">
        <v>42</v>
      </c>
      <c r="F280" s="5">
        <v>1</v>
      </c>
      <c r="G280" s="1">
        <v>19000000</v>
      </c>
      <c r="H280" s="2">
        <v>2</v>
      </c>
      <c r="I280" s="6">
        <v>1.3888888888888889E-3</v>
      </c>
      <c r="J280" s="2" t="s">
        <v>46</v>
      </c>
      <c r="K280" s="2" t="s">
        <v>56</v>
      </c>
      <c r="L280" s="2" t="s">
        <v>43</v>
      </c>
      <c r="M280" s="2" t="s">
        <v>78</v>
      </c>
      <c r="N280" s="2" t="s">
        <v>53</v>
      </c>
    </row>
    <row r="281" spans="1:14" x14ac:dyDescent="0.5">
      <c r="A281" s="2" t="s">
        <v>14</v>
      </c>
      <c r="B281" s="3">
        <v>9</v>
      </c>
      <c r="C281" s="4" t="s">
        <v>37</v>
      </c>
      <c r="D281" s="2" t="s">
        <v>16</v>
      </c>
      <c r="E281" s="2" t="s">
        <v>17</v>
      </c>
      <c r="F281" s="5">
        <v>3</v>
      </c>
      <c r="G281" s="1">
        <v>15000000</v>
      </c>
      <c r="H281" s="2">
        <v>1</v>
      </c>
      <c r="I281" s="6">
        <v>1.3888888888888889E-3</v>
      </c>
      <c r="J281" s="2" t="s">
        <v>18</v>
      </c>
      <c r="K281" s="2" t="s">
        <v>47</v>
      </c>
      <c r="L281" s="2" t="s">
        <v>51</v>
      </c>
      <c r="M281" s="2" t="s">
        <v>76</v>
      </c>
      <c r="N281" s="2" t="s">
        <v>26</v>
      </c>
    </row>
    <row r="282" spans="1:14" x14ac:dyDescent="0.5">
      <c r="A282" s="2" t="s">
        <v>14</v>
      </c>
      <c r="B282" s="3">
        <v>19</v>
      </c>
      <c r="C282" s="4" t="s">
        <v>37</v>
      </c>
      <c r="D282" s="2" t="s">
        <v>16</v>
      </c>
      <c r="E282" s="2" t="s">
        <v>42</v>
      </c>
      <c r="F282" s="5">
        <v>5</v>
      </c>
      <c r="G282" s="1">
        <v>25000000</v>
      </c>
      <c r="H282" s="2">
        <v>3</v>
      </c>
      <c r="I282" s="6">
        <v>1.3888888888888889E-3</v>
      </c>
      <c r="J282" s="2" t="s">
        <v>18</v>
      </c>
      <c r="K282" s="2" t="s">
        <v>19</v>
      </c>
      <c r="L282" s="2" t="s">
        <v>48</v>
      </c>
      <c r="M282" s="2" t="s">
        <v>76</v>
      </c>
      <c r="N282" s="2" t="s">
        <v>26</v>
      </c>
    </row>
    <row r="283" spans="1:14" x14ac:dyDescent="0.5">
      <c r="A283" s="2" t="s">
        <v>14</v>
      </c>
      <c r="B283" s="3">
        <v>3</v>
      </c>
      <c r="C283" s="4" t="s">
        <v>44</v>
      </c>
      <c r="D283" s="2" t="s">
        <v>16</v>
      </c>
      <c r="E283" s="2" t="s">
        <v>42</v>
      </c>
      <c r="F283" s="5">
        <v>2</v>
      </c>
      <c r="G283" s="1">
        <v>12000000</v>
      </c>
      <c r="H283" s="2">
        <v>4</v>
      </c>
      <c r="I283" s="6">
        <v>1.3888888888888889E-3</v>
      </c>
      <c r="J283" s="2" t="s">
        <v>18</v>
      </c>
      <c r="K283" s="2" t="s">
        <v>19</v>
      </c>
      <c r="L283" s="2" t="s">
        <v>20</v>
      </c>
      <c r="M283" s="2" t="s">
        <v>77</v>
      </c>
      <c r="N283" s="2" t="s">
        <v>65</v>
      </c>
    </row>
    <row r="284" spans="1:14" x14ac:dyDescent="0.5">
      <c r="A284" s="2" t="s">
        <v>14</v>
      </c>
      <c r="B284" s="3">
        <v>12</v>
      </c>
      <c r="C284" s="4" t="s">
        <v>44</v>
      </c>
      <c r="D284" s="2" t="s">
        <v>49</v>
      </c>
      <c r="E284" s="2" t="s">
        <v>17</v>
      </c>
      <c r="F284" s="5">
        <v>3</v>
      </c>
      <c r="G284" s="1">
        <v>15000000</v>
      </c>
      <c r="H284" s="2">
        <v>2</v>
      </c>
      <c r="I284" s="6">
        <v>1.3888888888888889E-3</v>
      </c>
      <c r="J284" s="2" t="s">
        <v>18</v>
      </c>
      <c r="K284" s="2" t="s">
        <v>64</v>
      </c>
      <c r="L284" s="2" t="s">
        <v>43</v>
      </c>
      <c r="M284" s="2" t="s">
        <v>77</v>
      </c>
      <c r="N284" s="2" t="s">
        <v>34</v>
      </c>
    </row>
    <row r="285" spans="1:14" x14ac:dyDescent="0.5">
      <c r="A285" s="2" t="s">
        <v>14</v>
      </c>
      <c r="B285" s="3">
        <v>15</v>
      </c>
      <c r="C285" s="4" t="s">
        <v>69</v>
      </c>
      <c r="D285" s="2" t="s">
        <v>16</v>
      </c>
      <c r="E285" s="2" t="s">
        <v>23</v>
      </c>
      <c r="F285" s="5">
        <v>2</v>
      </c>
      <c r="G285" s="1">
        <v>38000000</v>
      </c>
      <c r="H285" s="2">
        <v>1</v>
      </c>
      <c r="I285" s="6">
        <v>1.3888888888888889E-3</v>
      </c>
      <c r="J285" s="2" t="s">
        <v>46</v>
      </c>
      <c r="K285" s="2" t="s">
        <v>29</v>
      </c>
      <c r="L285" s="2" t="s">
        <v>33</v>
      </c>
      <c r="M285" s="2" t="s">
        <v>76</v>
      </c>
      <c r="N285" s="2" t="s">
        <v>71</v>
      </c>
    </row>
    <row r="286" spans="1:14" x14ac:dyDescent="0.5">
      <c r="A286" s="2" t="s">
        <v>14</v>
      </c>
      <c r="B286" s="3">
        <v>11</v>
      </c>
      <c r="C286" s="4" t="s">
        <v>57</v>
      </c>
      <c r="D286" s="2" t="s">
        <v>16</v>
      </c>
      <c r="E286" s="2" t="s">
        <v>23</v>
      </c>
      <c r="F286" s="5">
        <v>4</v>
      </c>
      <c r="G286" s="1">
        <v>20000000</v>
      </c>
      <c r="H286" s="2">
        <v>1</v>
      </c>
      <c r="I286" s="6">
        <v>1.3888888888888889E-3</v>
      </c>
      <c r="J286" s="2" t="s">
        <v>18</v>
      </c>
      <c r="K286" s="2" t="s">
        <v>47</v>
      </c>
      <c r="L286" s="2" t="s">
        <v>25</v>
      </c>
      <c r="M286" s="2" t="s">
        <v>66</v>
      </c>
      <c r="N286" s="2" t="s">
        <v>67</v>
      </c>
    </row>
    <row r="287" spans="1:14" x14ac:dyDescent="0.5">
      <c r="A287" s="2" t="s">
        <v>14</v>
      </c>
      <c r="B287" s="3">
        <v>1</v>
      </c>
      <c r="C287" s="4" t="s">
        <v>15</v>
      </c>
      <c r="D287" s="2" t="s">
        <v>49</v>
      </c>
      <c r="E287" s="2" t="s">
        <v>42</v>
      </c>
      <c r="F287" s="5">
        <v>2</v>
      </c>
      <c r="G287" s="1">
        <v>12000000</v>
      </c>
      <c r="H287" s="2">
        <v>1</v>
      </c>
      <c r="I287" s="6">
        <v>1.3888888888888889E-3</v>
      </c>
      <c r="J287" s="2" t="s">
        <v>18</v>
      </c>
      <c r="K287" s="2" t="s">
        <v>29</v>
      </c>
      <c r="L287" s="2" t="s">
        <v>33</v>
      </c>
      <c r="M287" s="2" t="s">
        <v>76</v>
      </c>
      <c r="N287" s="2" t="s">
        <v>71</v>
      </c>
    </row>
    <row r="288" spans="1:14" x14ac:dyDescent="0.5">
      <c r="A288" s="2" t="s">
        <v>14</v>
      </c>
      <c r="B288" s="3">
        <v>13</v>
      </c>
      <c r="C288" s="4" t="s">
        <v>60</v>
      </c>
      <c r="D288" s="2" t="s">
        <v>16</v>
      </c>
      <c r="E288" s="2" t="s">
        <v>23</v>
      </c>
      <c r="F288" s="5">
        <v>5</v>
      </c>
      <c r="G288" s="1">
        <v>21000000</v>
      </c>
      <c r="H288" s="2">
        <v>4</v>
      </c>
      <c r="I288" s="6">
        <v>1.3888888888888889E-3</v>
      </c>
      <c r="J288" s="2" t="s">
        <v>18</v>
      </c>
      <c r="K288" s="2" t="s">
        <v>50</v>
      </c>
      <c r="L288" s="2" t="s">
        <v>40</v>
      </c>
      <c r="M288" s="2" t="s">
        <v>66</v>
      </c>
      <c r="N288" s="2" t="s">
        <v>36</v>
      </c>
    </row>
    <row r="289" spans="1:14" x14ac:dyDescent="0.5">
      <c r="A289" s="2" t="s">
        <v>14</v>
      </c>
      <c r="B289" s="3">
        <v>28</v>
      </c>
      <c r="C289" s="4" t="s">
        <v>22</v>
      </c>
      <c r="D289" s="2" t="s">
        <v>38</v>
      </c>
      <c r="E289" s="2" t="s">
        <v>42</v>
      </c>
      <c r="F289" s="5">
        <v>4</v>
      </c>
      <c r="G289" s="1">
        <v>11000000</v>
      </c>
      <c r="H289" s="2">
        <v>2</v>
      </c>
      <c r="I289" s="6">
        <v>1.3888888888888889E-3</v>
      </c>
      <c r="J289" s="2" t="s">
        <v>61</v>
      </c>
      <c r="K289" s="2" t="s">
        <v>19</v>
      </c>
      <c r="L289" s="2" t="s">
        <v>40</v>
      </c>
      <c r="M289" s="2" t="s">
        <v>77</v>
      </c>
      <c r="N289" s="2" t="s">
        <v>54</v>
      </c>
    </row>
    <row r="290" spans="1:14" x14ac:dyDescent="0.5">
      <c r="A290" s="2" t="s">
        <v>70</v>
      </c>
      <c r="B290" s="3">
        <v>12</v>
      </c>
      <c r="C290" s="4" t="s">
        <v>55</v>
      </c>
      <c r="D290" s="2" t="s">
        <v>16</v>
      </c>
      <c r="E290" s="2" t="s">
        <v>23</v>
      </c>
      <c r="F290" s="5">
        <v>0</v>
      </c>
      <c r="G290" s="1">
        <v>0</v>
      </c>
      <c r="H290" s="2">
        <v>1</v>
      </c>
      <c r="I290" s="6">
        <v>1.3888888888888889E-3</v>
      </c>
      <c r="J290" s="2"/>
      <c r="K290" s="2"/>
      <c r="L290" s="2" t="s">
        <v>33</v>
      </c>
      <c r="M290" s="2" t="s">
        <v>76</v>
      </c>
      <c r="N290" s="2" t="s">
        <v>75</v>
      </c>
    </row>
    <row r="291" spans="1:14" x14ac:dyDescent="0.5">
      <c r="A291" s="2" t="s">
        <v>70</v>
      </c>
      <c r="B291" s="3">
        <v>30</v>
      </c>
      <c r="C291" s="4" t="s">
        <v>69</v>
      </c>
      <c r="D291" s="2" t="s">
        <v>28</v>
      </c>
      <c r="E291" s="2" t="s">
        <v>45</v>
      </c>
      <c r="F291" s="5">
        <v>0</v>
      </c>
      <c r="G291" s="1">
        <v>0</v>
      </c>
      <c r="H291" s="2">
        <v>5</v>
      </c>
      <c r="I291" s="6">
        <v>1.3888888888888889E-3</v>
      </c>
      <c r="J291" s="2"/>
      <c r="K291" s="2"/>
      <c r="L291" s="2" t="s">
        <v>30</v>
      </c>
      <c r="M291" s="2" t="s">
        <v>78</v>
      </c>
      <c r="N291" s="2" t="s">
        <v>66</v>
      </c>
    </row>
    <row r="292" spans="1:14" x14ac:dyDescent="0.5">
      <c r="A292" s="2" t="s">
        <v>70</v>
      </c>
      <c r="B292" s="3">
        <v>30</v>
      </c>
      <c r="C292" s="4" t="s">
        <v>69</v>
      </c>
      <c r="D292" s="2" t="s">
        <v>28</v>
      </c>
      <c r="E292" s="2" t="s">
        <v>42</v>
      </c>
      <c r="F292" s="5">
        <v>0</v>
      </c>
      <c r="G292" s="1">
        <v>0</v>
      </c>
      <c r="H292" s="2">
        <v>3</v>
      </c>
      <c r="I292" s="6">
        <v>1.3888888888888889E-3</v>
      </c>
      <c r="J292" s="2"/>
      <c r="K292" s="2"/>
      <c r="L292" s="2" t="s">
        <v>51</v>
      </c>
      <c r="M292" s="2" t="s">
        <v>78</v>
      </c>
      <c r="N292" s="2" t="s">
        <v>53</v>
      </c>
    </row>
    <row r="293" spans="1:14" x14ac:dyDescent="0.5">
      <c r="A293" s="2" t="s">
        <v>70</v>
      </c>
      <c r="B293" s="3">
        <v>12</v>
      </c>
      <c r="C293" s="4" t="s">
        <v>55</v>
      </c>
      <c r="D293" s="2" t="s">
        <v>16</v>
      </c>
      <c r="E293" s="2" t="s">
        <v>23</v>
      </c>
      <c r="F293" s="5">
        <v>0</v>
      </c>
      <c r="G293" s="1">
        <v>0</v>
      </c>
      <c r="H293" s="2">
        <v>1</v>
      </c>
      <c r="I293" s="6">
        <v>1.3888888888888889E-3</v>
      </c>
      <c r="J293" s="2"/>
      <c r="K293" s="2"/>
      <c r="L293" s="2" t="s">
        <v>33</v>
      </c>
      <c r="M293" s="2" t="s">
        <v>76</v>
      </c>
      <c r="N293" s="2" t="s">
        <v>75</v>
      </c>
    </row>
    <row r="294" spans="1:14" x14ac:dyDescent="0.5">
      <c r="A294" s="2" t="s">
        <v>14</v>
      </c>
      <c r="B294" s="3">
        <v>11</v>
      </c>
      <c r="C294" s="4" t="s">
        <v>57</v>
      </c>
      <c r="D294" s="2" t="s">
        <v>38</v>
      </c>
      <c r="E294" s="2" t="s">
        <v>42</v>
      </c>
      <c r="F294" s="5">
        <v>2</v>
      </c>
      <c r="G294" s="1">
        <v>38000000</v>
      </c>
      <c r="H294" s="2">
        <v>5</v>
      </c>
      <c r="I294" s="6">
        <v>1.3888888888888889E-3</v>
      </c>
      <c r="J294" s="2" t="s">
        <v>46</v>
      </c>
      <c r="K294" s="2" t="s">
        <v>50</v>
      </c>
      <c r="L294" s="2" t="s">
        <v>33</v>
      </c>
      <c r="M294" s="2" t="s">
        <v>76</v>
      </c>
      <c r="N294" s="2" t="s">
        <v>26</v>
      </c>
    </row>
    <row r="295" spans="1:14" x14ac:dyDescent="0.5">
      <c r="A295" s="2" t="s">
        <v>14</v>
      </c>
      <c r="B295" s="3">
        <v>15</v>
      </c>
      <c r="C295" s="4" t="s">
        <v>22</v>
      </c>
      <c r="D295" s="2" t="s">
        <v>16</v>
      </c>
      <c r="E295" s="2" t="s">
        <v>23</v>
      </c>
      <c r="F295" s="5">
        <v>3</v>
      </c>
      <c r="G295" s="1">
        <v>15000000</v>
      </c>
      <c r="H295" s="2">
        <v>2</v>
      </c>
      <c r="I295" s="6">
        <v>1.3888888888888889E-3</v>
      </c>
      <c r="J295" s="2" t="s">
        <v>18</v>
      </c>
      <c r="K295" s="2" t="s">
        <v>56</v>
      </c>
      <c r="L295" s="2" t="s">
        <v>43</v>
      </c>
      <c r="M295" s="2" t="s">
        <v>78</v>
      </c>
      <c r="N295" s="2" t="s">
        <v>53</v>
      </c>
    </row>
    <row r="296" spans="1:14" x14ac:dyDescent="0.5">
      <c r="A296" s="2" t="s">
        <v>14</v>
      </c>
      <c r="B296" s="3">
        <v>30</v>
      </c>
      <c r="C296" s="4" t="s">
        <v>27</v>
      </c>
      <c r="D296" s="2" t="s">
        <v>38</v>
      </c>
      <c r="E296" s="2" t="s">
        <v>23</v>
      </c>
      <c r="F296" s="5">
        <v>1</v>
      </c>
      <c r="G296" s="1">
        <v>19000000</v>
      </c>
      <c r="H296" s="2">
        <v>4</v>
      </c>
      <c r="I296" s="6">
        <v>1.3888888888888889E-3</v>
      </c>
      <c r="J296" s="2" t="s">
        <v>46</v>
      </c>
      <c r="K296" s="2" t="s">
        <v>29</v>
      </c>
      <c r="L296" s="2" t="s">
        <v>51</v>
      </c>
      <c r="M296" s="2" t="s">
        <v>78</v>
      </c>
      <c r="N296" s="2" t="s">
        <v>21</v>
      </c>
    </row>
    <row r="297" spans="1:14" x14ac:dyDescent="0.5">
      <c r="A297" s="2" t="s">
        <v>14</v>
      </c>
      <c r="B297" s="3">
        <v>23</v>
      </c>
      <c r="C297" s="4" t="s">
        <v>27</v>
      </c>
      <c r="D297" s="2" t="s">
        <v>16</v>
      </c>
      <c r="E297" s="2" t="s">
        <v>23</v>
      </c>
      <c r="F297" s="5">
        <v>2</v>
      </c>
      <c r="G297" s="1">
        <v>12000000</v>
      </c>
      <c r="H297" s="2">
        <v>2</v>
      </c>
      <c r="I297" s="6">
        <v>1.3888888888888889E-3</v>
      </c>
      <c r="J297" s="2" t="s">
        <v>18</v>
      </c>
      <c r="K297" s="2" t="s">
        <v>39</v>
      </c>
      <c r="L297" s="2" t="s">
        <v>25</v>
      </c>
      <c r="M297" s="2" t="s">
        <v>77</v>
      </c>
      <c r="N297" s="2" t="s">
        <v>54</v>
      </c>
    </row>
    <row r="298" spans="1:14" x14ac:dyDescent="0.5">
      <c r="A298" s="2" t="s">
        <v>14</v>
      </c>
      <c r="B298" s="3">
        <v>30</v>
      </c>
      <c r="C298" s="4" t="s">
        <v>27</v>
      </c>
      <c r="D298" s="2" t="s">
        <v>38</v>
      </c>
      <c r="E298" s="2" t="s">
        <v>42</v>
      </c>
      <c r="F298" s="5">
        <v>4</v>
      </c>
      <c r="G298" s="1">
        <v>20000000</v>
      </c>
      <c r="H298" s="2">
        <v>4</v>
      </c>
      <c r="I298" s="6">
        <v>1.3888888888888889E-3</v>
      </c>
      <c r="J298" s="2" t="s">
        <v>18</v>
      </c>
      <c r="K298" s="2" t="s">
        <v>19</v>
      </c>
      <c r="L298" s="2" t="s">
        <v>30</v>
      </c>
      <c r="M298" s="2" t="s">
        <v>78</v>
      </c>
      <c r="N298" s="2" t="s">
        <v>41</v>
      </c>
    </row>
    <row r="299" spans="1:14" x14ac:dyDescent="0.5">
      <c r="A299" s="2" t="s">
        <v>14</v>
      </c>
      <c r="B299" s="3">
        <v>11</v>
      </c>
      <c r="C299" s="4" t="s">
        <v>27</v>
      </c>
      <c r="D299" s="2" t="s">
        <v>38</v>
      </c>
      <c r="E299" s="2" t="s">
        <v>23</v>
      </c>
      <c r="F299" s="5">
        <v>3</v>
      </c>
      <c r="G299" s="1">
        <v>15000000</v>
      </c>
      <c r="H299" s="2">
        <v>3</v>
      </c>
      <c r="I299" s="6">
        <v>1.3888888888888889E-3</v>
      </c>
      <c r="J299" s="2" t="s">
        <v>18</v>
      </c>
      <c r="K299" s="2" t="s">
        <v>29</v>
      </c>
      <c r="L299" s="2" t="s">
        <v>40</v>
      </c>
      <c r="M299" s="2" t="s">
        <v>76</v>
      </c>
      <c r="N299" s="2" t="s">
        <v>52</v>
      </c>
    </row>
    <row r="300" spans="1:14" x14ac:dyDescent="0.5">
      <c r="A300" s="2" t="s">
        <v>14</v>
      </c>
      <c r="B300" s="3">
        <v>4</v>
      </c>
      <c r="C300" s="4" t="s">
        <v>27</v>
      </c>
      <c r="D300" s="2" t="s">
        <v>16</v>
      </c>
      <c r="E300" s="2" t="s">
        <v>17</v>
      </c>
      <c r="F300" s="5">
        <v>3</v>
      </c>
      <c r="G300" s="1">
        <v>11000000</v>
      </c>
      <c r="H300" s="2">
        <v>2</v>
      </c>
      <c r="I300" s="6">
        <v>1.3888888888888889E-3</v>
      </c>
      <c r="J300" s="2" t="s">
        <v>18</v>
      </c>
      <c r="K300" s="2" t="s">
        <v>29</v>
      </c>
      <c r="L300" s="2" t="s">
        <v>48</v>
      </c>
      <c r="M300" s="2" t="s">
        <v>66</v>
      </c>
      <c r="N300" s="2" t="s">
        <v>67</v>
      </c>
    </row>
    <row r="301" spans="1:14" x14ac:dyDescent="0.5">
      <c r="A301" s="2" t="s">
        <v>14</v>
      </c>
      <c r="B301" s="3">
        <v>12</v>
      </c>
      <c r="C301" s="4" t="s">
        <v>27</v>
      </c>
      <c r="D301" s="2" t="s">
        <v>16</v>
      </c>
      <c r="E301" s="2" t="s">
        <v>23</v>
      </c>
      <c r="F301" s="5">
        <v>2</v>
      </c>
      <c r="G301" s="1">
        <v>12000000</v>
      </c>
      <c r="H301" s="2">
        <v>1</v>
      </c>
      <c r="I301" s="6">
        <v>1.3888888888888889E-3</v>
      </c>
      <c r="J301" s="2" t="s">
        <v>18</v>
      </c>
      <c r="K301" s="2" t="s">
        <v>56</v>
      </c>
      <c r="L301" s="2" t="s">
        <v>48</v>
      </c>
      <c r="M301" s="2" t="s">
        <v>76</v>
      </c>
      <c r="N301" s="2" t="s">
        <v>52</v>
      </c>
    </row>
    <row r="302" spans="1:14" x14ac:dyDescent="0.5">
      <c r="A302" s="2" t="s">
        <v>14</v>
      </c>
      <c r="B302" s="3">
        <v>9</v>
      </c>
      <c r="C302" s="4" t="s">
        <v>27</v>
      </c>
      <c r="D302" s="2" t="s">
        <v>38</v>
      </c>
      <c r="E302" s="2" t="s">
        <v>68</v>
      </c>
      <c r="F302" s="5">
        <v>5</v>
      </c>
      <c r="G302" s="1">
        <v>21000000</v>
      </c>
      <c r="H302" s="2">
        <v>1</v>
      </c>
      <c r="I302" s="6">
        <v>1.3888888888888889E-3</v>
      </c>
      <c r="J302" s="2" t="s">
        <v>18</v>
      </c>
      <c r="K302" s="2" t="s">
        <v>35</v>
      </c>
      <c r="L302" s="2" t="s">
        <v>51</v>
      </c>
      <c r="M302" s="2" t="s">
        <v>76</v>
      </c>
      <c r="N302" s="2" t="s">
        <v>52</v>
      </c>
    </row>
    <row r="303" spans="1:14" x14ac:dyDescent="0.5">
      <c r="A303" s="2" t="s">
        <v>14</v>
      </c>
      <c r="B303" s="3">
        <v>26</v>
      </c>
      <c r="C303" s="4" t="s">
        <v>37</v>
      </c>
      <c r="D303" s="2" t="s">
        <v>32</v>
      </c>
      <c r="E303" s="2" t="s">
        <v>42</v>
      </c>
      <c r="F303" s="5">
        <v>2</v>
      </c>
      <c r="G303" s="1">
        <v>38000000</v>
      </c>
      <c r="H303" s="2">
        <v>3</v>
      </c>
      <c r="I303" s="6">
        <v>1.3888888888888889E-3</v>
      </c>
      <c r="J303" s="2" t="s">
        <v>46</v>
      </c>
      <c r="K303" s="2" t="s">
        <v>39</v>
      </c>
      <c r="L303" s="2" t="s">
        <v>48</v>
      </c>
      <c r="M303" s="2" t="s">
        <v>78</v>
      </c>
      <c r="N303" s="2" t="s">
        <v>53</v>
      </c>
    </row>
    <row r="304" spans="1:14" x14ac:dyDescent="0.5">
      <c r="A304" s="2" t="s">
        <v>14</v>
      </c>
      <c r="B304" s="3">
        <v>18</v>
      </c>
      <c r="C304" s="4" t="s">
        <v>37</v>
      </c>
      <c r="D304" s="2" t="s">
        <v>49</v>
      </c>
      <c r="E304" s="2" t="s">
        <v>42</v>
      </c>
      <c r="F304" s="5">
        <v>4</v>
      </c>
      <c r="G304" s="1">
        <v>11000000</v>
      </c>
      <c r="H304" s="2">
        <v>2</v>
      </c>
      <c r="I304" s="6">
        <v>1.3888888888888889E-3</v>
      </c>
      <c r="J304" s="2" t="s">
        <v>61</v>
      </c>
      <c r="K304" s="2" t="s">
        <v>64</v>
      </c>
      <c r="L304" s="2" t="s">
        <v>20</v>
      </c>
      <c r="M304" s="2" t="s">
        <v>66</v>
      </c>
      <c r="N304" s="2" t="s">
        <v>36</v>
      </c>
    </row>
    <row r="305" spans="1:14" x14ac:dyDescent="0.5">
      <c r="A305" s="2" t="s">
        <v>14</v>
      </c>
      <c r="B305" s="3">
        <v>29</v>
      </c>
      <c r="C305" s="4" t="s">
        <v>37</v>
      </c>
      <c r="D305" s="2" t="s">
        <v>49</v>
      </c>
      <c r="E305" s="2" t="s">
        <v>23</v>
      </c>
      <c r="F305" s="5">
        <v>3</v>
      </c>
      <c r="G305" s="1">
        <v>15000000</v>
      </c>
      <c r="H305" s="2">
        <v>2</v>
      </c>
      <c r="I305" s="6">
        <v>1.3888888888888889E-3</v>
      </c>
      <c r="J305" s="2" t="s">
        <v>18</v>
      </c>
      <c r="K305" s="2" t="s">
        <v>19</v>
      </c>
      <c r="L305" s="2" t="s">
        <v>33</v>
      </c>
      <c r="M305" s="2" t="s">
        <v>77</v>
      </c>
      <c r="N305" s="2" t="s">
        <v>34</v>
      </c>
    </row>
    <row r="306" spans="1:14" x14ac:dyDescent="0.5">
      <c r="A306" s="2" t="s">
        <v>14</v>
      </c>
      <c r="B306" s="3">
        <v>27</v>
      </c>
      <c r="C306" s="4" t="s">
        <v>37</v>
      </c>
      <c r="D306" s="2" t="s">
        <v>49</v>
      </c>
      <c r="E306" s="2" t="s">
        <v>42</v>
      </c>
      <c r="F306" s="5">
        <v>5</v>
      </c>
      <c r="G306" s="1">
        <v>25000000</v>
      </c>
      <c r="H306" s="2">
        <v>4</v>
      </c>
      <c r="I306" s="6">
        <v>1.3888888888888889E-3</v>
      </c>
      <c r="J306" s="2" t="s">
        <v>18</v>
      </c>
      <c r="K306" s="2" t="s">
        <v>56</v>
      </c>
      <c r="L306" s="2" t="s">
        <v>43</v>
      </c>
      <c r="M306" s="2" t="s">
        <v>76</v>
      </c>
      <c r="N306" s="2" t="s">
        <v>31</v>
      </c>
    </row>
    <row r="307" spans="1:14" x14ac:dyDescent="0.5">
      <c r="A307" s="2" t="s">
        <v>14</v>
      </c>
      <c r="B307" s="3">
        <v>15</v>
      </c>
      <c r="C307" s="4" t="s">
        <v>44</v>
      </c>
      <c r="D307" s="2" t="s">
        <v>38</v>
      </c>
      <c r="E307" s="2" t="s">
        <v>17</v>
      </c>
      <c r="F307" s="5">
        <v>4</v>
      </c>
      <c r="G307" s="1">
        <v>15000000</v>
      </c>
      <c r="H307" s="2">
        <v>1</v>
      </c>
      <c r="I307" s="6">
        <v>1.3888888888888889E-3</v>
      </c>
      <c r="J307" s="2" t="s">
        <v>18</v>
      </c>
      <c r="K307" s="2" t="s">
        <v>56</v>
      </c>
      <c r="L307" s="2" t="s">
        <v>30</v>
      </c>
      <c r="M307" s="2" t="s">
        <v>76</v>
      </c>
      <c r="N307" s="2" t="s">
        <v>52</v>
      </c>
    </row>
    <row r="308" spans="1:14" x14ac:dyDescent="0.5">
      <c r="A308" s="2" t="s">
        <v>14</v>
      </c>
      <c r="B308" s="3">
        <v>16</v>
      </c>
      <c r="C308" s="4" t="s">
        <v>44</v>
      </c>
      <c r="D308" s="2" t="s">
        <v>73</v>
      </c>
      <c r="E308" s="2" t="s">
        <v>23</v>
      </c>
      <c r="F308" s="5">
        <v>2</v>
      </c>
      <c r="G308" s="1">
        <v>12000000</v>
      </c>
      <c r="H308" s="2">
        <v>3</v>
      </c>
      <c r="I308" s="6">
        <v>1.3888888888888889E-3</v>
      </c>
      <c r="J308" s="2" t="s">
        <v>18</v>
      </c>
      <c r="K308" s="2" t="s">
        <v>50</v>
      </c>
      <c r="L308" s="2" t="s">
        <v>43</v>
      </c>
      <c r="M308" s="2" t="s">
        <v>66</v>
      </c>
      <c r="N308" s="2" t="s">
        <v>36</v>
      </c>
    </row>
    <row r="309" spans="1:14" x14ac:dyDescent="0.5">
      <c r="A309" s="2" t="s">
        <v>14</v>
      </c>
      <c r="B309" s="3">
        <v>27</v>
      </c>
      <c r="C309" s="4" t="s">
        <v>44</v>
      </c>
      <c r="D309" s="2" t="s">
        <v>49</v>
      </c>
      <c r="E309" s="2" t="s">
        <v>17</v>
      </c>
      <c r="F309" s="5">
        <v>5</v>
      </c>
      <c r="G309" s="1">
        <v>20000000</v>
      </c>
      <c r="H309" s="2">
        <v>1</v>
      </c>
      <c r="I309" s="6">
        <v>1.3888888888888889E-3</v>
      </c>
      <c r="J309" s="2" t="s">
        <v>18</v>
      </c>
      <c r="K309" s="2" t="s">
        <v>19</v>
      </c>
      <c r="L309" s="2" t="s">
        <v>30</v>
      </c>
      <c r="M309" s="2" t="s">
        <v>78</v>
      </c>
      <c r="N309" s="2" t="s">
        <v>63</v>
      </c>
    </row>
    <row r="310" spans="1:14" x14ac:dyDescent="0.5">
      <c r="A310" s="2" t="s">
        <v>14</v>
      </c>
      <c r="B310" s="3">
        <v>3</v>
      </c>
      <c r="C310" s="4" t="s">
        <v>44</v>
      </c>
      <c r="D310" s="2" t="s">
        <v>32</v>
      </c>
      <c r="E310" s="2" t="s">
        <v>23</v>
      </c>
      <c r="F310" s="5">
        <v>2</v>
      </c>
      <c r="G310" s="1">
        <v>12000000</v>
      </c>
      <c r="H310" s="2">
        <v>4</v>
      </c>
      <c r="I310" s="6">
        <v>1.3888888888888889E-3</v>
      </c>
      <c r="J310" s="2" t="s">
        <v>18</v>
      </c>
      <c r="K310" s="2" t="s">
        <v>19</v>
      </c>
      <c r="L310" s="2" t="s">
        <v>43</v>
      </c>
      <c r="M310" s="2" t="s">
        <v>66</v>
      </c>
      <c r="N310" s="2" t="s">
        <v>67</v>
      </c>
    </row>
    <row r="311" spans="1:14" x14ac:dyDescent="0.5">
      <c r="A311" s="2" t="s">
        <v>14</v>
      </c>
      <c r="B311" s="3">
        <v>26</v>
      </c>
      <c r="C311" s="4" t="s">
        <v>44</v>
      </c>
      <c r="D311" s="2" t="s">
        <v>38</v>
      </c>
      <c r="E311" s="2" t="s">
        <v>23</v>
      </c>
      <c r="F311" s="5">
        <v>3</v>
      </c>
      <c r="G311" s="1">
        <v>12000000</v>
      </c>
      <c r="H311" s="2">
        <v>1</v>
      </c>
      <c r="I311" s="6">
        <v>1.3888888888888889E-3</v>
      </c>
      <c r="J311" s="2" t="s">
        <v>18</v>
      </c>
      <c r="K311" s="2" t="s">
        <v>19</v>
      </c>
      <c r="L311" s="2" t="s">
        <v>51</v>
      </c>
      <c r="M311" s="2" t="s">
        <v>77</v>
      </c>
      <c r="N311" s="2" t="s">
        <v>65</v>
      </c>
    </row>
    <row r="312" spans="1:14" x14ac:dyDescent="0.5">
      <c r="A312" s="2" t="s">
        <v>14</v>
      </c>
      <c r="B312" s="3">
        <v>22</v>
      </c>
      <c r="C312" s="4" t="s">
        <v>69</v>
      </c>
      <c r="D312" s="2" t="s">
        <v>16</v>
      </c>
      <c r="E312" s="2" t="s">
        <v>42</v>
      </c>
      <c r="F312" s="5">
        <v>2</v>
      </c>
      <c r="G312" s="1">
        <v>12000000</v>
      </c>
      <c r="H312" s="2">
        <v>4</v>
      </c>
      <c r="I312" s="6">
        <v>1.3888888888888889E-3</v>
      </c>
      <c r="J312" s="2" t="s">
        <v>18</v>
      </c>
      <c r="K312" s="2" t="s">
        <v>64</v>
      </c>
      <c r="L312" s="2" t="s">
        <v>33</v>
      </c>
      <c r="M312" s="2" t="s">
        <v>78</v>
      </c>
      <c r="N312" s="2" t="s">
        <v>53</v>
      </c>
    </row>
    <row r="313" spans="1:14" x14ac:dyDescent="0.5">
      <c r="A313" s="2" t="s">
        <v>14</v>
      </c>
      <c r="B313" s="3">
        <v>24</v>
      </c>
      <c r="C313" s="4" t="s">
        <v>69</v>
      </c>
      <c r="D313" s="2" t="s">
        <v>16</v>
      </c>
      <c r="E313" s="2" t="s">
        <v>42</v>
      </c>
      <c r="F313" s="5">
        <v>1</v>
      </c>
      <c r="G313" s="1">
        <v>7000000</v>
      </c>
      <c r="H313" s="2">
        <v>2</v>
      </c>
      <c r="I313" s="6">
        <v>1.3888888888888889E-3</v>
      </c>
      <c r="J313" s="2" t="s">
        <v>18</v>
      </c>
      <c r="K313" s="2" t="s">
        <v>56</v>
      </c>
      <c r="L313" s="2" t="s">
        <v>33</v>
      </c>
      <c r="M313" s="2" t="s">
        <v>77</v>
      </c>
      <c r="N313" s="2" t="s">
        <v>65</v>
      </c>
    </row>
    <row r="314" spans="1:14" x14ac:dyDescent="0.5">
      <c r="A314" s="2" t="s">
        <v>14</v>
      </c>
      <c r="B314" s="3">
        <v>24</v>
      </c>
      <c r="C314" s="4" t="s">
        <v>69</v>
      </c>
      <c r="D314" s="2" t="s">
        <v>16</v>
      </c>
      <c r="E314" s="2" t="s">
        <v>68</v>
      </c>
      <c r="F314" s="5">
        <v>5</v>
      </c>
      <c r="G314" s="1">
        <v>25000000</v>
      </c>
      <c r="H314" s="2">
        <v>2</v>
      </c>
      <c r="I314" s="6">
        <v>1.3888888888888889E-3</v>
      </c>
      <c r="J314" s="2" t="s">
        <v>18</v>
      </c>
      <c r="K314" s="2" t="s">
        <v>19</v>
      </c>
      <c r="L314" s="2" t="s">
        <v>43</v>
      </c>
      <c r="M314" s="2" t="s">
        <v>66</v>
      </c>
      <c r="N314" s="2" t="s">
        <v>36</v>
      </c>
    </row>
    <row r="315" spans="1:14" x14ac:dyDescent="0.5">
      <c r="A315" s="2" t="s">
        <v>14</v>
      </c>
      <c r="B315" s="3">
        <v>11</v>
      </c>
      <c r="C315" s="4" t="s">
        <v>57</v>
      </c>
      <c r="D315" s="2" t="s">
        <v>38</v>
      </c>
      <c r="E315" s="2" t="s">
        <v>42</v>
      </c>
      <c r="F315" s="5">
        <v>2</v>
      </c>
      <c r="G315" s="1">
        <v>38000000</v>
      </c>
      <c r="H315" s="2">
        <v>5</v>
      </c>
      <c r="I315" s="6">
        <v>1.3888888888888889E-3</v>
      </c>
      <c r="J315" s="2" t="s">
        <v>46</v>
      </c>
      <c r="K315" s="2" t="s">
        <v>50</v>
      </c>
      <c r="L315" s="2" t="s">
        <v>33</v>
      </c>
      <c r="M315" s="2" t="s">
        <v>76</v>
      </c>
      <c r="N315" s="2" t="s">
        <v>26</v>
      </c>
    </row>
    <row r="316" spans="1:14" x14ac:dyDescent="0.5">
      <c r="A316" s="2" t="s">
        <v>14</v>
      </c>
      <c r="B316" s="3">
        <v>15</v>
      </c>
      <c r="C316" s="4" t="s">
        <v>22</v>
      </c>
      <c r="D316" s="2" t="s">
        <v>16</v>
      </c>
      <c r="E316" s="2" t="s">
        <v>23</v>
      </c>
      <c r="F316" s="5">
        <v>3</v>
      </c>
      <c r="G316" s="1">
        <v>15000000</v>
      </c>
      <c r="H316" s="2">
        <v>2</v>
      </c>
      <c r="I316" s="6">
        <v>1.3888888888888889E-3</v>
      </c>
      <c r="J316" s="2" t="s">
        <v>18</v>
      </c>
      <c r="K316" s="2" t="s">
        <v>56</v>
      </c>
      <c r="L316" s="2" t="s">
        <v>43</v>
      </c>
      <c r="M316" s="2" t="s">
        <v>78</v>
      </c>
      <c r="N316" s="2" t="s">
        <v>53</v>
      </c>
    </row>
    <row r="317" spans="1:14" x14ac:dyDescent="0.5">
      <c r="A317" s="2" t="s">
        <v>70</v>
      </c>
      <c r="B317" s="3">
        <v>17</v>
      </c>
      <c r="C317" s="4" t="s">
        <v>58</v>
      </c>
      <c r="D317" s="2" t="s">
        <v>28</v>
      </c>
      <c r="E317" s="2" t="s">
        <v>23</v>
      </c>
      <c r="F317" s="5">
        <v>0</v>
      </c>
      <c r="G317" s="1">
        <v>0</v>
      </c>
      <c r="H317" s="2">
        <v>2</v>
      </c>
      <c r="I317" s="6">
        <v>1.3888888888888889E-3</v>
      </c>
      <c r="J317" s="2"/>
      <c r="K317" s="2"/>
      <c r="L317" s="2" t="s">
        <v>30</v>
      </c>
      <c r="M317" s="2" t="s">
        <v>76</v>
      </c>
      <c r="N317" s="2" t="s">
        <v>31</v>
      </c>
    </row>
    <row r="318" spans="1:14" x14ac:dyDescent="0.5">
      <c r="A318" s="2" t="s">
        <v>70</v>
      </c>
      <c r="B318" s="3">
        <v>6</v>
      </c>
      <c r="C318" s="4" t="s">
        <v>22</v>
      </c>
      <c r="D318" s="2" t="s">
        <v>16</v>
      </c>
      <c r="E318" s="2" t="s">
        <v>17</v>
      </c>
      <c r="F318" s="5">
        <v>0</v>
      </c>
      <c r="G318" s="1">
        <v>0</v>
      </c>
      <c r="H318" s="2">
        <v>1</v>
      </c>
      <c r="I318" s="6">
        <v>1.3888888888888889E-3</v>
      </c>
      <c r="J318" s="2"/>
      <c r="K318" s="2"/>
      <c r="L318" s="2" t="s">
        <v>43</v>
      </c>
      <c r="M318" s="2" t="s">
        <v>77</v>
      </c>
      <c r="N318" s="2" t="s">
        <v>65</v>
      </c>
    </row>
    <row r="319" spans="1:14" x14ac:dyDescent="0.5">
      <c r="A319" s="2" t="s">
        <v>70</v>
      </c>
      <c r="B319" s="3">
        <v>18</v>
      </c>
      <c r="C319" s="4" t="s">
        <v>27</v>
      </c>
      <c r="D319" s="2" t="s">
        <v>16</v>
      </c>
      <c r="E319" s="2" t="s">
        <v>23</v>
      </c>
      <c r="F319" s="5">
        <v>0</v>
      </c>
      <c r="G319" s="1">
        <v>0</v>
      </c>
      <c r="H319" s="2">
        <v>1</v>
      </c>
      <c r="I319" s="6">
        <v>1.3888888888888889E-3</v>
      </c>
      <c r="J319" s="2"/>
      <c r="K319" s="2"/>
      <c r="L319" s="2" t="s">
        <v>51</v>
      </c>
      <c r="M319" s="2" t="s">
        <v>77</v>
      </c>
      <c r="N319" s="2" t="s">
        <v>54</v>
      </c>
    </row>
    <row r="320" spans="1:14" x14ac:dyDescent="0.5">
      <c r="A320" s="2" t="s">
        <v>70</v>
      </c>
      <c r="B320" s="3">
        <v>11</v>
      </c>
      <c r="C320" s="4" t="s">
        <v>44</v>
      </c>
      <c r="D320" s="2" t="s">
        <v>73</v>
      </c>
      <c r="E320" s="2" t="s">
        <v>42</v>
      </c>
      <c r="F320" s="5">
        <v>0</v>
      </c>
      <c r="G320" s="1">
        <v>0</v>
      </c>
      <c r="H320" s="2">
        <v>4</v>
      </c>
      <c r="I320" s="6">
        <v>1.3888888888888889E-3</v>
      </c>
      <c r="J320" s="2"/>
      <c r="K320" s="2"/>
      <c r="L320" s="2" t="s">
        <v>48</v>
      </c>
      <c r="M320" s="2" t="s">
        <v>76</v>
      </c>
      <c r="N320" s="2" t="s">
        <v>26</v>
      </c>
    </row>
    <row r="321" spans="1:14" x14ac:dyDescent="0.5">
      <c r="A321" s="2" t="s">
        <v>70</v>
      </c>
      <c r="B321" s="3">
        <v>21</v>
      </c>
      <c r="C321" s="4" t="s">
        <v>69</v>
      </c>
      <c r="D321" s="2" t="s">
        <v>49</v>
      </c>
      <c r="E321" s="2" t="s">
        <v>23</v>
      </c>
      <c r="F321" s="5">
        <v>0</v>
      </c>
      <c r="G321" s="1">
        <v>0</v>
      </c>
      <c r="H321" s="2">
        <v>1</v>
      </c>
      <c r="I321" s="6">
        <v>1.3888888888888889E-3</v>
      </c>
      <c r="J321" s="2"/>
      <c r="K321" s="2"/>
      <c r="L321" s="2" t="s">
        <v>40</v>
      </c>
      <c r="M321" s="2" t="s">
        <v>78</v>
      </c>
      <c r="N321" s="2" t="s">
        <v>63</v>
      </c>
    </row>
    <row r="322" spans="1:14" x14ac:dyDescent="0.5">
      <c r="A322" s="2" t="s">
        <v>70</v>
      </c>
      <c r="B322" s="3">
        <v>17</v>
      </c>
      <c r="C322" s="4" t="s">
        <v>58</v>
      </c>
      <c r="D322" s="2" t="s">
        <v>28</v>
      </c>
      <c r="E322" s="2" t="s">
        <v>23</v>
      </c>
      <c r="F322" s="5">
        <v>0</v>
      </c>
      <c r="G322" s="1">
        <v>0</v>
      </c>
      <c r="H322" s="2">
        <v>2</v>
      </c>
      <c r="I322" s="6">
        <v>1.3888888888888889E-3</v>
      </c>
      <c r="J322" s="2"/>
      <c r="K322" s="2"/>
      <c r="L322" s="2" t="s">
        <v>30</v>
      </c>
      <c r="M322" s="2" t="s">
        <v>76</v>
      </c>
      <c r="N322" s="2" t="s">
        <v>31</v>
      </c>
    </row>
    <row r="323" spans="1:14" x14ac:dyDescent="0.5">
      <c r="A323" s="2" t="s">
        <v>14</v>
      </c>
      <c r="B323" s="3">
        <v>12</v>
      </c>
      <c r="C323" s="4" t="s">
        <v>55</v>
      </c>
      <c r="D323" s="2" t="s">
        <v>28</v>
      </c>
      <c r="E323" s="2" t="s">
        <v>23</v>
      </c>
      <c r="F323" s="5">
        <v>2</v>
      </c>
      <c r="G323" s="1">
        <v>12000000</v>
      </c>
      <c r="H323" s="2">
        <v>1</v>
      </c>
      <c r="I323" s="6">
        <v>1.3888888888888889E-3</v>
      </c>
      <c r="J323" s="2" t="s">
        <v>18</v>
      </c>
      <c r="K323" s="2" t="s">
        <v>29</v>
      </c>
      <c r="L323" s="2" t="s">
        <v>33</v>
      </c>
      <c r="M323" s="2" t="s">
        <v>76</v>
      </c>
      <c r="N323" s="2" t="s">
        <v>71</v>
      </c>
    </row>
    <row r="324" spans="1:14" x14ac:dyDescent="0.5">
      <c r="A324" s="2" t="s">
        <v>14</v>
      </c>
      <c r="B324" s="3">
        <v>1</v>
      </c>
      <c r="C324" s="4" t="s">
        <v>15</v>
      </c>
      <c r="D324" s="2" t="s">
        <v>32</v>
      </c>
      <c r="E324" s="2" t="s">
        <v>42</v>
      </c>
      <c r="F324" s="5">
        <v>4</v>
      </c>
      <c r="G324" s="1">
        <v>20000000</v>
      </c>
      <c r="H324" s="2">
        <v>1</v>
      </c>
      <c r="I324" s="6">
        <v>1.3888888888888889E-3</v>
      </c>
      <c r="J324" s="2" t="s">
        <v>18</v>
      </c>
      <c r="K324" s="2" t="s">
        <v>35</v>
      </c>
      <c r="L324" s="2" t="s">
        <v>33</v>
      </c>
      <c r="M324" s="2" t="s">
        <v>76</v>
      </c>
      <c r="N324" s="2" t="s">
        <v>75</v>
      </c>
    </row>
    <row r="325" spans="1:14" x14ac:dyDescent="0.5">
      <c r="A325" s="2" t="s">
        <v>14</v>
      </c>
      <c r="B325" s="3">
        <v>27</v>
      </c>
      <c r="C325" s="4" t="s">
        <v>22</v>
      </c>
      <c r="D325" s="2" t="s">
        <v>16</v>
      </c>
      <c r="E325" s="2" t="s">
        <v>23</v>
      </c>
      <c r="F325" s="5">
        <v>4</v>
      </c>
      <c r="G325" s="1">
        <v>11000000</v>
      </c>
      <c r="H325" s="2">
        <v>1</v>
      </c>
      <c r="I325" s="6">
        <v>1.3888888888888889E-3</v>
      </c>
      <c r="J325" s="2" t="s">
        <v>61</v>
      </c>
      <c r="K325" s="2" t="s">
        <v>47</v>
      </c>
      <c r="L325" s="2" t="s">
        <v>25</v>
      </c>
      <c r="M325" s="2" t="s">
        <v>77</v>
      </c>
      <c r="N325" s="2" t="s">
        <v>54</v>
      </c>
    </row>
    <row r="326" spans="1:14" x14ac:dyDescent="0.5">
      <c r="A326" s="2" t="s">
        <v>14</v>
      </c>
      <c r="B326" s="3">
        <v>26</v>
      </c>
      <c r="C326" s="4" t="s">
        <v>22</v>
      </c>
      <c r="D326" s="2" t="s">
        <v>73</v>
      </c>
      <c r="E326" s="2" t="s">
        <v>17</v>
      </c>
      <c r="F326" s="5">
        <v>3</v>
      </c>
      <c r="G326" s="1">
        <v>15000000</v>
      </c>
      <c r="H326" s="2">
        <v>1</v>
      </c>
      <c r="I326" s="6">
        <v>1.3888888888888889E-3</v>
      </c>
      <c r="J326" s="2" t="s">
        <v>18</v>
      </c>
      <c r="K326" s="2" t="s">
        <v>64</v>
      </c>
      <c r="L326" s="2" t="s">
        <v>43</v>
      </c>
      <c r="M326" s="2" t="s">
        <v>76</v>
      </c>
      <c r="N326" s="2" t="s">
        <v>31</v>
      </c>
    </row>
    <row r="327" spans="1:14" x14ac:dyDescent="0.5">
      <c r="A327" s="2" t="s">
        <v>14</v>
      </c>
      <c r="B327" s="3">
        <v>30</v>
      </c>
      <c r="C327" s="4" t="s">
        <v>27</v>
      </c>
      <c r="D327" s="2" t="s">
        <v>32</v>
      </c>
      <c r="E327" s="2" t="s">
        <v>42</v>
      </c>
      <c r="F327" s="5">
        <v>3</v>
      </c>
      <c r="G327" s="1">
        <v>15000000</v>
      </c>
      <c r="H327" s="2">
        <v>1</v>
      </c>
      <c r="I327" s="6">
        <v>1.3888888888888889E-3</v>
      </c>
      <c r="J327" s="2" t="s">
        <v>18</v>
      </c>
      <c r="K327" s="2" t="s">
        <v>29</v>
      </c>
      <c r="L327" s="2" t="s">
        <v>43</v>
      </c>
      <c r="M327" s="2" t="s">
        <v>77</v>
      </c>
      <c r="N327" s="2" t="s">
        <v>65</v>
      </c>
    </row>
    <row r="328" spans="1:14" x14ac:dyDescent="0.5">
      <c r="A328" s="2" t="s">
        <v>14</v>
      </c>
      <c r="B328" s="3">
        <v>11</v>
      </c>
      <c r="C328" s="4" t="s">
        <v>27</v>
      </c>
      <c r="D328" s="2" t="s">
        <v>32</v>
      </c>
      <c r="E328" s="2" t="s">
        <v>17</v>
      </c>
      <c r="F328" s="5">
        <v>2</v>
      </c>
      <c r="G328" s="1">
        <v>12000000</v>
      </c>
      <c r="H328" s="2">
        <v>5</v>
      </c>
      <c r="I328" s="6">
        <v>1.3888888888888889E-3</v>
      </c>
      <c r="J328" s="2" t="s">
        <v>18</v>
      </c>
      <c r="K328" s="2" t="s">
        <v>24</v>
      </c>
      <c r="L328" s="2" t="s">
        <v>48</v>
      </c>
      <c r="M328" s="2" t="s">
        <v>78</v>
      </c>
      <c r="N328" s="2" t="s">
        <v>62</v>
      </c>
    </row>
    <row r="329" spans="1:14" x14ac:dyDescent="0.5">
      <c r="A329" s="2" t="s">
        <v>14</v>
      </c>
      <c r="B329" s="3">
        <v>28</v>
      </c>
      <c r="C329" s="4" t="s">
        <v>37</v>
      </c>
      <c r="D329" s="2" t="s">
        <v>16</v>
      </c>
      <c r="E329" s="2" t="s">
        <v>17</v>
      </c>
      <c r="F329" s="5">
        <v>5</v>
      </c>
      <c r="G329" s="1">
        <v>21000000</v>
      </c>
      <c r="H329" s="2">
        <v>3</v>
      </c>
      <c r="I329" s="6">
        <v>1.3888888888888889E-3</v>
      </c>
      <c r="J329" s="2" t="s">
        <v>18</v>
      </c>
      <c r="K329" s="2" t="s">
        <v>39</v>
      </c>
      <c r="L329" s="2" t="s">
        <v>25</v>
      </c>
      <c r="M329" s="2" t="s">
        <v>76</v>
      </c>
      <c r="N329" s="2" t="s">
        <v>52</v>
      </c>
    </row>
    <row r="330" spans="1:14" x14ac:dyDescent="0.5">
      <c r="A330" s="2" t="s">
        <v>14</v>
      </c>
      <c r="B330" s="3">
        <v>8</v>
      </c>
      <c r="C330" s="4" t="s">
        <v>37</v>
      </c>
      <c r="D330" s="2" t="s">
        <v>49</v>
      </c>
      <c r="E330" s="2" t="s">
        <v>17</v>
      </c>
      <c r="F330" s="5">
        <v>2</v>
      </c>
      <c r="G330" s="1">
        <v>12000000</v>
      </c>
      <c r="H330" s="2">
        <v>2</v>
      </c>
      <c r="I330" s="6">
        <v>1.3888888888888889E-3</v>
      </c>
      <c r="J330" s="2" t="s">
        <v>18</v>
      </c>
      <c r="K330" s="2" t="s">
        <v>39</v>
      </c>
      <c r="L330" s="2" t="s">
        <v>33</v>
      </c>
      <c r="M330" s="2" t="s">
        <v>78</v>
      </c>
      <c r="N330" s="2" t="s">
        <v>66</v>
      </c>
    </row>
    <row r="331" spans="1:14" x14ac:dyDescent="0.5">
      <c r="A331" s="2" t="s">
        <v>14</v>
      </c>
      <c r="B331" s="3">
        <v>25</v>
      </c>
      <c r="C331" s="4" t="s">
        <v>37</v>
      </c>
      <c r="D331" s="2" t="s">
        <v>16</v>
      </c>
      <c r="E331" s="2" t="s">
        <v>23</v>
      </c>
      <c r="F331" s="5">
        <v>5</v>
      </c>
      <c r="G331" s="1">
        <v>25000000</v>
      </c>
      <c r="H331" s="2">
        <v>1</v>
      </c>
      <c r="I331" s="6">
        <v>1.3888888888888889E-3</v>
      </c>
      <c r="J331" s="2" t="s">
        <v>18</v>
      </c>
      <c r="K331" s="2" t="s">
        <v>19</v>
      </c>
      <c r="L331" s="2" t="s">
        <v>48</v>
      </c>
      <c r="M331" s="2" t="s">
        <v>66</v>
      </c>
      <c r="N331" s="2" t="s">
        <v>36</v>
      </c>
    </row>
    <row r="332" spans="1:14" x14ac:dyDescent="0.5">
      <c r="A332" s="2" t="s">
        <v>14</v>
      </c>
      <c r="B332" s="3">
        <v>2</v>
      </c>
      <c r="C332" s="4" t="s">
        <v>37</v>
      </c>
      <c r="D332" s="2" t="s">
        <v>32</v>
      </c>
      <c r="E332" s="2" t="s">
        <v>23</v>
      </c>
      <c r="F332" s="5">
        <v>3</v>
      </c>
      <c r="G332" s="1">
        <v>15000000</v>
      </c>
      <c r="H332" s="2">
        <v>3</v>
      </c>
      <c r="I332" s="6">
        <v>1.3888888888888889E-3</v>
      </c>
      <c r="J332" s="2" t="s">
        <v>18</v>
      </c>
      <c r="K332" s="2" t="s">
        <v>19</v>
      </c>
      <c r="L332" s="2" t="s">
        <v>51</v>
      </c>
      <c r="M332" s="2" t="s">
        <v>78</v>
      </c>
      <c r="N332" s="2" t="s">
        <v>66</v>
      </c>
    </row>
    <row r="333" spans="1:14" x14ac:dyDescent="0.5">
      <c r="A333" s="2" t="s">
        <v>14</v>
      </c>
      <c r="B333" s="3">
        <v>29</v>
      </c>
      <c r="C333" s="4" t="s">
        <v>37</v>
      </c>
      <c r="D333" s="2" t="s">
        <v>16</v>
      </c>
      <c r="E333" s="2" t="s">
        <v>23</v>
      </c>
      <c r="F333" s="5">
        <v>2</v>
      </c>
      <c r="G333" s="1">
        <v>12000000</v>
      </c>
      <c r="H333" s="2">
        <v>1</v>
      </c>
      <c r="I333" s="6">
        <v>1.3888888888888889E-3</v>
      </c>
      <c r="J333" s="2" t="s">
        <v>18</v>
      </c>
      <c r="K333" s="2" t="s">
        <v>56</v>
      </c>
      <c r="L333" s="2" t="s">
        <v>51</v>
      </c>
      <c r="M333" s="2" t="s">
        <v>76</v>
      </c>
      <c r="N333" s="2" t="s">
        <v>31</v>
      </c>
    </row>
    <row r="334" spans="1:14" x14ac:dyDescent="0.5">
      <c r="A334" s="2" t="s">
        <v>14</v>
      </c>
      <c r="B334" s="3">
        <v>6</v>
      </c>
      <c r="C334" s="4" t="s">
        <v>44</v>
      </c>
      <c r="D334" s="2" t="s">
        <v>28</v>
      </c>
      <c r="E334" s="2" t="s">
        <v>23</v>
      </c>
      <c r="F334" s="5">
        <v>3</v>
      </c>
      <c r="G334" s="1">
        <v>15000000</v>
      </c>
      <c r="H334" s="2">
        <v>1</v>
      </c>
      <c r="I334" s="6">
        <v>1.3888888888888889E-3</v>
      </c>
      <c r="J334" s="2" t="s">
        <v>18</v>
      </c>
      <c r="K334" s="2" t="s">
        <v>19</v>
      </c>
      <c r="L334" s="2" t="s">
        <v>30</v>
      </c>
      <c r="M334" s="2" t="s">
        <v>76</v>
      </c>
      <c r="N334" s="2" t="s">
        <v>52</v>
      </c>
    </row>
    <row r="335" spans="1:14" x14ac:dyDescent="0.5">
      <c r="A335" s="2" t="s">
        <v>14</v>
      </c>
      <c r="B335" s="3">
        <v>19</v>
      </c>
      <c r="C335" s="4" t="s">
        <v>44</v>
      </c>
      <c r="D335" s="2" t="s">
        <v>16</v>
      </c>
      <c r="E335" s="2" t="s">
        <v>23</v>
      </c>
      <c r="F335" s="5">
        <v>3</v>
      </c>
      <c r="G335" s="1">
        <v>15000000</v>
      </c>
      <c r="H335" s="2">
        <v>5</v>
      </c>
      <c r="I335" s="6">
        <v>1.3888888888888889E-3</v>
      </c>
      <c r="J335" s="2" t="s">
        <v>18</v>
      </c>
      <c r="K335" s="2" t="s">
        <v>56</v>
      </c>
      <c r="L335" s="2" t="s">
        <v>30</v>
      </c>
      <c r="M335" s="2" t="s">
        <v>76</v>
      </c>
      <c r="N335" s="2" t="s">
        <v>52</v>
      </c>
    </row>
    <row r="336" spans="1:14" x14ac:dyDescent="0.5">
      <c r="A336" s="2" t="s">
        <v>14</v>
      </c>
      <c r="B336" s="3">
        <v>22</v>
      </c>
      <c r="C336" s="4" t="s">
        <v>44</v>
      </c>
      <c r="D336" s="2" t="s">
        <v>49</v>
      </c>
      <c r="E336" s="2" t="s">
        <v>23</v>
      </c>
      <c r="F336" s="5">
        <v>2</v>
      </c>
      <c r="G336" s="1">
        <v>12000000</v>
      </c>
      <c r="H336" s="2">
        <v>2</v>
      </c>
      <c r="I336" s="6">
        <v>1.3888888888888889E-3</v>
      </c>
      <c r="J336" s="2" t="s">
        <v>18</v>
      </c>
      <c r="K336" s="2" t="s">
        <v>29</v>
      </c>
      <c r="L336" s="2" t="s">
        <v>25</v>
      </c>
      <c r="M336" s="2" t="s">
        <v>78</v>
      </c>
      <c r="N336" s="2" t="s">
        <v>53</v>
      </c>
    </row>
    <row r="337" spans="1:14" x14ac:dyDescent="0.5">
      <c r="A337" s="2" t="s">
        <v>14</v>
      </c>
      <c r="B337" s="3">
        <v>3</v>
      </c>
      <c r="C337" s="4" t="s">
        <v>44</v>
      </c>
      <c r="D337" s="2" t="s">
        <v>28</v>
      </c>
      <c r="E337" s="2" t="s">
        <v>42</v>
      </c>
      <c r="F337" s="5">
        <v>5</v>
      </c>
      <c r="G337" s="1">
        <v>25000000</v>
      </c>
      <c r="H337" s="2">
        <v>3</v>
      </c>
      <c r="I337" s="6">
        <v>1.3888888888888889E-3</v>
      </c>
      <c r="J337" s="2" t="s">
        <v>18</v>
      </c>
      <c r="K337" s="2" t="s">
        <v>39</v>
      </c>
      <c r="L337" s="2" t="s">
        <v>40</v>
      </c>
      <c r="M337" s="2" t="s">
        <v>78</v>
      </c>
      <c r="N337" s="2" t="s">
        <v>41</v>
      </c>
    </row>
    <row r="338" spans="1:14" x14ac:dyDescent="0.5">
      <c r="A338" s="2" t="s">
        <v>14</v>
      </c>
      <c r="B338" s="3">
        <v>2</v>
      </c>
      <c r="C338" s="4" t="s">
        <v>44</v>
      </c>
      <c r="D338" s="2" t="s">
        <v>28</v>
      </c>
      <c r="E338" s="2" t="s">
        <v>42</v>
      </c>
      <c r="F338" s="5">
        <v>5</v>
      </c>
      <c r="G338" s="1">
        <v>25000000</v>
      </c>
      <c r="H338" s="2">
        <v>1</v>
      </c>
      <c r="I338" s="6">
        <v>1.3888888888888889E-3</v>
      </c>
      <c r="J338" s="2" t="s">
        <v>18</v>
      </c>
      <c r="K338" s="2" t="s">
        <v>56</v>
      </c>
      <c r="L338" s="2" t="s">
        <v>51</v>
      </c>
      <c r="M338" s="2" t="s">
        <v>78</v>
      </c>
      <c r="N338" s="2" t="s">
        <v>66</v>
      </c>
    </row>
    <row r="339" spans="1:14" x14ac:dyDescent="0.5">
      <c r="A339" s="2" t="s">
        <v>14</v>
      </c>
      <c r="B339" s="3">
        <v>1</v>
      </c>
      <c r="C339" s="4" t="s">
        <v>69</v>
      </c>
      <c r="D339" s="2" t="s">
        <v>32</v>
      </c>
      <c r="E339" s="2" t="s">
        <v>42</v>
      </c>
      <c r="F339" s="5">
        <v>4</v>
      </c>
      <c r="G339" s="1">
        <v>20000000</v>
      </c>
      <c r="H339" s="2">
        <v>4</v>
      </c>
      <c r="I339" s="6">
        <v>1.3888888888888889E-3</v>
      </c>
      <c r="J339" s="2" t="s">
        <v>18</v>
      </c>
      <c r="K339" s="2" t="s">
        <v>24</v>
      </c>
      <c r="L339" s="2" t="s">
        <v>51</v>
      </c>
      <c r="M339" s="2" t="s">
        <v>76</v>
      </c>
      <c r="N339" s="2" t="s">
        <v>52</v>
      </c>
    </row>
    <row r="340" spans="1:14" x14ac:dyDescent="0.5">
      <c r="A340" s="2" t="s">
        <v>14</v>
      </c>
      <c r="B340" s="3">
        <v>17</v>
      </c>
      <c r="C340" s="4" t="s">
        <v>69</v>
      </c>
      <c r="D340" s="2" t="s">
        <v>73</v>
      </c>
      <c r="E340" s="2" t="s">
        <v>17</v>
      </c>
      <c r="F340" s="5">
        <v>3</v>
      </c>
      <c r="G340" s="1">
        <v>15000000</v>
      </c>
      <c r="H340" s="2">
        <v>5</v>
      </c>
      <c r="I340" s="6">
        <v>1.3888888888888889E-3</v>
      </c>
      <c r="J340" s="2" t="s">
        <v>18</v>
      </c>
      <c r="K340" s="2" t="s">
        <v>39</v>
      </c>
      <c r="L340" s="2" t="s">
        <v>51</v>
      </c>
      <c r="M340" s="2" t="s">
        <v>77</v>
      </c>
      <c r="N340" s="2" t="s">
        <v>54</v>
      </c>
    </row>
    <row r="341" spans="1:14" x14ac:dyDescent="0.5">
      <c r="A341" s="2" t="s">
        <v>14</v>
      </c>
      <c r="B341" s="3">
        <v>2</v>
      </c>
      <c r="C341" s="4" t="s">
        <v>69</v>
      </c>
      <c r="D341" s="2" t="s">
        <v>32</v>
      </c>
      <c r="E341" s="2" t="s">
        <v>17</v>
      </c>
      <c r="F341" s="5">
        <v>2</v>
      </c>
      <c r="G341" s="1">
        <v>12000000</v>
      </c>
      <c r="H341" s="2">
        <v>2</v>
      </c>
      <c r="I341" s="6">
        <v>1.3888888888888889E-3</v>
      </c>
      <c r="J341" s="2" t="s">
        <v>18</v>
      </c>
      <c r="K341" s="2" t="s">
        <v>56</v>
      </c>
      <c r="L341" s="2" t="s">
        <v>20</v>
      </c>
      <c r="M341" s="2" t="s">
        <v>78</v>
      </c>
      <c r="N341" s="2" t="s">
        <v>41</v>
      </c>
    </row>
    <row r="342" spans="1:14" x14ac:dyDescent="0.5">
      <c r="A342" s="2" t="s">
        <v>14</v>
      </c>
      <c r="B342" s="3">
        <v>12</v>
      </c>
      <c r="C342" s="4" t="s">
        <v>55</v>
      </c>
      <c r="D342" s="2" t="s">
        <v>28</v>
      </c>
      <c r="E342" s="2" t="s">
        <v>23</v>
      </c>
      <c r="F342" s="5">
        <v>2</v>
      </c>
      <c r="G342" s="1">
        <v>12000000</v>
      </c>
      <c r="H342" s="2">
        <v>1</v>
      </c>
      <c r="I342" s="6">
        <v>1.3888888888888889E-3</v>
      </c>
      <c r="J342" s="2" t="s">
        <v>18</v>
      </c>
      <c r="K342" s="2" t="s">
        <v>29</v>
      </c>
      <c r="L342" s="2" t="s">
        <v>33</v>
      </c>
      <c r="M342" s="2" t="s">
        <v>76</v>
      </c>
      <c r="N342" s="2" t="s">
        <v>71</v>
      </c>
    </row>
    <row r="343" spans="1:14" x14ac:dyDescent="0.5">
      <c r="A343" s="2" t="s">
        <v>14</v>
      </c>
      <c r="B343" s="3">
        <v>1</v>
      </c>
      <c r="C343" s="4" t="s">
        <v>15</v>
      </c>
      <c r="D343" s="2" t="s">
        <v>32</v>
      </c>
      <c r="E343" s="2" t="s">
        <v>42</v>
      </c>
      <c r="F343" s="5">
        <v>4</v>
      </c>
      <c r="G343" s="1">
        <v>20000000</v>
      </c>
      <c r="H343" s="2">
        <v>1</v>
      </c>
      <c r="I343" s="6">
        <v>1.3888888888888889E-3</v>
      </c>
      <c r="J343" s="2" t="s">
        <v>18</v>
      </c>
      <c r="K343" s="2" t="s">
        <v>35</v>
      </c>
      <c r="L343" s="2" t="s">
        <v>33</v>
      </c>
      <c r="M343" s="2" t="s">
        <v>76</v>
      </c>
      <c r="N343" s="2" t="s">
        <v>75</v>
      </c>
    </row>
    <row r="344" spans="1:14" x14ac:dyDescent="0.5">
      <c r="A344" s="2" t="s">
        <v>14</v>
      </c>
      <c r="B344" s="3">
        <v>27</v>
      </c>
      <c r="C344" s="4" t="s">
        <v>22</v>
      </c>
      <c r="D344" s="2" t="s">
        <v>16</v>
      </c>
      <c r="E344" s="2" t="s">
        <v>23</v>
      </c>
      <c r="F344" s="5">
        <v>4</v>
      </c>
      <c r="G344" s="1">
        <v>11000000</v>
      </c>
      <c r="H344" s="2">
        <v>1</v>
      </c>
      <c r="I344" s="6">
        <v>1.3888888888888889E-3</v>
      </c>
      <c r="J344" s="2" t="s">
        <v>61</v>
      </c>
      <c r="K344" s="2" t="s">
        <v>47</v>
      </c>
      <c r="L344" s="2" t="s">
        <v>25</v>
      </c>
      <c r="M344" s="2" t="s">
        <v>77</v>
      </c>
      <c r="N344" s="2" t="s">
        <v>54</v>
      </c>
    </row>
    <row r="345" spans="1:14" x14ac:dyDescent="0.5">
      <c r="A345" s="2" t="s">
        <v>70</v>
      </c>
      <c r="B345" s="3">
        <v>6</v>
      </c>
      <c r="C345" s="4" t="s">
        <v>55</v>
      </c>
      <c r="D345" s="2" t="s">
        <v>16</v>
      </c>
      <c r="E345" s="2" t="s">
        <v>17</v>
      </c>
      <c r="F345" s="5">
        <v>0</v>
      </c>
      <c r="G345" s="1">
        <v>0</v>
      </c>
      <c r="H345" s="2">
        <v>4</v>
      </c>
      <c r="I345" s="6">
        <v>1.3888888888888889E-3</v>
      </c>
      <c r="J345" s="2"/>
      <c r="K345" s="2"/>
      <c r="L345" s="2" t="s">
        <v>51</v>
      </c>
      <c r="M345" s="2" t="s">
        <v>78</v>
      </c>
      <c r="N345" s="2" t="s">
        <v>53</v>
      </c>
    </row>
    <row r="346" spans="1:14" x14ac:dyDescent="0.5">
      <c r="A346" s="2" t="s">
        <v>70</v>
      </c>
      <c r="B346" s="3">
        <v>28</v>
      </c>
      <c r="C346" s="4" t="s">
        <v>59</v>
      </c>
      <c r="D346" s="2" t="s">
        <v>38</v>
      </c>
      <c r="E346" s="2" t="s">
        <v>17</v>
      </c>
      <c r="F346" s="5">
        <v>0</v>
      </c>
      <c r="G346" s="1">
        <v>0</v>
      </c>
      <c r="H346" s="2">
        <v>1</v>
      </c>
      <c r="I346" s="6">
        <v>1.3888888888888889E-3</v>
      </c>
      <c r="J346" s="2"/>
      <c r="K346" s="2"/>
      <c r="L346" s="2" t="s">
        <v>48</v>
      </c>
      <c r="M346" s="2" t="s">
        <v>78</v>
      </c>
      <c r="N346" s="2" t="s">
        <v>41</v>
      </c>
    </row>
    <row r="347" spans="1:14" x14ac:dyDescent="0.5">
      <c r="A347" s="2" t="s">
        <v>70</v>
      </c>
      <c r="B347" s="3">
        <v>5</v>
      </c>
      <c r="C347" s="4" t="s">
        <v>37</v>
      </c>
      <c r="D347" s="2" t="s">
        <v>32</v>
      </c>
      <c r="E347" s="2" t="s">
        <v>42</v>
      </c>
      <c r="F347" s="5">
        <v>0</v>
      </c>
      <c r="G347" s="1">
        <v>0</v>
      </c>
      <c r="H347" s="2">
        <v>3</v>
      </c>
      <c r="I347" s="6">
        <v>1.3888888888888889E-3</v>
      </c>
      <c r="J347" s="2"/>
      <c r="K347" s="2"/>
      <c r="L347" s="2" t="s">
        <v>30</v>
      </c>
      <c r="M347" s="2" t="s">
        <v>66</v>
      </c>
      <c r="N347" s="2" t="s">
        <v>36</v>
      </c>
    </row>
    <row r="348" spans="1:14" x14ac:dyDescent="0.5">
      <c r="A348" s="2" t="s">
        <v>70</v>
      </c>
      <c r="B348" s="3">
        <v>4</v>
      </c>
      <c r="C348" s="4" t="s">
        <v>69</v>
      </c>
      <c r="D348" s="2" t="s">
        <v>38</v>
      </c>
      <c r="E348" s="2" t="s">
        <v>68</v>
      </c>
      <c r="F348" s="5">
        <v>0</v>
      </c>
      <c r="G348" s="1">
        <v>0</v>
      </c>
      <c r="H348" s="2">
        <v>4</v>
      </c>
      <c r="I348" s="6">
        <v>1.3888888888888889E-3</v>
      </c>
      <c r="J348" s="2"/>
      <c r="K348" s="2"/>
      <c r="L348" s="2" t="s">
        <v>33</v>
      </c>
      <c r="M348" s="2" t="s">
        <v>77</v>
      </c>
      <c r="N348" s="2" t="s">
        <v>54</v>
      </c>
    </row>
    <row r="349" spans="1:14" x14ac:dyDescent="0.5">
      <c r="A349" s="2" t="s">
        <v>70</v>
      </c>
      <c r="B349" s="3">
        <v>28</v>
      </c>
      <c r="C349" s="4" t="s">
        <v>69</v>
      </c>
      <c r="D349" s="2" t="s">
        <v>38</v>
      </c>
      <c r="E349" s="2" t="s">
        <v>45</v>
      </c>
      <c r="F349" s="5">
        <v>0</v>
      </c>
      <c r="G349" s="1">
        <v>0</v>
      </c>
      <c r="H349" s="2">
        <v>2</v>
      </c>
      <c r="I349" s="6">
        <v>1.3888888888888889E-3</v>
      </c>
      <c r="J349" s="2"/>
      <c r="K349" s="2"/>
      <c r="L349" s="2" t="s">
        <v>33</v>
      </c>
      <c r="M349" s="2" t="s">
        <v>76</v>
      </c>
      <c r="N349" s="2" t="s">
        <v>31</v>
      </c>
    </row>
    <row r="350" spans="1:14" x14ac:dyDescent="0.5">
      <c r="A350" s="2" t="s">
        <v>70</v>
      </c>
      <c r="B350" s="3">
        <v>10</v>
      </c>
      <c r="C350" s="4" t="s">
        <v>69</v>
      </c>
      <c r="D350" s="2" t="s">
        <v>16</v>
      </c>
      <c r="E350" s="2" t="s">
        <v>23</v>
      </c>
      <c r="F350" s="5">
        <v>0</v>
      </c>
      <c r="G350" s="1">
        <v>0</v>
      </c>
      <c r="H350" s="2">
        <v>1</v>
      </c>
      <c r="I350" s="6">
        <v>1.3888888888888889E-3</v>
      </c>
      <c r="J350" s="2"/>
      <c r="K350" s="2"/>
      <c r="L350" s="2" t="s">
        <v>40</v>
      </c>
      <c r="M350" s="2" t="s">
        <v>76</v>
      </c>
      <c r="N350" s="2" t="s">
        <v>26</v>
      </c>
    </row>
    <row r="351" spans="1:14" x14ac:dyDescent="0.5">
      <c r="A351" s="2" t="s">
        <v>70</v>
      </c>
      <c r="B351" s="3">
        <v>30</v>
      </c>
      <c r="C351" s="4" t="s">
        <v>69</v>
      </c>
      <c r="D351" s="2" t="s">
        <v>38</v>
      </c>
      <c r="E351" s="2" t="s">
        <v>23</v>
      </c>
      <c r="F351" s="5">
        <v>0</v>
      </c>
      <c r="G351" s="1">
        <v>0</v>
      </c>
      <c r="H351" s="2">
        <v>2</v>
      </c>
      <c r="I351" s="6">
        <v>1.3888888888888889E-3</v>
      </c>
      <c r="J351" s="2"/>
      <c r="K351" s="2"/>
      <c r="L351" s="2" t="s">
        <v>20</v>
      </c>
      <c r="M351" s="2" t="s">
        <v>78</v>
      </c>
      <c r="N351" s="2" t="s">
        <v>62</v>
      </c>
    </row>
    <row r="352" spans="1:14" x14ac:dyDescent="0.5">
      <c r="A352" s="2" t="s">
        <v>70</v>
      </c>
      <c r="B352" s="3">
        <v>6</v>
      </c>
      <c r="C352" s="4" t="s">
        <v>55</v>
      </c>
      <c r="D352" s="2" t="s">
        <v>16</v>
      </c>
      <c r="E352" s="2" t="s">
        <v>17</v>
      </c>
      <c r="F352" s="5">
        <v>0</v>
      </c>
      <c r="G352" s="1">
        <v>0</v>
      </c>
      <c r="H352" s="2">
        <v>4</v>
      </c>
      <c r="I352" s="6">
        <v>1.3888888888888889E-3</v>
      </c>
      <c r="J352" s="2"/>
      <c r="K352" s="2"/>
      <c r="L352" s="2" t="s">
        <v>51</v>
      </c>
      <c r="M352" s="2" t="s">
        <v>78</v>
      </c>
      <c r="N352" s="2" t="s">
        <v>53</v>
      </c>
    </row>
    <row r="353" spans="1:14" x14ac:dyDescent="0.5">
      <c r="A353" s="2" t="s">
        <v>70</v>
      </c>
      <c r="B353" s="3">
        <v>28</v>
      </c>
      <c r="C353" s="4" t="s">
        <v>59</v>
      </c>
      <c r="D353" s="2" t="s">
        <v>38</v>
      </c>
      <c r="E353" s="2" t="s">
        <v>17</v>
      </c>
      <c r="F353" s="5">
        <v>0</v>
      </c>
      <c r="G353" s="1">
        <v>0</v>
      </c>
      <c r="H353" s="2">
        <v>1</v>
      </c>
      <c r="I353" s="6">
        <v>1.3888888888888889E-3</v>
      </c>
      <c r="J353" s="2"/>
      <c r="K353" s="2"/>
      <c r="L353" s="2" t="s">
        <v>48</v>
      </c>
      <c r="M353" s="2" t="s">
        <v>78</v>
      </c>
      <c r="N353" s="2" t="s">
        <v>41</v>
      </c>
    </row>
    <row r="354" spans="1:14" x14ac:dyDescent="0.5">
      <c r="A354" s="2" t="s">
        <v>14</v>
      </c>
      <c r="B354" s="3">
        <v>4</v>
      </c>
      <c r="C354" s="4" t="s">
        <v>15</v>
      </c>
      <c r="D354" s="2" t="s">
        <v>28</v>
      </c>
      <c r="E354" s="2" t="s">
        <v>42</v>
      </c>
      <c r="F354" s="5">
        <v>5</v>
      </c>
      <c r="G354" s="1">
        <v>20000000</v>
      </c>
      <c r="H354" s="2">
        <v>1</v>
      </c>
      <c r="I354" s="6">
        <v>1.3888888888888889E-3</v>
      </c>
      <c r="J354" s="2" t="s">
        <v>18</v>
      </c>
      <c r="K354" s="2" t="s">
        <v>35</v>
      </c>
      <c r="L354" s="2" t="s">
        <v>51</v>
      </c>
      <c r="M354" s="2" t="s">
        <v>77</v>
      </c>
      <c r="N354" s="2" t="s">
        <v>54</v>
      </c>
    </row>
    <row r="355" spans="1:14" x14ac:dyDescent="0.5">
      <c r="A355" s="2" t="s">
        <v>14</v>
      </c>
      <c r="B355" s="3">
        <v>6</v>
      </c>
      <c r="C355" s="4" t="s">
        <v>59</v>
      </c>
      <c r="D355" s="2" t="s">
        <v>28</v>
      </c>
      <c r="E355" s="2" t="s">
        <v>68</v>
      </c>
      <c r="F355" s="5">
        <v>2</v>
      </c>
      <c r="G355" s="1">
        <v>12000000</v>
      </c>
      <c r="H355" s="2">
        <v>1</v>
      </c>
      <c r="I355" s="6">
        <v>1.3888888888888889E-3</v>
      </c>
      <c r="J355" s="2" t="s">
        <v>18</v>
      </c>
      <c r="K355" s="2" t="s">
        <v>35</v>
      </c>
      <c r="L355" s="2" t="s">
        <v>33</v>
      </c>
      <c r="M355" s="2" t="s">
        <v>76</v>
      </c>
      <c r="N355" s="2" t="s">
        <v>52</v>
      </c>
    </row>
    <row r="356" spans="1:14" x14ac:dyDescent="0.5">
      <c r="A356" s="2" t="s">
        <v>14</v>
      </c>
      <c r="B356" s="3">
        <v>12</v>
      </c>
      <c r="C356" s="4" t="s">
        <v>60</v>
      </c>
      <c r="D356" s="2" t="s">
        <v>32</v>
      </c>
      <c r="E356" s="2" t="s">
        <v>45</v>
      </c>
      <c r="F356" s="5">
        <v>2</v>
      </c>
      <c r="G356" s="1">
        <v>12000000</v>
      </c>
      <c r="H356" s="2">
        <v>5</v>
      </c>
      <c r="I356" s="6">
        <v>1.3888888888888889E-3</v>
      </c>
      <c r="J356" s="2" t="s">
        <v>18</v>
      </c>
      <c r="K356" s="2" t="s">
        <v>39</v>
      </c>
      <c r="L356" s="2" t="s">
        <v>30</v>
      </c>
      <c r="M356" s="2" t="s">
        <v>66</v>
      </c>
      <c r="N356" s="2" t="s">
        <v>67</v>
      </c>
    </row>
    <row r="357" spans="1:14" x14ac:dyDescent="0.5">
      <c r="A357" s="2" t="s">
        <v>14</v>
      </c>
      <c r="B357" s="3">
        <v>11</v>
      </c>
      <c r="C357" s="4" t="s">
        <v>22</v>
      </c>
      <c r="D357" s="2" t="s">
        <v>38</v>
      </c>
      <c r="E357" s="2" t="s">
        <v>42</v>
      </c>
      <c r="F357" s="5">
        <v>2</v>
      </c>
      <c r="G357" s="1">
        <v>12000000</v>
      </c>
      <c r="H357" s="2">
        <v>1</v>
      </c>
      <c r="I357" s="6">
        <v>1.3888888888888889E-3</v>
      </c>
      <c r="J357" s="2" t="s">
        <v>18</v>
      </c>
      <c r="K357" s="2" t="s">
        <v>24</v>
      </c>
      <c r="L357" s="2" t="s">
        <v>43</v>
      </c>
      <c r="M357" s="2" t="s">
        <v>76</v>
      </c>
      <c r="N357" s="2" t="s">
        <v>26</v>
      </c>
    </row>
    <row r="358" spans="1:14" x14ac:dyDescent="0.5">
      <c r="A358" s="2" t="s">
        <v>14</v>
      </c>
      <c r="B358" s="3">
        <v>2</v>
      </c>
      <c r="C358" s="4" t="s">
        <v>37</v>
      </c>
      <c r="D358" s="2" t="s">
        <v>16</v>
      </c>
      <c r="E358" s="2" t="s">
        <v>23</v>
      </c>
      <c r="F358" s="5">
        <v>3</v>
      </c>
      <c r="G358" s="1">
        <v>15000000</v>
      </c>
      <c r="H358" s="2">
        <v>1</v>
      </c>
      <c r="I358" s="6">
        <v>1.3888888888888889E-3</v>
      </c>
      <c r="J358" s="2" t="s">
        <v>18</v>
      </c>
      <c r="K358" s="2" t="s">
        <v>39</v>
      </c>
      <c r="L358" s="2" t="s">
        <v>20</v>
      </c>
      <c r="M358" s="2" t="s">
        <v>78</v>
      </c>
      <c r="N358" s="2" t="s">
        <v>66</v>
      </c>
    </row>
    <row r="359" spans="1:14" x14ac:dyDescent="0.5">
      <c r="A359" s="2" t="s">
        <v>14</v>
      </c>
      <c r="B359" s="3">
        <v>8</v>
      </c>
      <c r="C359" s="4" t="s">
        <v>37</v>
      </c>
      <c r="D359" s="2" t="s">
        <v>16</v>
      </c>
      <c r="E359" s="2" t="s">
        <v>42</v>
      </c>
      <c r="F359" s="5">
        <v>3</v>
      </c>
      <c r="G359" s="1">
        <v>15000000</v>
      </c>
      <c r="H359" s="2">
        <v>4</v>
      </c>
      <c r="I359" s="6">
        <v>1.3888888888888889E-3</v>
      </c>
      <c r="J359" s="2" t="s">
        <v>18</v>
      </c>
      <c r="K359" s="2" t="s">
        <v>47</v>
      </c>
      <c r="L359" s="2" t="s">
        <v>51</v>
      </c>
      <c r="M359" s="2" t="s">
        <v>77</v>
      </c>
      <c r="N359" s="2" t="s">
        <v>54</v>
      </c>
    </row>
    <row r="360" spans="1:14" x14ac:dyDescent="0.5">
      <c r="A360" s="2" t="s">
        <v>14</v>
      </c>
      <c r="B360" s="3">
        <v>17</v>
      </c>
      <c r="C360" s="4" t="s">
        <v>44</v>
      </c>
      <c r="D360" s="2" t="s">
        <v>32</v>
      </c>
      <c r="E360" s="2" t="s">
        <v>23</v>
      </c>
      <c r="F360" s="5">
        <v>4</v>
      </c>
      <c r="G360" s="1">
        <v>11000000</v>
      </c>
      <c r="H360" s="2">
        <v>2</v>
      </c>
      <c r="I360" s="6">
        <v>1.3888888888888889E-3</v>
      </c>
      <c r="J360" s="2" t="s">
        <v>61</v>
      </c>
      <c r="K360" s="2" t="s">
        <v>19</v>
      </c>
      <c r="L360" s="2" t="s">
        <v>51</v>
      </c>
      <c r="M360" s="2" t="s">
        <v>78</v>
      </c>
      <c r="N360" s="2" t="s">
        <v>21</v>
      </c>
    </row>
    <row r="361" spans="1:14" x14ac:dyDescent="0.5">
      <c r="A361" s="2" t="s">
        <v>14</v>
      </c>
      <c r="B361" s="3">
        <v>10</v>
      </c>
      <c r="C361" s="4" t="s">
        <v>69</v>
      </c>
      <c r="D361" s="2" t="s">
        <v>32</v>
      </c>
      <c r="E361" s="2" t="s">
        <v>23</v>
      </c>
      <c r="F361" s="5">
        <v>4</v>
      </c>
      <c r="G361" s="1">
        <v>20000000</v>
      </c>
      <c r="H361" s="2">
        <v>1</v>
      </c>
      <c r="I361" s="6">
        <v>1.3888888888888889E-3</v>
      </c>
      <c r="J361" s="2" t="s">
        <v>18</v>
      </c>
      <c r="K361" s="2" t="s">
        <v>19</v>
      </c>
      <c r="L361" s="2" t="s">
        <v>48</v>
      </c>
      <c r="M361" s="2" t="s">
        <v>66</v>
      </c>
      <c r="N361" s="2" t="s">
        <v>67</v>
      </c>
    </row>
    <row r="362" spans="1:14" x14ac:dyDescent="0.5">
      <c r="A362" s="2" t="s">
        <v>14</v>
      </c>
      <c r="B362" s="3">
        <v>17</v>
      </c>
      <c r="C362" s="4" t="s">
        <v>69</v>
      </c>
      <c r="D362" s="2" t="s">
        <v>49</v>
      </c>
      <c r="E362" s="2" t="s">
        <v>17</v>
      </c>
      <c r="F362" s="5">
        <v>1</v>
      </c>
      <c r="G362" s="1">
        <v>7000000</v>
      </c>
      <c r="H362" s="2">
        <v>5</v>
      </c>
      <c r="I362" s="6">
        <v>1.3888888888888889E-3</v>
      </c>
      <c r="J362" s="2" t="s">
        <v>18</v>
      </c>
      <c r="K362" s="2" t="s">
        <v>64</v>
      </c>
      <c r="L362" s="2" t="s">
        <v>48</v>
      </c>
      <c r="M362" s="2" t="s">
        <v>66</v>
      </c>
      <c r="N362" s="2" t="s">
        <v>36</v>
      </c>
    </row>
    <row r="363" spans="1:14" x14ac:dyDescent="0.5">
      <c r="A363" s="2" t="s">
        <v>14</v>
      </c>
      <c r="B363" s="3">
        <v>4</v>
      </c>
      <c r="C363" s="4" t="s">
        <v>15</v>
      </c>
      <c r="D363" s="2" t="s">
        <v>28</v>
      </c>
      <c r="E363" s="2" t="s">
        <v>42</v>
      </c>
      <c r="F363" s="5">
        <v>5</v>
      </c>
      <c r="G363" s="1">
        <v>20000000</v>
      </c>
      <c r="H363" s="2">
        <v>1</v>
      </c>
      <c r="I363" s="6">
        <v>1.3888888888888889E-3</v>
      </c>
      <c r="J363" s="2" t="s">
        <v>18</v>
      </c>
      <c r="K363" s="2" t="s">
        <v>35</v>
      </c>
      <c r="L363" s="2" t="s">
        <v>51</v>
      </c>
      <c r="M363" s="2" t="s">
        <v>77</v>
      </c>
      <c r="N363" s="2" t="s">
        <v>54</v>
      </c>
    </row>
    <row r="364" spans="1:14" x14ac:dyDescent="0.5">
      <c r="A364" s="2" t="s">
        <v>14</v>
      </c>
      <c r="B364" s="3">
        <v>6</v>
      </c>
      <c r="C364" s="4" t="s">
        <v>59</v>
      </c>
      <c r="D364" s="2" t="s">
        <v>28</v>
      </c>
      <c r="E364" s="2" t="s">
        <v>68</v>
      </c>
      <c r="F364" s="5">
        <v>2</v>
      </c>
      <c r="G364" s="1">
        <v>12000000</v>
      </c>
      <c r="H364" s="2">
        <v>1</v>
      </c>
      <c r="I364" s="6">
        <v>1.3888888888888889E-3</v>
      </c>
      <c r="J364" s="2" t="s">
        <v>18</v>
      </c>
      <c r="K364" s="2" t="s">
        <v>35</v>
      </c>
      <c r="L364" s="2" t="s">
        <v>33</v>
      </c>
      <c r="M364" s="2" t="s">
        <v>76</v>
      </c>
      <c r="N364" s="2" t="s">
        <v>52</v>
      </c>
    </row>
    <row r="365" spans="1:14" x14ac:dyDescent="0.5">
      <c r="A365" s="2" t="s">
        <v>14</v>
      </c>
      <c r="B365" s="3">
        <v>12</v>
      </c>
      <c r="C365" s="4" t="s">
        <v>60</v>
      </c>
      <c r="D365" s="2" t="s">
        <v>32</v>
      </c>
      <c r="E365" s="2" t="s">
        <v>45</v>
      </c>
      <c r="F365" s="5">
        <v>2</v>
      </c>
      <c r="G365" s="1">
        <v>12000000</v>
      </c>
      <c r="H365" s="2">
        <v>5</v>
      </c>
      <c r="I365" s="6">
        <v>1.3888888888888889E-3</v>
      </c>
      <c r="J365" s="2" t="s">
        <v>18</v>
      </c>
      <c r="K365" s="2" t="s">
        <v>39</v>
      </c>
      <c r="L365" s="2" t="s">
        <v>30</v>
      </c>
      <c r="M365" s="2" t="s">
        <v>66</v>
      </c>
      <c r="N365" s="2" t="s">
        <v>67</v>
      </c>
    </row>
    <row r="366" spans="1:14" x14ac:dyDescent="0.5">
      <c r="A366" s="2" t="s">
        <v>70</v>
      </c>
      <c r="B366" s="3">
        <v>2</v>
      </c>
      <c r="C366" s="4" t="s">
        <v>59</v>
      </c>
      <c r="D366" s="2" t="s">
        <v>16</v>
      </c>
      <c r="E366" s="2" t="s">
        <v>42</v>
      </c>
      <c r="F366" s="5">
        <v>0</v>
      </c>
      <c r="G366" s="1">
        <v>0</v>
      </c>
      <c r="H366" s="2">
        <v>1</v>
      </c>
      <c r="I366" s="6">
        <v>1.3888888888888889E-3</v>
      </c>
      <c r="J366" s="2"/>
      <c r="K366" s="2"/>
      <c r="L366" s="2" t="s">
        <v>25</v>
      </c>
      <c r="M366" s="2" t="s">
        <v>77</v>
      </c>
      <c r="N366" s="2" t="s">
        <v>65</v>
      </c>
    </row>
    <row r="367" spans="1:14" x14ac:dyDescent="0.5">
      <c r="A367" s="2" t="s">
        <v>70</v>
      </c>
      <c r="B367" s="3">
        <v>30</v>
      </c>
      <c r="C367" s="4" t="s">
        <v>27</v>
      </c>
      <c r="D367" s="2" t="s">
        <v>16</v>
      </c>
      <c r="E367" s="2" t="s">
        <v>23</v>
      </c>
      <c r="F367" s="5">
        <v>0</v>
      </c>
      <c r="G367" s="1">
        <v>0</v>
      </c>
      <c r="H367" s="2">
        <v>2</v>
      </c>
      <c r="I367" s="6">
        <v>1.3888888888888889E-3</v>
      </c>
      <c r="J367" s="2"/>
      <c r="K367" s="2"/>
      <c r="L367" s="2" t="s">
        <v>43</v>
      </c>
      <c r="M367" s="2" t="s">
        <v>76</v>
      </c>
      <c r="N367" s="2" t="s">
        <v>31</v>
      </c>
    </row>
    <row r="368" spans="1:14" x14ac:dyDescent="0.5">
      <c r="A368" s="2" t="s">
        <v>70</v>
      </c>
      <c r="B368" s="3">
        <v>8</v>
      </c>
      <c r="C368" s="4" t="s">
        <v>37</v>
      </c>
      <c r="D368" s="2" t="s">
        <v>38</v>
      </c>
      <c r="E368" s="2" t="s">
        <v>23</v>
      </c>
      <c r="F368" s="5">
        <v>0</v>
      </c>
      <c r="G368" s="1">
        <v>0</v>
      </c>
      <c r="H368" s="2">
        <v>1</v>
      </c>
      <c r="I368" s="6">
        <v>1.3888888888888889E-3</v>
      </c>
      <c r="J368" s="2"/>
      <c r="K368" s="2"/>
      <c r="L368" s="2" t="s">
        <v>30</v>
      </c>
      <c r="M368" s="2" t="s">
        <v>78</v>
      </c>
      <c r="N368" s="2" t="s">
        <v>62</v>
      </c>
    </row>
    <row r="369" spans="1:14" x14ac:dyDescent="0.5">
      <c r="A369" s="2" t="s">
        <v>70</v>
      </c>
      <c r="B369" s="3">
        <v>20</v>
      </c>
      <c r="C369" s="4" t="s">
        <v>44</v>
      </c>
      <c r="D369" s="2" t="s">
        <v>32</v>
      </c>
      <c r="E369" s="2" t="s">
        <v>17</v>
      </c>
      <c r="F369" s="5">
        <v>0</v>
      </c>
      <c r="G369" s="1">
        <v>0</v>
      </c>
      <c r="H369" s="2">
        <v>2</v>
      </c>
      <c r="I369" s="6">
        <v>1.3888888888888889E-3</v>
      </c>
      <c r="J369" s="2"/>
      <c r="K369" s="2"/>
      <c r="L369" s="2" t="s">
        <v>33</v>
      </c>
      <c r="M369" s="2" t="s">
        <v>78</v>
      </c>
      <c r="N369" s="2" t="s">
        <v>62</v>
      </c>
    </row>
    <row r="370" spans="1:14" x14ac:dyDescent="0.5">
      <c r="A370" s="2" t="s">
        <v>70</v>
      </c>
      <c r="B370" s="3">
        <v>2</v>
      </c>
      <c r="C370" s="4" t="s">
        <v>59</v>
      </c>
      <c r="D370" s="2" t="s">
        <v>16</v>
      </c>
      <c r="E370" s="2" t="s">
        <v>42</v>
      </c>
      <c r="F370" s="5">
        <v>0</v>
      </c>
      <c r="G370" s="1">
        <v>0</v>
      </c>
      <c r="H370" s="2">
        <v>1</v>
      </c>
      <c r="I370" s="6">
        <v>1.3888888888888889E-3</v>
      </c>
      <c r="J370" s="2"/>
      <c r="K370" s="2"/>
      <c r="L370" s="2" t="s">
        <v>25</v>
      </c>
      <c r="M370" s="2" t="s">
        <v>77</v>
      </c>
      <c r="N370" s="2" t="s">
        <v>65</v>
      </c>
    </row>
    <row r="371" spans="1:14" x14ac:dyDescent="0.5">
      <c r="A371" s="2" t="s">
        <v>14</v>
      </c>
      <c r="B371" s="3">
        <v>10</v>
      </c>
      <c r="C371" s="4" t="s">
        <v>55</v>
      </c>
      <c r="D371" s="2" t="s">
        <v>32</v>
      </c>
      <c r="E371" s="2" t="s">
        <v>42</v>
      </c>
      <c r="F371" s="5">
        <v>2</v>
      </c>
      <c r="G371" s="1">
        <v>12000000</v>
      </c>
      <c r="H371" s="2">
        <v>1</v>
      </c>
      <c r="I371" s="6">
        <v>1.3888888888888889E-3</v>
      </c>
      <c r="J371" s="2" t="s">
        <v>18</v>
      </c>
      <c r="K371" s="2" t="s">
        <v>19</v>
      </c>
      <c r="L371" s="2" t="s">
        <v>20</v>
      </c>
      <c r="M371" s="2" t="s">
        <v>77</v>
      </c>
      <c r="N371" s="2" t="s">
        <v>34</v>
      </c>
    </row>
    <row r="372" spans="1:14" x14ac:dyDescent="0.5">
      <c r="A372" s="2" t="s">
        <v>14</v>
      </c>
      <c r="B372" s="3">
        <v>1</v>
      </c>
      <c r="C372" s="4" t="s">
        <v>55</v>
      </c>
      <c r="D372" s="2" t="s">
        <v>32</v>
      </c>
      <c r="E372" s="2" t="s">
        <v>42</v>
      </c>
      <c r="F372" s="5">
        <v>3</v>
      </c>
      <c r="G372" s="1">
        <v>11000000</v>
      </c>
      <c r="H372" s="2">
        <v>2</v>
      </c>
      <c r="I372" s="6">
        <v>1.3888888888888889E-3</v>
      </c>
      <c r="J372" s="2" t="s">
        <v>18</v>
      </c>
      <c r="K372" s="2" t="s">
        <v>64</v>
      </c>
      <c r="L372" s="2" t="s">
        <v>20</v>
      </c>
      <c r="M372" s="2" t="s">
        <v>78</v>
      </c>
      <c r="N372" s="2" t="s">
        <v>63</v>
      </c>
    </row>
    <row r="373" spans="1:14" x14ac:dyDescent="0.5">
      <c r="A373" s="2" t="s">
        <v>14</v>
      </c>
      <c r="B373" s="3">
        <v>11</v>
      </c>
      <c r="C373" s="4" t="s">
        <v>57</v>
      </c>
      <c r="D373" s="2" t="s">
        <v>16</v>
      </c>
      <c r="E373" s="2" t="s">
        <v>17</v>
      </c>
      <c r="F373" s="5">
        <v>2</v>
      </c>
      <c r="G373" s="1">
        <v>10000000</v>
      </c>
      <c r="H373" s="2">
        <v>2</v>
      </c>
      <c r="I373" s="6">
        <v>1.3888888888888889E-3</v>
      </c>
      <c r="J373" s="2" t="s">
        <v>18</v>
      </c>
      <c r="K373" s="2" t="s">
        <v>56</v>
      </c>
      <c r="L373" s="2" t="s">
        <v>48</v>
      </c>
      <c r="M373" s="2" t="s">
        <v>66</v>
      </c>
      <c r="N373" s="2" t="s">
        <v>36</v>
      </c>
    </row>
    <row r="374" spans="1:14" x14ac:dyDescent="0.5">
      <c r="A374" s="2" t="s">
        <v>14</v>
      </c>
      <c r="B374" s="3">
        <v>3</v>
      </c>
      <c r="C374" s="4" t="s">
        <v>59</v>
      </c>
      <c r="D374" s="2" t="s">
        <v>49</v>
      </c>
      <c r="E374" s="2" t="s">
        <v>42</v>
      </c>
      <c r="F374" s="5">
        <v>2</v>
      </c>
      <c r="G374" s="1">
        <v>38000000</v>
      </c>
      <c r="H374" s="2">
        <v>1</v>
      </c>
      <c r="I374" s="6">
        <v>1.3888888888888889E-3</v>
      </c>
      <c r="J374" s="2" t="s">
        <v>46</v>
      </c>
      <c r="K374" s="2" t="s">
        <v>19</v>
      </c>
      <c r="L374" s="2" t="s">
        <v>30</v>
      </c>
      <c r="M374" s="2" t="s">
        <v>77</v>
      </c>
      <c r="N374" s="2" t="s">
        <v>65</v>
      </c>
    </row>
    <row r="375" spans="1:14" x14ac:dyDescent="0.5">
      <c r="A375" s="2" t="s">
        <v>14</v>
      </c>
      <c r="B375" s="3">
        <v>20</v>
      </c>
      <c r="C375" s="4" t="s">
        <v>72</v>
      </c>
      <c r="D375" s="2" t="s">
        <v>28</v>
      </c>
      <c r="E375" s="2" t="s">
        <v>42</v>
      </c>
      <c r="F375" s="5">
        <v>1</v>
      </c>
      <c r="G375" s="1">
        <v>19000000</v>
      </c>
      <c r="H375" s="2">
        <v>5</v>
      </c>
      <c r="I375" s="6">
        <v>1.3888888888888889E-3</v>
      </c>
      <c r="J375" s="2" t="s">
        <v>46</v>
      </c>
      <c r="K375" s="2" t="s">
        <v>29</v>
      </c>
      <c r="L375" s="2" t="s">
        <v>43</v>
      </c>
      <c r="M375" s="2" t="s">
        <v>66</v>
      </c>
      <c r="N375" s="2" t="s">
        <v>67</v>
      </c>
    </row>
    <row r="376" spans="1:14" x14ac:dyDescent="0.5">
      <c r="A376" s="2" t="s">
        <v>14</v>
      </c>
      <c r="B376" s="3">
        <v>11</v>
      </c>
      <c r="C376" s="4" t="s">
        <v>22</v>
      </c>
      <c r="D376" s="2" t="s">
        <v>16</v>
      </c>
      <c r="E376" s="2" t="s">
        <v>42</v>
      </c>
      <c r="F376" s="5">
        <v>3</v>
      </c>
      <c r="G376" s="1">
        <v>15000000</v>
      </c>
      <c r="H376" s="2">
        <v>4</v>
      </c>
      <c r="I376" s="6">
        <v>1.3888888888888889E-3</v>
      </c>
      <c r="J376" s="2" t="s">
        <v>18</v>
      </c>
      <c r="K376" s="2" t="s">
        <v>29</v>
      </c>
      <c r="L376" s="2" t="s">
        <v>51</v>
      </c>
      <c r="M376" s="2" t="s">
        <v>66</v>
      </c>
      <c r="N376" s="2" t="s">
        <v>67</v>
      </c>
    </row>
    <row r="377" spans="1:14" x14ac:dyDescent="0.5">
      <c r="A377" s="2" t="s">
        <v>14</v>
      </c>
      <c r="B377" s="3">
        <v>28</v>
      </c>
      <c r="C377" s="4" t="s">
        <v>27</v>
      </c>
      <c r="D377" s="2" t="s">
        <v>32</v>
      </c>
      <c r="E377" s="2" t="s">
        <v>23</v>
      </c>
      <c r="F377" s="5">
        <v>1</v>
      </c>
      <c r="G377" s="1">
        <v>19000000</v>
      </c>
      <c r="H377" s="2">
        <v>4</v>
      </c>
      <c r="I377" s="6">
        <v>1.3888888888888889E-3</v>
      </c>
      <c r="J377" s="2" t="s">
        <v>74</v>
      </c>
      <c r="K377" s="2" t="s">
        <v>35</v>
      </c>
      <c r="L377" s="2" t="s">
        <v>43</v>
      </c>
      <c r="M377" s="2" t="s">
        <v>66</v>
      </c>
      <c r="N377" s="2" t="s">
        <v>36</v>
      </c>
    </row>
    <row r="378" spans="1:14" x14ac:dyDescent="0.5">
      <c r="A378" s="2" t="s">
        <v>14</v>
      </c>
      <c r="B378" s="3">
        <v>30</v>
      </c>
      <c r="C378" s="4" t="s">
        <v>27</v>
      </c>
      <c r="D378" s="2" t="s">
        <v>32</v>
      </c>
      <c r="E378" s="2" t="s">
        <v>42</v>
      </c>
      <c r="F378" s="5">
        <v>2</v>
      </c>
      <c r="G378" s="1">
        <v>38000000</v>
      </c>
      <c r="H378" s="2">
        <v>1</v>
      </c>
      <c r="I378" s="6">
        <v>1.3888888888888889E-3</v>
      </c>
      <c r="J378" s="2" t="s">
        <v>46</v>
      </c>
      <c r="K378" s="2" t="s">
        <v>39</v>
      </c>
      <c r="L378" s="2" t="s">
        <v>30</v>
      </c>
      <c r="M378" s="2" t="s">
        <v>77</v>
      </c>
      <c r="N378" s="2" t="s">
        <v>54</v>
      </c>
    </row>
    <row r="379" spans="1:14" x14ac:dyDescent="0.5">
      <c r="A379" s="2" t="s">
        <v>14</v>
      </c>
      <c r="B379" s="3">
        <v>11</v>
      </c>
      <c r="C379" s="4" t="s">
        <v>27</v>
      </c>
      <c r="D379" s="2" t="s">
        <v>32</v>
      </c>
      <c r="E379" s="2" t="s">
        <v>42</v>
      </c>
      <c r="F379" s="5">
        <v>5</v>
      </c>
      <c r="G379" s="1">
        <v>25000000</v>
      </c>
      <c r="H379" s="2">
        <v>2</v>
      </c>
      <c r="I379" s="6">
        <v>1.3888888888888889E-3</v>
      </c>
      <c r="J379" s="2" t="s">
        <v>18</v>
      </c>
      <c r="K379" s="2" t="s">
        <v>29</v>
      </c>
      <c r="L379" s="2" t="s">
        <v>30</v>
      </c>
      <c r="M379" s="2" t="s">
        <v>76</v>
      </c>
      <c r="N379" s="2" t="s">
        <v>75</v>
      </c>
    </row>
    <row r="380" spans="1:14" x14ac:dyDescent="0.5">
      <c r="A380" s="2" t="s">
        <v>14</v>
      </c>
      <c r="B380" s="3">
        <v>12</v>
      </c>
      <c r="C380" s="4" t="s">
        <v>27</v>
      </c>
      <c r="D380" s="2" t="s">
        <v>32</v>
      </c>
      <c r="E380" s="2" t="s">
        <v>42</v>
      </c>
      <c r="F380" s="5">
        <v>5</v>
      </c>
      <c r="G380" s="1">
        <v>25000000</v>
      </c>
      <c r="H380" s="2">
        <v>5</v>
      </c>
      <c r="I380" s="6">
        <v>1.3888888888888889E-3</v>
      </c>
      <c r="J380" s="2" t="s">
        <v>18</v>
      </c>
      <c r="K380" s="2" t="s">
        <v>56</v>
      </c>
      <c r="L380" s="2" t="s">
        <v>30</v>
      </c>
      <c r="M380" s="2" t="s">
        <v>78</v>
      </c>
      <c r="N380" s="2" t="s">
        <v>63</v>
      </c>
    </row>
    <row r="381" spans="1:14" x14ac:dyDescent="0.5">
      <c r="A381" s="2" t="s">
        <v>14</v>
      </c>
      <c r="B381" s="3">
        <v>17</v>
      </c>
      <c r="C381" s="4" t="s">
        <v>27</v>
      </c>
      <c r="D381" s="2" t="s">
        <v>28</v>
      </c>
      <c r="E381" s="2" t="s">
        <v>42</v>
      </c>
      <c r="F381" s="5">
        <v>2</v>
      </c>
      <c r="G381" s="1">
        <v>12000000</v>
      </c>
      <c r="H381" s="2">
        <v>4</v>
      </c>
      <c r="I381" s="6">
        <v>1.3888888888888889E-3</v>
      </c>
      <c r="J381" s="2" t="s">
        <v>18</v>
      </c>
      <c r="K381" s="2" t="s">
        <v>39</v>
      </c>
      <c r="L381" s="2" t="s">
        <v>48</v>
      </c>
      <c r="M381" s="2" t="s">
        <v>77</v>
      </c>
      <c r="N381" s="2" t="s">
        <v>54</v>
      </c>
    </row>
    <row r="382" spans="1:14" x14ac:dyDescent="0.5">
      <c r="A382" s="2" t="s">
        <v>14</v>
      </c>
      <c r="B382" s="3">
        <v>29</v>
      </c>
      <c r="C382" s="4" t="s">
        <v>27</v>
      </c>
      <c r="D382" s="2" t="s">
        <v>32</v>
      </c>
      <c r="E382" s="2" t="s">
        <v>23</v>
      </c>
      <c r="F382" s="5">
        <v>4</v>
      </c>
      <c r="G382" s="1">
        <v>15000000</v>
      </c>
      <c r="H382" s="2">
        <v>3</v>
      </c>
      <c r="I382" s="6">
        <v>1.3888888888888889E-3</v>
      </c>
      <c r="J382" s="2" t="s">
        <v>18</v>
      </c>
      <c r="K382" s="2" t="s">
        <v>24</v>
      </c>
      <c r="L382" s="2" t="s">
        <v>51</v>
      </c>
      <c r="M382" s="2" t="s">
        <v>78</v>
      </c>
      <c r="N382" s="2" t="s">
        <v>53</v>
      </c>
    </row>
    <row r="383" spans="1:14" x14ac:dyDescent="0.5">
      <c r="A383" s="2" t="s">
        <v>14</v>
      </c>
      <c r="B383" s="3">
        <v>8</v>
      </c>
      <c r="C383" s="4" t="s">
        <v>37</v>
      </c>
      <c r="D383" s="2" t="s">
        <v>28</v>
      </c>
      <c r="E383" s="2" t="s">
        <v>23</v>
      </c>
      <c r="F383" s="5">
        <v>1</v>
      </c>
      <c r="G383" s="1">
        <v>7000000</v>
      </c>
      <c r="H383" s="2">
        <v>1</v>
      </c>
      <c r="I383" s="6">
        <v>1.3888888888888889E-3</v>
      </c>
      <c r="J383" s="2" t="s">
        <v>18</v>
      </c>
      <c r="K383" s="2" t="s">
        <v>56</v>
      </c>
      <c r="L383" s="2" t="s">
        <v>48</v>
      </c>
      <c r="M383" s="2" t="s">
        <v>78</v>
      </c>
      <c r="N383" s="2" t="s">
        <v>41</v>
      </c>
    </row>
    <row r="384" spans="1:14" x14ac:dyDescent="0.5">
      <c r="A384" s="2" t="s">
        <v>14</v>
      </c>
      <c r="B384" s="3">
        <v>27</v>
      </c>
      <c r="C384" s="4" t="s">
        <v>37</v>
      </c>
      <c r="D384" s="2" t="s">
        <v>38</v>
      </c>
      <c r="E384" s="2" t="s">
        <v>23</v>
      </c>
      <c r="F384" s="5">
        <v>1</v>
      </c>
      <c r="G384" s="1">
        <v>7000000</v>
      </c>
      <c r="H384" s="2">
        <v>1</v>
      </c>
      <c r="I384" s="6">
        <v>1.3888888888888889E-3</v>
      </c>
      <c r="J384" s="2" t="s">
        <v>18</v>
      </c>
      <c r="K384" s="2" t="s">
        <v>19</v>
      </c>
      <c r="L384" s="2" t="s">
        <v>25</v>
      </c>
      <c r="M384" s="2" t="s">
        <v>77</v>
      </c>
      <c r="N384" s="2" t="s">
        <v>54</v>
      </c>
    </row>
    <row r="385" spans="1:14" x14ac:dyDescent="0.5">
      <c r="A385" s="2" t="s">
        <v>14</v>
      </c>
      <c r="B385" s="3">
        <v>2</v>
      </c>
      <c r="C385" s="4" t="s">
        <v>44</v>
      </c>
      <c r="D385" s="2" t="s">
        <v>38</v>
      </c>
      <c r="E385" s="2" t="s">
        <v>23</v>
      </c>
      <c r="F385" s="5">
        <v>4</v>
      </c>
      <c r="G385" s="1">
        <v>20000000</v>
      </c>
      <c r="H385" s="2">
        <v>1</v>
      </c>
      <c r="I385" s="6">
        <v>1.3888888888888889E-3</v>
      </c>
      <c r="J385" s="2" t="s">
        <v>61</v>
      </c>
      <c r="K385" s="2" t="s">
        <v>24</v>
      </c>
      <c r="L385" s="2" t="s">
        <v>40</v>
      </c>
      <c r="M385" s="2" t="s">
        <v>76</v>
      </c>
      <c r="N385" s="2" t="s">
        <v>52</v>
      </c>
    </row>
    <row r="386" spans="1:14" x14ac:dyDescent="0.5">
      <c r="A386" s="2" t="s">
        <v>14</v>
      </c>
      <c r="B386" s="3">
        <v>1</v>
      </c>
      <c r="C386" s="4" t="s">
        <v>44</v>
      </c>
      <c r="D386" s="2" t="s">
        <v>28</v>
      </c>
      <c r="E386" s="2" t="s">
        <v>45</v>
      </c>
      <c r="F386" s="5">
        <v>4</v>
      </c>
      <c r="G386" s="1">
        <v>20000000</v>
      </c>
      <c r="H386" s="2">
        <v>1</v>
      </c>
      <c r="I386" s="6">
        <v>1.3888888888888889E-3</v>
      </c>
      <c r="J386" s="2" t="s">
        <v>18</v>
      </c>
      <c r="K386" s="2" t="s">
        <v>47</v>
      </c>
      <c r="L386" s="2" t="s">
        <v>51</v>
      </c>
      <c r="M386" s="2" t="s">
        <v>78</v>
      </c>
      <c r="N386" s="2" t="s">
        <v>41</v>
      </c>
    </row>
    <row r="387" spans="1:14" x14ac:dyDescent="0.5">
      <c r="A387" s="2" t="s">
        <v>14</v>
      </c>
      <c r="B387" s="3">
        <v>31</v>
      </c>
      <c r="C387" s="4" t="s">
        <v>69</v>
      </c>
      <c r="D387" s="2" t="s">
        <v>49</v>
      </c>
      <c r="E387" s="2" t="s">
        <v>42</v>
      </c>
      <c r="F387" s="5">
        <v>3</v>
      </c>
      <c r="G387" s="1">
        <v>12000000</v>
      </c>
      <c r="H387" s="2">
        <v>1</v>
      </c>
      <c r="I387" s="6">
        <v>1.3888888888888889E-3</v>
      </c>
      <c r="J387" s="2" t="s">
        <v>18</v>
      </c>
      <c r="K387" s="2" t="s">
        <v>19</v>
      </c>
      <c r="L387" s="2" t="s">
        <v>33</v>
      </c>
      <c r="M387" s="2" t="s">
        <v>78</v>
      </c>
      <c r="N387" s="2" t="s">
        <v>53</v>
      </c>
    </row>
    <row r="388" spans="1:14" x14ac:dyDescent="0.5">
      <c r="A388" s="2" t="s">
        <v>14</v>
      </c>
      <c r="B388" s="3">
        <v>30</v>
      </c>
      <c r="C388" s="4" t="s">
        <v>69</v>
      </c>
      <c r="D388" s="2" t="s">
        <v>28</v>
      </c>
      <c r="E388" s="2" t="s">
        <v>23</v>
      </c>
      <c r="F388" s="5">
        <v>2</v>
      </c>
      <c r="G388" s="1">
        <v>12000000</v>
      </c>
      <c r="H388" s="2">
        <v>1</v>
      </c>
      <c r="I388" s="6">
        <v>1.3888888888888889E-3</v>
      </c>
      <c r="J388" s="2" t="s">
        <v>18</v>
      </c>
      <c r="K388" s="2" t="s">
        <v>19</v>
      </c>
      <c r="L388" s="2" t="s">
        <v>51</v>
      </c>
      <c r="M388" s="2" t="s">
        <v>78</v>
      </c>
      <c r="N388" s="2" t="s">
        <v>63</v>
      </c>
    </row>
    <row r="389" spans="1:14" x14ac:dyDescent="0.5">
      <c r="A389" s="2" t="s">
        <v>14</v>
      </c>
      <c r="B389" s="3">
        <v>10</v>
      </c>
      <c r="C389" s="4" t="s">
        <v>55</v>
      </c>
      <c r="D389" s="2" t="s">
        <v>32</v>
      </c>
      <c r="E389" s="2" t="s">
        <v>42</v>
      </c>
      <c r="F389" s="5">
        <v>2</v>
      </c>
      <c r="G389" s="1">
        <v>12000000</v>
      </c>
      <c r="H389" s="2">
        <v>1</v>
      </c>
      <c r="I389" s="6">
        <v>1.3888888888888889E-3</v>
      </c>
      <c r="J389" s="2" t="s">
        <v>18</v>
      </c>
      <c r="K389" s="2" t="s">
        <v>19</v>
      </c>
      <c r="L389" s="2" t="s">
        <v>20</v>
      </c>
      <c r="M389" s="2" t="s">
        <v>77</v>
      </c>
      <c r="N389" s="2" t="s">
        <v>34</v>
      </c>
    </row>
    <row r="390" spans="1:14" x14ac:dyDescent="0.5">
      <c r="A390" s="2" t="s">
        <v>14</v>
      </c>
      <c r="B390" s="3">
        <v>1</v>
      </c>
      <c r="C390" s="4" t="s">
        <v>55</v>
      </c>
      <c r="D390" s="2" t="s">
        <v>32</v>
      </c>
      <c r="E390" s="2" t="s">
        <v>42</v>
      </c>
      <c r="F390" s="5">
        <v>3</v>
      </c>
      <c r="G390" s="1">
        <v>11000000</v>
      </c>
      <c r="H390" s="2">
        <v>2</v>
      </c>
      <c r="I390" s="6">
        <v>1.3888888888888889E-3</v>
      </c>
      <c r="J390" s="2" t="s">
        <v>18</v>
      </c>
      <c r="K390" s="2" t="s">
        <v>64</v>
      </c>
      <c r="L390" s="2" t="s">
        <v>20</v>
      </c>
      <c r="M390" s="2" t="s">
        <v>78</v>
      </c>
      <c r="N390" s="2" t="s">
        <v>63</v>
      </c>
    </row>
    <row r="391" spans="1:14" x14ac:dyDescent="0.5">
      <c r="A391" s="2" t="s">
        <v>14</v>
      </c>
      <c r="B391" s="3">
        <v>11</v>
      </c>
      <c r="C391" s="4" t="s">
        <v>57</v>
      </c>
      <c r="D391" s="2" t="s">
        <v>16</v>
      </c>
      <c r="E391" s="2" t="s">
        <v>17</v>
      </c>
      <c r="F391" s="5">
        <v>2</v>
      </c>
      <c r="G391" s="1">
        <v>10000000</v>
      </c>
      <c r="H391" s="2">
        <v>2</v>
      </c>
      <c r="I391" s="6">
        <v>1.3888888888888889E-3</v>
      </c>
      <c r="J391" s="2" t="s">
        <v>18</v>
      </c>
      <c r="K391" s="2" t="s">
        <v>56</v>
      </c>
      <c r="L391" s="2" t="s">
        <v>48</v>
      </c>
      <c r="M391" s="2" t="s">
        <v>66</v>
      </c>
      <c r="N391" s="2" t="s">
        <v>36</v>
      </c>
    </row>
    <row r="392" spans="1:14" x14ac:dyDescent="0.5">
      <c r="A392" s="2" t="s">
        <v>14</v>
      </c>
      <c r="B392" s="3">
        <v>3</v>
      </c>
      <c r="C392" s="4" t="s">
        <v>59</v>
      </c>
      <c r="D392" s="2" t="s">
        <v>49</v>
      </c>
      <c r="E392" s="2" t="s">
        <v>42</v>
      </c>
      <c r="F392" s="5">
        <v>2</v>
      </c>
      <c r="G392" s="1">
        <v>38000000</v>
      </c>
      <c r="H392" s="2">
        <v>1</v>
      </c>
      <c r="I392" s="6">
        <v>1.3888888888888889E-3</v>
      </c>
      <c r="J392" s="2" t="s">
        <v>46</v>
      </c>
      <c r="K392" s="2" t="s">
        <v>19</v>
      </c>
      <c r="L392" s="2" t="s">
        <v>30</v>
      </c>
      <c r="M392" s="2" t="s">
        <v>77</v>
      </c>
      <c r="N392" s="2" t="s">
        <v>65</v>
      </c>
    </row>
    <row r="393" spans="1:14" x14ac:dyDescent="0.5">
      <c r="A393" s="2" t="s">
        <v>14</v>
      </c>
      <c r="B393" s="3">
        <v>20</v>
      </c>
      <c r="C393" s="4" t="s">
        <v>72</v>
      </c>
      <c r="D393" s="2" t="s">
        <v>28</v>
      </c>
      <c r="E393" s="2" t="s">
        <v>42</v>
      </c>
      <c r="F393" s="5">
        <v>1</v>
      </c>
      <c r="G393" s="1">
        <v>19000000</v>
      </c>
      <c r="H393" s="2">
        <v>5</v>
      </c>
      <c r="I393" s="6">
        <v>1.3888888888888889E-3</v>
      </c>
      <c r="J393" s="2" t="s">
        <v>46</v>
      </c>
      <c r="K393" s="2" t="s">
        <v>29</v>
      </c>
      <c r="L393" s="2" t="s">
        <v>43</v>
      </c>
      <c r="M393" s="2" t="s">
        <v>66</v>
      </c>
      <c r="N393" s="2" t="s">
        <v>67</v>
      </c>
    </row>
    <row r="394" spans="1:14" x14ac:dyDescent="0.5">
      <c r="A394" s="2" t="s">
        <v>14</v>
      </c>
      <c r="B394" s="3">
        <v>11</v>
      </c>
      <c r="C394" s="4" t="s">
        <v>22</v>
      </c>
      <c r="D394" s="2" t="s">
        <v>16</v>
      </c>
      <c r="E394" s="2" t="s">
        <v>42</v>
      </c>
      <c r="F394" s="5">
        <v>3</v>
      </c>
      <c r="G394" s="1">
        <v>15000000</v>
      </c>
      <c r="H394" s="2">
        <v>4</v>
      </c>
      <c r="I394" s="6">
        <v>1.3888888888888889E-3</v>
      </c>
      <c r="J394" s="2" t="s">
        <v>18</v>
      </c>
      <c r="K394" s="2" t="s">
        <v>29</v>
      </c>
      <c r="L394" s="2" t="s">
        <v>51</v>
      </c>
      <c r="M394" s="2" t="s">
        <v>66</v>
      </c>
      <c r="N394" s="2" t="s">
        <v>67</v>
      </c>
    </row>
    <row r="395" spans="1:14" x14ac:dyDescent="0.5">
      <c r="A395" s="2" t="s">
        <v>70</v>
      </c>
      <c r="B395" s="3">
        <v>5</v>
      </c>
      <c r="C395" s="4" t="s">
        <v>15</v>
      </c>
      <c r="D395" s="2" t="s">
        <v>32</v>
      </c>
      <c r="E395" s="2" t="s">
        <v>17</v>
      </c>
      <c r="F395" s="5">
        <v>0</v>
      </c>
      <c r="G395" s="1">
        <v>0</v>
      </c>
      <c r="H395" s="2">
        <v>2</v>
      </c>
      <c r="I395" s="6">
        <v>1.3888888888888889E-3</v>
      </c>
      <c r="J395" s="2"/>
      <c r="K395" s="2"/>
      <c r="L395" s="2" t="s">
        <v>48</v>
      </c>
      <c r="M395" s="2" t="s">
        <v>76</v>
      </c>
      <c r="N395" s="2" t="s">
        <v>52</v>
      </c>
    </row>
    <row r="396" spans="1:14" x14ac:dyDescent="0.5">
      <c r="A396" s="2" t="s">
        <v>70</v>
      </c>
      <c r="B396" s="3">
        <v>22</v>
      </c>
      <c r="C396" s="4" t="s">
        <v>37</v>
      </c>
      <c r="D396" s="2" t="s">
        <v>32</v>
      </c>
      <c r="E396" s="2" t="s">
        <v>17</v>
      </c>
      <c r="F396" s="5">
        <v>0</v>
      </c>
      <c r="G396" s="1">
        <v>0</v>
      </c>
      <c r="H396" s="2">
        <v>1</v>
      </c>
      <c r="I396" s="6">
        <v>1.3888888888888889E-3</v>
      </c>
      <c r="J396" s="2"/>
      <c r="K396" s="2"/>
      <c r="L396" s="2" t="s">
        <v>43</v>
      </c>
      <c r="M396" s="2" t="s">
        <v>76</v>
      </c>
      <c r="N396" s="2" t="s">
        <v>31</v>
      </c>
    </row>
    <row r="397" spans="1:14" x14ac:dyDescent="0.5">
      <c r="A397" s="2" t="s">
        <v>70</v>
      </c>
      <c r="B397" s="3">
        <v>26</v>
      </c>
      <c r="C397" s="4" t="s">
        <v>37</v>
      </c>
      <c r="D397" s="2" t="s">
        <v>28</v>
      </c>
      <c r="E397" s="2" t="s">
        <v>42</v>
      </c>
      <c r="F397" s="5">
        <v>0</v>
      </c>
      <c r="G397" s="1">
        <v>0</v>
      </c>
      <c r="H397" s="2">
        <v>1</v>
      </c>
      <c r="I397" s="6">
        <v>1.3888888888888889E-3</v>
      </c>
      <c r="J397" s="2"/>
      <c r="K397" s="2"/>
      <c r="L397" s="2" t="s">
        <v>40</v>
      </c>
      <c r="M397" s="2" t="s">
        <v>78</v>
      </c>
      <c r="N397" s="2" t="s">
        <v>41</v>
      </c>
    </row>
    <row r="398" spans="1:14" x14ac:dyDescent="0.5">
      <c r="A398" s="2" t="s">
        <v>70</v>
      </c>
      <c r="B398" s="3">
        <v>8</v>
      </c>
      <c r="C398" s="4" t="s">
        <v>37</v>
      </c>
      <c r="D398" s="2" t="s">
        <v>32</v>
      </c>
      <c r="E398" s="2" t="s">
        <v>23</v>
      </c>
      <c r="F398" s="5">
        <v>0</v>
      </c>
      <c r="G398" s="1">
        <v>0</v>
      </c>
      <c r="H398" s="2">
        <v>5</v>
      </c>
      <c r="I398" s="6">
        <v>1.3888888888888889E-3</v>
      </c>
      <c r="J398" s="2"/>
      <c r="K398" s="2"/>
      <c r="L398" s="2" t="s">
        <v>48</v>
      </c>
      <c r="M398" s="2" t="s">
        <v>78</v>
      </c>
      <c r="N398" s="2" t="s">
        <v>63</v>
      </c>
    </row>
    <row r="399" spans="1:14" x14ac:dyDescent="0.5">
      <c r="A399" s="2" t="s">
        <v>70</v>
      </c>
      <c r="B399" s="3">
        <v>17</v>
      </c>
      <c r="C399" s="4" t="s">
        <v>44</v>
      </c>
      <c r="D399" s="2" t="s">
        <v>16</v>
      </c>
      <c r="E399" s="2" t="s">
        <v>42</v>
      </c>
      <c r="F399" s="5">
        <v>0</v>
      </c>
      <c r="G399" s="1">
        <v>0</v>
      </c>
      <c r="H399" s="2">
        <v>4</v>
      </c>
      <c r="I399" s="6">
        <v>1.3888888888888889E-3</v>
      </c>
      <c r="J399" s="2"/>
      <c r="K399" s="2"/>
      <c r="L399" s="2" t="s">
        <v>48</v>
      </c>
      <c r="M399" s="2" t="s">
        <v>66</v>
      </c>
      <c r="N399" s="2" t="s">
        <v>67</v>
      </c>
    </row>
    <row r="400" spans="1:14" x14ac:dyDescent="0.5">
      <c r="A400" s="2" t="s">
        <v>70</v>
      </c>
      <c r="B400" s="3">
        <v>11</v>
      </c>
      <c r="C400" s="4" t="s">
        <v>69</v>
      </c>
      <c r="D400" s="2" t="s">
        <v>28</v>
      </c>
      <c r="E400" s="2" t="s">
        <v>23</v>
      </c>
      <c r="F400" s="5">
        <v>0</v>
      </c>
      <c r="G400" s="1">
        <v>0</v>
      </c>
      <c r="H400" s="2">
        <v>2</v>
      </c>
      <c r="I400" s="6">
        <v>1.3888888888888889E-3</v>
      </c>
      <c r="J400" s="2"/>
      <c r="K400" s="2"/>
      <c r="L400" s="2" t="s">
        <v>51</v>
      </c>
      <c r="M400" s="2" t="s">
        <v>76</v>
      </c>
      <c r="N400" s="2" t="s">
        <v>52</v>
      </c>
    </row>
    <row r="401" spans="1:14" x14ac:dyDescent="0.5">
      <c r="A401" s="2" t="s">
        <v>70</v>
      </c>
      <c r="B401" s="3">
        <v>22</v>
      </c>
      <c r="C401" s="4" t="s">
        <v>69</v>
      </c>
      <c r="D401" s="2" t="s">
        <v>16</v>
      </c>
      <c r="E401" s="2" t="s">
        <v>45</v>
      </c>
      <c r="F401" s="5">
        <v>0</v>
      </c>
      <c r="G401" s="1">
        <v>0</v>
      </c>
      <c r="H401" s="2">
        <v>2</v>
      </c>
      <c r="I401" s="6">
        <v>1.3888888888888889E-3</v>
      </c>
      <c r="J401" s="2"/>
      <c r="K401" s="2"/>
      <c r="L401" s="2" t="s">
        <v>33</v>
      </c>
      <c r="M401" s="2" t="s">
        <v>76</v>
      </c>
      <c r="N401" s="2" t="s">
        <v>75</v>
      </c>
    </row>
    <row r="402" spans="1:14" x14ac:dyDescent="0.5">
      <c r="A402" s="2" t="s">
        <v>70</v>
      </c>
      <c r="B402" s="3">
        <v>1</v>
      </c>
      <c r="C402" s="4" t="s">
        <v>69</v>
      </c>
      <c r="D402" s="2" t="s">
        <v>28</v>
      </c>
      <c r="E402" s="2" t="s">
        <v>23</v>
      </c>
      <c r="F402" s="5">
        <v>0</v>
      </c>
      <c r="G402" s="1">
        <v>0</v>
      </c>
      <c r="H402" s="2">
        <v>3</v>
      </c>
      <c r="I402" s="6">
        <v>1.3888888888888889E-3</v>
      </c>
      <c r="J402" s="2"/>
      <c r="K402" s="2"/>
      <c r="L402" s="2" t="s">
        <v>20</v>
      </c>
      <c r="M402" s="2" t="s">
        <v>78</v>
      </c>
      <c r="N402" s="2" t="s">
        <v>53</v>
      </c>
    </row>
    <row r="403" spans="1:14" x14ac:dyDescent="0.5">
      <c r="A403" s="2" t="s">
        <v>70</v>
      </c>
      <c r="B403" s="3">
        <v>5</v>
      </c>
      <c r="C403" s="4" t="s">
        <v>15</v>
      </c>
      <c r="D403" s="2" t="s">
        <v>32</v>
      </c>
      <c r="E403" s="2" t="s">
        <v>17</v>
      </c>
      <c r="F403" s="5">
        <v>0</v>
      </c>
      <c r="G403" s="1">
        <v>0</v>
      </c>
      <c r="H403" s="2">
        <v>2</v>
      </c>
      <c r="I403" s="6">
        <v>1.3888888888888889E-3</v>
      </c>
      <c r="J403" s="2"/>
      <c r="K403" s="2"/>
      <c r="L403" s="2" t="s">
        <v>48</v>
      </c>
      <c r="M403" s="2" t="s">
        <v>76</v>
      </c>
      <c r="N403" s="2" t="s">
        <v>52</v>
      </c>
    </row>
    <row r="404" spans="1:14" x14ac:dyDescent="0.5">
      <c r="A404" s="2" t="s">
        <v>14</v>
      </c>
      <c r="B404" s="3">
        <v>11</v>
      </c>
      <c r="C404" s="4" t="s">
        <v>57</v>
      </c>
      <c r="D404" s="2" t="s">
        <v>16</v>
      </c>
      <c r="E404" s="2" t="s">
        <v>17</v>
      </c>
      <c r="F404" s="5">
        <v>2</v>
      </c>
      <c r="G404" s="1">
        <v>12000000</v>
      </c>
      <c r="H404" s="2">
        <v>3</v>
      </c>
      <c r="I404" s="6">
        <v>1.5046296296296294E-3</v>
      </c>
      <c r="J404" s="2" t="s">
        <v>18</v>
      </c>
      <c r="K404" s="2" t="s">
        <v>56</v>
      </c>
      <c r="L404" s="2" t="s">
        <v>48</v>
      </c>
      <c r="M404" s="2" t="s">
        <v>78</v>
      </c>
      <c r="N404" s="2" t="s">
        <v>63</v>
      </c>
    </row>
    <row r="405" spans="1:14" x14ac:dyDescent="0.5">
      <c r="A405" s="2" t="s">
        <v>14</v>
      </c>
      <c r="B405" s="3">
        <v>28</v>
      </c>
      <c r="C405" s="4" t="s">
        <v>72</v>
      </c>
      <c r="D405" s="2" t="s">
        <v>49</v>
      </c>
      <c r="E405" s="2" t="s">
        <v>42</v>
      </c>
      <c r="F405" s="5">
        <v>2</v>
      </c>
      <c r="G405" s="1">
        <v>12000000</v>
      </c>
      <c r="H405" s="2">
        <v>1</v>
      </c>
      <c r="I405" s="6">
        <v>1.5046296296296294E-3</v>
      </c>
      <c r="J405" s="2" t="s">
        <v>18</v>
      </c>
      <c r="K405" s="2" t="s">
        <v>19</v>
      </c>
      <c r="L405" s="2" t="s">
        <v>48</v>
      </c>
      <c r="M405" s="2" t="s">
        <v>77</v>
      </c>
      <c r="N405" s="2" t="s">
        <v>54</v>
      </c>
    </row>
    <row r="406" spans="1:14" x14ac:dyDescent="0.5">
      <c r="A406" s="2" t="s">
        <v>14</v>
      </c>
      <c r="B406" s="3">
        <v>12</v>
      </c>
      <c r="C406" s="4" t="s">
        <v>22</v>
      </c>
      <c r="D406" s="2" t="s">
        <v>28</v>
      </c>
      <c r="E406" s="2" t="s">
        <v>23</v>
      </c>
      <c r="F406" s="5">
        <v>2</v>
      </c>
      <c r="G406" s="1">
        <v>38000000</v>
      </c>
      <c r="H406" s="2">
        <v>4</v>
      </c>
      <c r="I406" s="6">
        <v>1.5046296296296294E-3</v>
      </c>
      <c r="J406" s="2" t="s">
        <v>46</v>
      </c>
      <c r="K406" s="2" t="s">
        <v>35</v>
      </c>
      <c r="L406" s="2" t="s">
        <v>33</v>
      </c>
      <c r="M406" s="2" t="s">
        <v>76</v>
      </c>
      <c r="N406" s="2" t="s">
        <v>52</v>
      </c>
    </row>
    <row r="407" spans="1:14" x14ac:dyDescent="0.5">
      <c r="A407" s="2" t="s">
        <v>14</v>
      </c>
      <c r="B407" s="3">
        <v>30</v>
      </c>
      <c r="C407" s="4" t="s">
        <v>27</v>
      </c>
      <c r="D407" s="2" t="s">
        <v>73</v>
      </c>
      <c r="E407" s="2" t="s">
        <v>42</v>
      </c>
      <c r="F407" s="5">
        <v>2</v>
      </c>
      <c r="G407" s="1">
        <v>12000000</v>
      </c>
      <c r="H407" s="2">
        <v>5</v>
      </c>
      <c r="I407" s="6">
        <v>1.5046296296296294E-3</v>
      </c>
      <c r="J407" s="2" t="s">
        <v>18</v>
      </c>
      <c r="K407" s="2" t="s">
        <v>39</v>
      </c>
      <c r="L407" s="2" t="s">
        <v>30</v>
      </c>
      <c r="M407" s="2" t="s">
        <v>76</v>
      </c>
      <c r="N407" s="2" t="s">
        <v>52</v>
      </c>
    </row>
    <row r="408" spans="1:14" x14ac:dyDescent="0.5">
      <c r="A408" s="2" t="s">
        <v>14</v>
      </c>
      <c r="B408" s="3">
        <v>14</v>
      </c>
      <c r="C408" s="4" t="s">
        <v>27</v>
      </c>
      <c r="D408" s="2" t="s">
        <v>73</v>
      </c>
      <c r="E408" s="2" t="s">
        <v>42</v>
      </c>
      <c r="F408" s="5">
        <v>1</v>
      </c>
      <c r="G408" s="1">
        <v>7000000</v>
      </c>
      <c r="H408" s="2">
        <v>1</v>
      </c>
      <c r="I408" s="6">
        <v>1.5046296296296294E-3</v>
      </c>
      <c r="J408" s="2" t="s">
        <v>18</v>
      </c>
      <c r="K408" s="2" t="s">
        <v>47</v>
      </c>
      <c r="L408" s="2" t="s">
        <v>25</v>
      </c>
      <c r="M408" s="2" t="s">
        <v>76</v>
      </c>
      <c r="N408" s="2" t="s">
        <v>31</v>
      </c>
    </row>
    <row r="409" spans="1:14" x14ac:dyDescent="0.5">
      <c r="A409" s="2" t="s">
        <v>14</v>
      </c>
      <c r="B409" s="3">
        <v>26</v>
      </c>
      <c r="C409" s="4" t="s">
        <v>27</v>
      </c>
      <c r="D409" s="2" t="s">
        <v>49</v>
      </c>
      <c r="E409" s="2" t="s">
        <v>23</v>
      </c>
      <c r="F409" s="5">
        <v>4</v>
      </c>
      <c r="G409" s="1">
        <v>20000000</v>
      </c>
      <c r="H409" s="2">
        <v>2</v>
      </c>
      <c r="I409" s="6">
        <v>1.5046296296296294E-3</v>
      </c>
      <c r="J409" s="2" t="s">
        <v>18</v>
      </c>
      <c r="K409" s="2" t="s">
        <v>56</v>
      </c>
      <c r="L409" s="2" t="s">
        <v>51</v>
      </c>
      <c r="M409" s="2" t="s">
        <v>78</v>
      </c>
      <c r="N409" s="2" t="s">
        <v>63</v>
      </c>
    </row>
    <row r="410" spans="1:14" x14ac:dyDescent="0.5">
      <c r="A410" s="2" t="s">
        <v>14</v>
      </c>
      <c r="B410" s="3">
        <v>5</v>
      </c>
      <c r="C410" s="4" t="s">
        <v>37</v>
      </c>
      <c r="D410" s="2" t="s">
        <v>28</v>
      </c>
      <c r="E410" s="2" t="s">
        <v>42</v>
      </c>
      <c r="F410" s="5">
        <v>1</v>
      </c>
      <c r="G410" s="1">
        <v>19000000</v>
      </c>
      <c r="H410" s="2">
        <v>1</v>
      </c>
      <c r="I410" s="6">
        <v>1.5046296296296294E-3</v>
      </c>
      <c r="J410" s="2" t="s">
        <v>46</v>
      </c>
      <c r="K410" s="2" t="s">
        <v>39</v>
      </c>
      <c r="L410" s="2" t="s">
        <v>43</v>
      </c>
      <c r="M410" s="2" t="s">
        <v>78</v>
      </c>
      <c r="N410" s="2" t="s">
        <v>63</v>
      </c>
    </row>
    <row r="411" spans="1:14" x14ac:dyDescent="0.5">
      <c r="A411" s="2" t="s">
        <v>14</v>
      </c>
      <c r="B411" s="3">
        <v>29</v>
      </c>
      <c r="C411" s="4" t="s">
        <v>37</v>
      </c>
      <c r="D411" s="2" t="s">
        <v>28</v>
      </c>
      <c r="E411" s="2" t="s">
        <v>23</v>
      </c>
      <c r="F411" s="5">
        <v>3</v>
      </c>
      <c r="G411" s="1">
        <v>15000000</v>
      </c>
      <c r="H411" s="2">
        <v>3</v>
      </c>
      <c r="I411" s="6">
        <v>1.5046296296296294E-3</v>
      </c>
      <c r="J411" s="2" t="s">
        <v>18</v>
      </c>
      <c r="K411" s="2" t="s">
        <v>64</v>
      </c>
      <c r="L411" s="2" t="s">
        <v>40</v>
      </c>
      <c r="M411" s="2" t="s">
        <v>66</v>
      </c>
      <c r="N411" s="2" t="s">
        <v>67</v>
      </c>
    </row>
    <row r="412" spans="1:14" x14ac:dyDescent="0.5">
      <c r="A412" s="2" t="s">
        <v>14</v>
      </c>
      <c r="B412" s="3">
        <v>2</v>
      </c>
      <c r="C412" s="4" t="s">
        <v>44</v>
      </c>
      <c r="D412" s="2" t="s">
        <v>16</v>
      </c>
      <c r="E412" s="2" t="s">
        <v>42</v>
      </c>
      <c r="F412" s="5">
        <v>4</v>
      </c>
      <c r="G412" s="1">
        <v>20000000</v>
      </c>
      <c r="H412" s="2">
        <v>4</v>
      </c>
      <c r="I412" s="6">
        <v>1.5046296296296294E-3</v>
      </c>
      <c r="J412" s="2" t="s">
        <v>61</v>
      </c>
      <c r="K412" s="2" t="s">
        <v>47</v>
      </c>
      <c r="L412" s="2" t="s">
        <v>40</v>
      </c>
      <c r="M412" s="2" t="s">
        <v>76</v>
      </c>
      <c r="N412" s="2" t="s">
        <v>52</v>
      </c>
    </row>
    <row r="413" spans="1:14" x14ac:dyDescent="0.5">
      <c r="A413" s="2" t="s">
        <v>14</v>
      </c>
      <c r="B413" s="3">
        <v>25</v>
      </c>
      <c r="C413" s="4" t="s">
        <v>44</v>
      </c>
      <c r="D413" s="2" t="s">
        <v>16</v>
      </c>
      <c r="E413" s="2" t="s">
        <v>17</v>
      </c>
      <c r="F413" s="5">
        <v>5</v>
      </c>
      <c r="G413" s="1">
        <v>25000000</v>
      </c>
      <c r="H413" s="2">
        <v>4</v>
      </c>
      <c r="I413" s="6">
        <v>1.5046296296296294E-3</v>
      </c>
      <c r="J413" s="2" t="s">
        <v>18</v>
      </c>
      <c r="K413" s="2" t="s">
        <v>19</v>
      </c>
      <c r="L413" s="2" t="s">
        <v>48</v>
      </c>
      <c r="M413" s="2" t="s">
        <v>78</v>
      </c>
      <c r="N413" s="2" t="s">
        <v>53</v>
      </c>
    </row>
    <row r="414" spans="1:14" x14ac:dyDescent="0.5">
      <c r="A414" s="2" t="s">
        <v>14</v>
      </c>
      <c r="B414" s="3">
        <v>17</v>
      </c>
      <c r="C414" s="4" t="s">
        <v>44</v>
      </c>
      <c r="D414" s="2" t="s">
        <v>32</v>
      </c>
      <c r="E414" s="2" t="s">
        <v>17</v>
      </c>
      <c r="F414" s="5">
        <v>5</v>
      </c>
      <c r="G414" s="1">
        <v>21000000</v>
      </c>
      <c r="H414" s="2">
        <v>1</v>
      </c>
      <c r="I414" s="6">
        <v>1.5046296296296294E-3</v>
      </c>
      <c r="J414" s="2" t="s">
        <v>18</v>
      </c>
      <c r="K414" s="2" t="s">
        <v>64</v>
      </c>
      <c r="L414" s="2" t="s">
        <v>51</v>
      </c>
      <c r="M414" s="2" t="s">
        <v>66</v>
      </c>
      <c r="N414" s="2" t="s">
        <v>36</v>
      </c>
    </row>
    <row r="415" spans="1:14" x14ac:dyDescent="0.5">
      <c r="A415" s="2" t="s">
        <v>14</v>
      </c>
      <c r="B415" s="3">
        <v>11</v>
      </c>
      <c r="C415" s="4" t="s">
        <v>57</v>
      </c>
      <c r="D415" s="2" t="s">
        <v>16</v>
      </c>
      <c r="E415" s="2" t="s">
        <v>17</v>
      </c>
      <c r="F415" s="5">
        <v>2</v>
      </c>
      <c r="G415" s="1">
        <v>12000000</v>
      </c>
      <c r="H415" s="2">
        <v>3</v>
      </c>
      <c r="I415" s="6">
        <v>1.5046296296296294E-3</v>
      </c>
      <c r="J415" s="2" t="s">
        <v>18</v>
      </c>
      <c r="K415" s="2" t="s">
        <v>56</v>
      </c>
      <c r="L415" s="2" t="s">
        <v>48</v>
      </c>
      <c r="M415" s="2" t="s">
        <v>78</v>
      </c>
      <c r="N415" s="2" t="s">
        <v>63</v>
      </c>
    </row>
    <row r="416" spans="1:14" x14ac:dyDescent="0.5">
      <c r="A416" s="2" t="s">
        <v>14</v>
      </c>
      <c r="B416" s="3">
        <v>28</v>
      </c>
      <c r="C416" s="4" t="s">
        <v>72</v>
      </c>
      <c r="D416" s="2" t="s">
        <v>49</v>
      </c>
      <c r="E416" s="2" t="s">
        <v>42</v>
      </c>
      <c r="F416" s="5">
        <v>2</v>
      </c>
      <c r="G416" s="1">
        <v>12000000</v>
      </c>
      <c r="H416" s="2">
        <v>1</v>
      </c>
      <c r="I416" s="6">
        <v>1.5046296296296294E-3</v>
      </c>
      <c r="J416" s="2" t="s">
        <v>18</v>
      </c>
      <c r="K416" s="2" t="s">
        <v>19</v>
      </c>
      <c r="L416" s="2" t="s">
        <v>48</v>
      </c>
      <c r="M416" s="2" t="s">
        <v>77</v>
      </c>
      <c r="N416" s="2" t="s">
        <v>54</v>
      </c>
    </row>
    <row r="417" spans="1:14" x14ac:dyDescent="0.5">
      <c r="A417" s="2" t="s">
        <v>14</v>
      </c>
      <c r="B417" s="3">
        <v>12</v>
      </c>
      <c r="C417" s="4" t="s">
        <v>22</v>
      </c>
      <c r="D417" s="2" t="s">
        <v>28</v>
      </c>
      <c r="E417" s="2" t="s">
        <v>23</v>
      </c>
      <c r="F417" s="5">
        <v>2</v>
      </c>
      <c r="G417" s="1">
        <v>38000000</v>
      </c>
      <c r="H417" s="2">
        <v>4</v>
      </c>
      <c r="I417" s="6">
        <v>1.5046296296296294E-3</v>
      </c>
      <c r="J417" s="2" t="s">
        <v>46</v>
      </c>
      <c r="K417" s="2" t="s">
        <v>35</v>
      </c>
      <c r="L417" s="2" t="s">
        <v>33</v>
      </c>
      <c r="M417" s="2" t="s">
        <v>76</v>
      </c>
      <c r="N417" s="2" t="s">
        <v>52</v>
      </c>
    </row>
    <row r="418" spans="1:14" x14ac:dyDescent="0.5">
      <c r="A418" s="2" t="s">
        <v>70</v>
      </c>
      <c r="B418" s="3">
        <v>30</v>
      </c>
      <c r="C418" s="4" t="s">
        <v>44</v>
      </c>
      <c r="D418" s="2" t="s">
        <v>16</v>
      </c>
      <c r="E418" s="2" t="s">
        <v>45</v>
      </c>
      <c r="F418" s="5">
        <v>0</v>
      </c>
      <c r="G418" s="1">
        <v>0</v>
      </c>
      <c r="H418" s="2">
        <v>2</v>
      </c>
      <c r="I418" s="6">
        <v>1.5046296296296294E-3</v>
      </c>
      <c r="J418" s="2"/>
      <c r="K418" s="2"/>
      <c r="L418" s="2" t="s">
        <v>33</v>
      </c>
      <c r="M418" s="2" t="s">
        <v>66</v>
      </c>
      <c r="N418" s="2" t="s">
        <v>36</v>
      </c>
    </row>
    <row r="419" spans="1:14" x14ac:dyDescent="0.5">
      <c r="A419" s="2" t="s">
        <v>70</v>
      </c>
      <c r="B419" s="3">
        <v>11</v>
      </c>
      <c r="C419" s="4" t="s">
        <v>44</v>
      </c>
      <c r="D419" s="2" t="s">
        <v>38</v>
      </c>
      <c r="E419" s="2" t="s">
        <v>23</v>
      </c>
      <c r="F419" s="5">
        <v>0</v>
      </c>
      <c r="G419" s="1">
        <v>0</v>
      </c>
      <c r="H419" s="2">
        <v>3</v>
      </c>
      <c r="I419" s="6">
        <v>1.5046296296296294E-3</v>
      </c>
      <c r="J419" s="2"/>
      <c r="K419" s="2"/>
      <c r="L419" s="2" t="s">
        <v>20</v>
      </c>
      <c r="M419" s="2" t="s">
        <v>76</v>
      </c>
      <c r="N419" s="2" t="s">
        <v>52</v>
      </c>
    </row>
    <row r="420" spans="1:14" x14ac:dyDescent="0.5">
      <c r="A420" s="2" t="s">
        <v>14</v>
      </c>
      <c r="B420" s="3">
        <v>11</v>
      </c>
      <c r="C420" s="4" t="s">
        <v>55</v>
      </c>
      <c r="D420" s="2" t="s">
        <v>49</v>
      </c>
      <c r="E420" s="2" t="s">
        <v>17</v>
      </c>
      <c r="F420" s="5">
        <v>5</v>
      </c>
      <c r="G420" s="1">
        <v>25000000</v>
      </c>
      <c r="H420" s="2">
        <v>3</v>
      </c>
      <c r="I420" s="6">
        <v>1.5277777777777779E-3</v>
      </c>
      <c r="J420" s="2" t="s">
        <v>18</v>
      </c>
      <c r="K420" s="2" t="s">
        <v>47</v>
      </c>
      <c r="L420" s="2" t="s">
        <v>20</v>
      </c>
      <c r="M420" s="2" t="s">
        <v>66</v>
      </c>
      <c r="N420" s="2" t="s">
        <v>36</v>
      </c>
    </row>
    <row r="421" spans="1:14" x14ac:dyDescent="0.5">
      <c r="A421" s="2" t="s">
        <v>14</v>
      </c>
      <c r="B421" s="3">
        <v>15</v>
      </c>
      <c r="C421" s="4" t="s">
        <v>55</v>
      </c>
      <c r="D421" s="2" t="s">
        <v>32</v>
      </c>
      <c r="E421" s="2" t="s">
        <v>42</v>
      </c>
      <c r="F421" s="5">
        <v>2</v>
      </c>
      <c r="G421" s="1">
        <v>12000000</v>
      </c>
      <c r="H421" s="2">
        <v>1</v>
      </c>
      <c r="I421" s="6">
        <v>1.5277777777777779E-3</v>
      </c>
      <c r="J421" s="2" t="s">
        <v>18</v>
      </c>
      <c r="K421" s="2" t="s">
        <v>29</v>
      </c>
      <c r="L421" s="2" t="s">
        <v>43</v>
      </c>
      <c r="M421" s="2" t="s">
        <v>76</v>
      </c>
      <c r="N421" s="2" t="s">
        <v>31</v>
      </c>
    </row>
    <row r="422" spans="1:14" x14ac:dyDescent="0.5">
      <c r="A422" s="2" t="s">
        <v>14</v>
      </c>
      <c r="B422" s="3">
        <v>14</v>
      </c>
      <c r="C422" s="4" t="s">
        <v>57</v>
      </c>
      <c r="D422" s="2" t="s">
        <v>28</v>
      </c>
      <c r="E422" s="2" t="s">
        <v>23</v>
      </c>
      <c r="F422" s="5">
        <v>2</v>
      </c>
      <c r="G422" s="1">
        <v>12000000</v>
      </c>
      <c r="H422" s="2">
        <v>1</v>
      </c>
      <c r="I422" s="6">
        <v>1.5277777777777779E-3</v>
      </c>
      <c r="J422" s="2" t="s">
        <v>18</v>
      </c>
      <c r="K422" s="2" t="s">
        <v>47</v>
      </c>
      <c r="L422" s="2" t="s">
        <v>30</v>
      </c>
      <c r="M422" s="2" t="s">
        <v>77</v>
      </c>
      <c r="N422" s="2" t="s">
        <v>65</v>
      </c>
    </row>
    <row r="423" spans="1:14" x14ac:dyDescent="0.5">
      <c r="A423" s="2" t="s">
        <v>14</v>
      </c>
      <c r="B423" s="3">
        <v>11</v>
      </c>
      <c r="C423" s="4" t="s">
        <v>57</v>
      </c>
      <c r="D423" s="2" t="s">
        <v>16</v>
      </c>
      <c r="E423" s="2" t="s">
        <v>42</v>
      </c>
      <c r="F423" s="5">
        <v>1</v>
      </c>
      <c r="G423" s="1">
        <v>7000000</v>
      </c>
      <c r="H423" s="2">
        <v>1</v>
      </c>
      <c r="I423" s="6">
        <v>1.5277777777777779E-3</v>
      </c>
      <c r="J423" s="2" t="s">
        <v>18</v>
      </c>
      <c r="K423" s="2" t="s">
        <v>39</v>
      </c>
      <c r="L423" s="2" t="s">
        <v>33</v>
      </c>
      <c r="M423" s="2" t="s">
        <v>76</v>
      </c>
      <c r="N423" s="2" t="s">
        <v>31</v>
      </c>
    </row>
    <row r="424" spans="1:14" x14ac:dyDescent="0.5">
      <c r="A424" s="2" t="s">
        <v>14</v>
      </c>
      <c r="B424" s="3">
        <v>1</v>
      </c>
      <c r="C424" s="4" t="s">
        <v>59</v>
      </c>
      <c r="D424" s="2" t="s">
        <v>28</v>
      </c>
      <c r="E424" s="2" t="s">
        <v>17</v>
      </c>
      <c r="F424" s="5">
        <v>4</v>
      </c>
      <c r="G424" s="1">
        <v>20000000</v>
      </c>
      <c r="H424" s="2">
        <v>2</v>
      </c>
      <c r="I424" s="6">
        <v>1.5277777777777779E-3</v>
      </c>
      <c r="J424" s="2" t="s">
        <v>61</v>
      </c>
      <c r="K424" s="2" t="s">
        <v>29</v>
      </c>
      <c r="L424" s="2" t="s">
        <v>25</v>
      </c>
      <c r="M424" s="2" t="s">
        <v>78</v>
      </c>
      <c r="N424" s="2" t="s">
        <v>53</v>
      </c>
    </row>
    <row r="425" spans="1:14" x14ac:dyDescent="0.5">
      <c r="A425" s="2" t="s">
        <v>14</v>
      </c>
      <c r="B425" s="3">
        <v>7</v>
      </c>
      <c r="C425" s="4" t="s">
        <v>59</v>
      </c>
      <c r="D425" s="2" t="s">
        <v>28</v>
      </c>
      <c r="E425" s="2" t="s">
        <v>42</v>
      </c>
      <c r="F425" s="5">
        <v>3</v>
      </c>
      <c r="G425" s="1">
        <v>15000000</v>
      </c>
      <c r="H425" s="2">
        <v>1</v>
      </c>
      <c r="I425" s="6">
        <v>1.5277777777777779E-3</v>
      </c>
      <c r="J425" s="2" t="s">
        <v>18</v>
      </c>
      <c r="K425" s="2" t="s">
        <v>47</v>
      </c>
      <c r="L425" s="2" t="s">
        <v>43</v>
      </c>
      <c r="M425" s="2" t="s">
        <v>78</v>
      </c>
      <c r="N425" s="2" t="s">
        <v>41</v>
      </c>
    </row>
    <row r="426" spans="1:14" x14ac:dyDescent="0.5">
      <c r="A426" s="2" t="s">
        <v>14</v>
      </c>
      <c r="B426" s="3">
        <v>1</v>
      </c>
      <c r="C426" s="4" t="s">
        <v>59</v>
      </c>
      <c r="D426" s="2" t="s">
        <v>32</v>
      </c>
      <c r="E426" s="2" t="s">
        <v>23</v>
      </c>
      <c r="F426" s="5">
        <v>3</v>
      </c>
      <c r="G426" s="1">
        <v>15000000</v>
      </c>
      <c r="H426" s="2">
        <v>2</v>
      </c>
      <c r="I426" s="6">
        <v>1.5277777777777779E-3</v>
      </c>
      <c r="J426" s="2" t="s">
        <v>18</v>
      </c>
      <c r="K426" s="2" t="s">
        <v>19</v>
      </c>
      <c r="L426" s="2" t="s">
        <v>51</v>
      </c>
      <c r="M426" s="2" t="s">
        <v>76</v>
      </c>
      <c r="N426" s="2" t="s">
        <v>52</v>
      </c>
    </row>
    <row r="427" spans="1:14" x14ac:dyDescent="0.5">
      <c r="A427" s="2" t="s">
        <v>14</v>
      </c>
      <c r="B427" s="3">
        <v>6</v>
      </c>
      <c r="C427" s="4" t="s">
        <v>72</v>
      </c>
      <c r="D427" s="2" t="s">
        <v>49</v>
      </c>
      <c r="E427" s="2" t="s">
        <v>42</v>
      </c>
      <c r="F427" s="5">
        <v>2</v>
      </c>
      <c r="G427" s="1">
        <v>38000000</v>
      </c>
      <c r="H427" s="2">
        <v>1</v>
      </c>
      <c r="I427" s="6">
        <v>1.5277777777777779E-3</v>
      </c>
      <c r="J427" s="2" t="s">
        <v>46</v>
      </c>
      <c r="K427" s="2" t="s">
        <v>29</v>
      </c>
      <c r="L427" s="2" t="s">
        <v>20</v>
      </c>
      <c r="M427" s="2" t="s">
        <v>78</v>
      </c>
      <c r="N427" s="2" t="s">
        <v>62</v>
      </c>
    </row>
    <row r="428" spans="1:14" x14ac:dyDescent="0.5">
      <c r="A428" s="2" t="s">
        <v>14</v>
      </c>
      <c r="B428" s="3">
        <v>31</v>
      </c>
      <c r="C428" s="4" t="s">
        <v>22</v>
      </c>
      <c r="D428" s="2" t="s">
        <v>28</v>
      </c>
      <c r="E428" s="2" t="s">
        <v>23</v>
      </c>
      <c r="F428" s="5">
        <v>1</v>
      </c>
      <c r="G428" s="1">
        <v>19000000</v>
      </c>
      <c r="H428" s="2">
        <v>2</v>
      </c>
      <c r="I428" s="6">
        <v>1.5277777777777779E-3</v>
      </c>
      <c r="J428" s="2" t="s">
        <v>46</v>
      </c>
      <c r="K428" s="2" t="s">
        <v>19</v>
      </c>
      <c r="L428" s="2" t="s">
        <v>30</v>
      </c>
      <c r="M428" s="2" t="s">
        <v>76</v>
      </c>
      <c r="N428" s="2" t="s">
        <v>52</v>
      </c>
    </row>
    <row r="429" spans="1:14" x14ac:dyDescent="0.5">
      <c r="A429" s="2" t="s">
        <v>14</v>
      </c>
      <c r="B429" s="3">
        <v>12</v>
      </c>
      <c r="C429" s="4" t="s">
        <v>22</v>
      </c>
      <c r="D429" s="2" t="s">
        <v>28</v>
      </c>
      <c r="E429" s="2" t="s">
        <v>42</v>
      </c>
      <c r="F429" s="5">
        <v>2</v>
      </c>
      <c r="G429" s="1">
        <v>10000000</v>
      </c>
      <c r="H429" s="2">
        <v>4</v>
      </c>
      <c r="I429" s="6">
        <v>1.5277777777777779E-3</v>
      </c>
      <c r="J429" s="2" t="s">
        <v>18</v>
      </c>
      <c r="K429" s="2" t="s">
        <v>24</v>
      </c>
      <c r="L429" s="2" t="s">
        <v>40</v>
      </c>
      <c r="M429" s="2" t="s">
        <v>66</v>
      </c>
      <c r="N429" s="2" t="s">
        <v>36</v>
      </c>
    </row>
    <row r="430" spans="1:14" x14ac:dyDescent="0.5">
      <c r="A430" s="2" t="s">
        <v>14</v>
      </c>
      <c r="B430" s="3">
        <v>28</v>
      </c>
      <c r="C430" s="4" t="s">
        <v>27</v>
      </c>
      <c r="D430" s="2" t="s">
        <v>73</v>
      </c>
      <c r="E430" s="2" t="s">
        <v>68</v>
      </c>
      <c r="F430" s="5">
        <v>5</v>
      </c>
      <c r="G430" s="1">
        <v>21000000</v>
      </c>
      <c r="H430" s="2">
        <v>3</v>
      </c>
      <c r="I430" s="6">
        <v>1.5277777777777779E-3</v>
      </c>
      <c r="J430" s="2" t="s">
        <v>18</v>
      </c>
      <c r="K430" s="2" t="s">
        <v>56</v>
      </c>
      <c r="L430" s="2" t="s">
        <v>40</v>
      </c>
      <c r="M430" s="2" t="s">
        <v>76</v>
      </c>
      <c r="N430" s="2" t="s">
        <v>75</v>
      </c>
    </row>
    <row r="431" spans="1:14" x14ac:dyDescent="0.5">
      <c r="A431" s="2" t="s">
        <v>14</v>
      </c>
      <c r="B431" s="3">
        <v>2</v>
      </c>
      <c r="C431" s="4" t="s">
        <v>27</v>
      </c>
      <c r="D431" s="2" t="s">
        <v>16</v>
      </c>
      <c r="E431" s="2" t="s">
        <v>45</v>
      </c>
      <c r="F431" s="5">
        <v>2</v>
      </c>
      <c r="G431" s="1">
        <v>10000000</v>
      </c>
      <c r="H431" s="2">
        <v>2</v>
      </c>
      <c r="I431" s="6">
        <v>1.5277777777777779E-3</v>
      </c>
      <c r="J431" s="2" t="s">
        <v>18</v>
      </c>
      <c r="K431" s="2" t="s">
        <v>47</v>
      </c>
      <c r="L431" s="2" t="s">
        <v>30</v>
      </c>
      <c r="M431" s="2" t="s">
        <v>76</v>
      </c>
      <c r="N431" s="2" t="s">
        <v>31</v>
      </c>
    </row>
    <row r="432" spans="1:14" x14ac:dyDescent="0.5">
      <c r="A432" s="2" t="s">
        <v>14</v>
      </c>
      <c r="B432" s="3">
        <v>21</v>
      </c>
      <c r="C432" s="4" t="s">
        <v>27</v>
      </c>
      <c r="D432" s="2" t="s">
        <v>32</v>
      </c>
      <c r="E432" s="2" t="s">
        <v>23</v>
      </c>
      <c r="F432" s="5">
        <v>2</v>
      </c>
      <c r="G432" s="1">
        <v>12000000</v>
      </c>
      <c r="H432" s="2">
        <v>3</v>
      </c>
      <c r="I432" s="6">
        <v>1.5277777777777779E-3</v>
      </c>
      <c r="J432" s="2" t="s">
        <v>18</v>
      </c>
      <c r="K432" s="2" t="s">
        <v>19</v>
      </c>
      <c r="L432" s="2" t="s">
        <v>30</v>
      </c>
      <c r="M432" s="2" t="s">
        <v>77</v>
      </c>
      <c r="N432" s="2" t="s">
        <v>54</v>
      </c>
    </row>
    <row r="433" spans="1:14" x14ac:dyDescent="0.5">
      <c r="A433" s="2" t="s">
        <v>14</v>
      </c>
      <c r="B433" s="3">
        <v>30</v>
      </c>
      <c r="C433" s="4" t="s">
        <v>27</v>
      </c>
      <c r="D433" s="2" t="s">
        <v>28</v>
      </c>
      <c r="E433" s="2" t="s">
        <v>17</v>
      </c>
      <c r="F433" s="5">
        <v>4</v>
      </c>
      <c r="G433" s="1">
        <v>15000000</v>
      </c>
      <c r="H433" s="2">
        <v>1</v>
      </c>
      <c r="I433" s="6">
        <v>1.5277777777777779E-3</v>
      </c>
      <c r="J433" s="2" t="s">
        <v>18</v>
      </c>
      <c r="K433" s="2" t="s">
        <v>39</v>
      </c>
      <c r="L433" s="2" t="s">
        <v>25</v>
      </c>
      <c r="M433" s="2" t="s">
        <v>76</v>
      </c>
      <c r="N433" s="2" t="s">
        <v>75</v>
      </c>
    </row>
    <row r="434" spans="1:14" x14ac:dyDescent="0.5">
      <c r="A434" s="2" t="s">
        <v>14</v>
      </c>
      <c r="B434" s="3">
        <v>24</v>
      </c>
      <c r="C434" s="4" t="s">
        <v>27</v>
      </c>
      <c r="D434" s="2" t="s">
        <v>73</v>
      </c>
      <c r="E434" s="2" t="s">
        <v>42</v>
      </c>
      <c r="F434" s="5">
        <v>5</v>
      </c>
      <c r="G434" s="1">
        <v>25000000</v>
      </c>
      <c r="H434" s="2">
        <v>2</v>
      </c>
      <c r="I434" s="6">
        <v>1.5277777777777779E-3</v>
      </c>
      <c r="J434" s="2" t="s">
        <v>18</v>
      </c>
      <c r="K434" s="2" t="s">
        <v>19</v>
      </c>
      <c r="L434" s="2" t="s">
        <v>33</v>
      </c>
      <c r="M434" s="2" t="s">
        <v>66</v>
      </c>
      <c r="N434" s="2" t="s">
        <v>36</v>
      </c>
    </row>
    <row r="435" spans="1:14" x14ac:dyDescent="0.5">
      <c r="A435" s="2" t="s">
        <v>14</v>
      </c>
      <c r="B435" s="3">
        <v>24</v>
      </c>
      <c r="C435" s="4" t="s">
        <v>27</v>
      </c>
      <c r="D435" s="2" t="s">
        <v>38</v>
      </c>
      <c r="E435" s="2" t="s">
        <v>23</v>
      </c>
      <c r="F435" s="5">
        <v>3</v>
      </c>
      <c r="G435" s="1">
        <v>15000000</v>
      </c>
      <c r="H435" s="2">
        <v>2</v>
      </c>
      <c r="I435" s="6">
        <v>1.5277777777777779E-3</v>
      </c>
      <c r="J435" s="2" t="s">
        <v>18</v>
      </c>
      <c r="K435" s="2" t="s">
        <v>50</v>
      </c>
      <c r="L435" s="2" t="s">
        <v>40</v>
      </c>
      <c r="M435" s="2" t="s">
        <v>76</v>
      </c>
      <c r="N435" s="2" t="s">
        <v>26</v>
      </c>
    </row>
    <row r="436" spans="1:14" x14ac:dyDescent="0.5">
      <c r="A436" s="2" t="s">
        <v>14</v>
      </c>
      <c r="B436" s="3">
        <v>30</v>
      </c>
      <c r="C436" s="4" t="s">
        <v>27</v>
      </c>
      <c r="D436" s="2" t="s">
        <v>49</v>
      </c>
      <c r="E436" s="2" t="s">
        <v>17</v>
      </c>
      <c r="F436" s="5">
        <v>2</v>
      </c>
      <c r="G436" s="1">
        <v>12000000</v>
      </c>
      <c r="H436" s="2">
        <v>2</v>
      </c>
      <c r="I436" s="6">
        <v>1.5277777777777779E-3</v>
      </c>
      <c r="J436" s="2" t="s">
        <v>18</v>
      </c>
      <c r="K436" s="2" t="s">
        <v>47</v>
      </c>
      <c r="L436" s="2" t="s">
        <v>20</v>
      </c>
      <c r="M436" s="2" t="s">
        <v>77</v>
      </c>
      <c r="N436" s="2" t="s">
        <v>65</v>
      </c>
    </row>
    <row r="437" spans="1:14" x14ac:dyDescent="0.5">
      <c r="A437" s="2" t="s">
        <v>14</v>
      </c>
      <c r="B437" s="3">
        <v>22</v>
      </c>
      <c r="C437" s="4" t="s">
        <v>27</v>
      </c>
      <c r="D437" s="2" t="s">
        <v>49</v>
      </c>
      <c r="E437" s="2" t="s">
        <v>17</v>
      </c>
      <c r="F437" s="5">
        <v>3</v>
      </c>
      <c r="G437" s="1">
        <v>12000000</v>
      </c>
      <c r="H437" s="2">
        <v>2</v>
      </c>
      <c r="I437" s="6">
        <v>1.5277777777777779E-3</v>
      </c>
      <c r="J437" s="2" t="s">
        <v>18</v>
      </c>
      <c r="K437" s="2" t="s">
        <v>19</v>
      </c>
      <c r="L437" s="2" t="s">
        <v>43</v>
      </c>
      <c r="M437" s="2" t="s">
        <v>77</v>
      </c>
      <c r="N437" s="2" t="s">
        <v>54</v>
      </c>
    </row>
    <row r="438" spans="1:14" x14ac:dyDescent="0.5">
      <c r="A438" s="2" t="s">
        <v>14</v>
      </c>
      <c r="B438" s="3">
        <v>26</v>
      </c>
      <c r="C438" s="4" t="s">
        <v>27</v>
      </c>
      <c r="D438" s="2" t="s">
        <v>32</v>
      </c>
      <c r="E438" s="2" t="s">
        <v>68</v>
      </c>
      <c r="F438" s="5">
        <v>5</v>
      </c>
      <c r="G438" s="1">
        <v>25000000</v>
      </c>
      <c r="H438" s="2">
        <v>3</v>
      </c>
      <c r="I438" s="6">
        <v>1.5277777777777779E-3</v>
      </c>
      <c r="J438" s="2" t="s">
        <v>18</v>
      </c>
      <c r="K438" s="2" t="s">
        <v>56</v>
      </c>
      <c r="L438" s="2" t="s">
        <v>48</v>
      </c>
      <c r="M438" s="2" t="s">
        <v>76</v>
      </c>
      <c r="N438" s="2" t="s">
        <v>52</v>
      </c>
    </row>
    <row r="439" spans="1:14" x14ac:dyDescent="0.5">
      <c r="A439" s="2" t="s">
        <v>14</v>
      </c>
      <c r="B439" s="3">
        <v>29</v>
      </c>
      <c r="C439" s="4" t="s">
        <v>37</v>
      </c>
      <c r="D439" s="2" t="s">
        <v>32</v>
      </c>
      <c r="E439" s="2" t="s">
        <v>42</v>
      </c>
      <c r="F439" s="5">
        <v>1</v>
      </c>
      <c r="G439" s="1">
        <v>19000000</v>
      </c>
      <c r="H439" s="2">
        <v>4</v>
      </c>
      <c r="I439" s="6">
        <v>1.5277777777777779E-3</v>
      </c>
      <c r="J439" s="2" t="s">
        <v>46</v>
      </c>
      <c r="K439" s="2" t="s">
        <v>35</v>
      </c>
      <c r="L439" s="2" t="s">
        <v>48</v>
      </c>
      <c r="M439" s="2" t="s">
        <v>78</v>
      </c>
      <c r="N439" s="2" t="s">
        <v>53</v>
      </c>
    </row>
    <row r="440" spans="1:14" x14ac:dyDescent="0.5">
      <c r="A440" s="2" t="s">
        <v>14</v>
      </c>
      <c r="B440" s="3">
        <v>20</v>
      </c>
      <c r="C440" s="4" t="s">
        <v>37</v>
      </c>
      <c r="D440" s="2" t="s">
        <v>28</v>
      </c>
      <c r="E440" s="2" t="s">
        <v>42</v>
      </c>
      <c r="F440" s="5">
        <v>2</v>
      </c>
      <c r="G440" s="1">
        <v>38000000</v>
      </c>
      <c r="H440" s="2">
        <v>5</v>
      </c>
      <c r="I440" s="6">
        <v>1.5277777777777779E-3</v>
      </c>
      <c r="J440" s="2" t="s">
        <v>46</v>
      </c>
      <c r="K440" s="2" t="s">
        <v>19</v>
      </c>
      <c r="L440" s="2" t="s">
        <v>51</v>
      </c>
      <c r="M440" s="2" t="s">
        <v>78</v>
      </c>
      <c r="N440" s="2" t="s">
        <v>41</v>
      </c>
    </row>
    <row r="441" spans="1:14" x14ac:dyDescent="0.5">
      <c r="A441" s="2" t="s">
        <v>14</v>
      </c>
      <c r="B441" s="3">
        <v>4</v>
      </c>
      <c r="C441" s="4" t="s">
        <v>37</v>
      </c>
      <c r="D441" s="2" t="s">
        <v>32</v>
      </c>
      <c r="E441" s="2" t="s">
        <v>17</v>
      </c>
      <c r="F441" s="5">
        <v>5</v>
      </c>
      <c r="G441" s="1">
        <v>20000000</v>
      </c>
      <c r="H441" s="2">
        <v>2</v>
      </c>
      <c r="I441" s="6">
        <v>1.5277777777777779E-3</v>
      </c>
      <c r="J441" s="2" t="s">
        <v>18</v>
      </c>
      <c r="K441" s="2" t="s">
        <v>24</v>
      </c>
      <c r="L441" s="2" t="s">
        <v>30</v>
      </c>
      <c r="M441" s="2" t="s">
        <v>78</v>
      </c>
      <c r="N441" s="2" t="s">
        <v>63</v>
      </c>
    </row>
    <row r="442" spans="1:14" x14ac:dyDescent="0.5">
      <c r="A442" s="2" t="s">
        <v>14</v>
      </c>
      <c r="B442" s="3">
        <v>20</v>
      </c>
      <c r="C442" s="4" t="s">
        <v>37</v>
      </c>
      <c r="D442" s="2" t="s">
        <v>32</v>
      </c>
      <c r="E442" s="2" t="s">
        <v>23</v>
      </c>
      <c r="F442" s="5">
        <v>2</v>
      </c>
      <c r="G442" s="1">
        <v>12000000</v>
      </c>
      <c r="H442" s="2">
        <v>2</v>
      </c>
      <c r="I442" s="6">
        <v>1.5277777777777779E-3</v>
      </c>
      <c r="J442" s="2" t="s">
        <v>18</v>
      </c>
      <c r="K442" s="2" t="s">
        <v>19</v>
      </c>
      <c r="L442" s="2" t="s">
        <v>30</v>
      </c>
      <c r="M442" s="2" t="s">
        <v>66</v>
      </c>
      <c r="N442" s="2" t="s">
        <v>67</v>
      </c>
    </row>
    <row r="443" spans="1:14" x14ac:dyDescent="0.5">
      <c r="A443" s="2" t="s">
        <v>14</v>
      </c>
      <c r="B443" s="3">
        <v>22</v>
      </c>
      <c r="C443" s="4" t="s">
        <v>37</v>
      </c>
      <c r="D443" s="2" t="s">
        <v>49</v>
      </c>
      <c r="E443" s="2" t="s">
        <v>42</v>
      </c>
      <c r="F443" s="5">
        <v>1</v>
      </c>
      <c r="G443" s="1">
        <v>7000000</v>
      </c>
      <c r="H443" s="2">
        <v>1</v>
      </c>
      <c r="I443" s="6">
        <v>1.5277777777777779E-3</v>
      </c>
      <c r="J443" s="2" t="s">
        <v>18</v>
      </c>
      <c r="K443" s="2" t="s">
        <v>39</v>
      </c>
      <c r="L443" s="2" t="s">
        <v>33</v>
      </c>
      <c r="M443" s="2" t="s">
        <v>78</v>
      </c>
      <c r="N443" s="2" t="s">
        <v>41</v>
      </c>
    </row>
    <row r="444" spans="1:14" x14ac:dyDescent="0.5">
      <c r="A444" s="2" t="s">
        <v>14</v>
      </c>
      <c r="B444" s="3">
        <v>30</v>
      </c>
      <c r="C444" s="4" t="s">
        <v>37</v>
      </c>
      <c r="D444" s="2" t="s">
        <v>38</v>
      </c>
      <c r="E444" s="2" t="s">
        <v>23</v>
      </c>
      <c r="F444" s="5">
        <v>3</v>
      </c>
      <c r="G444" s="1">
        <v>15000000</v>
      </c>
      <c r="H444" s="2">
        <v>2</v>
      </c>
      <c r="I444" s="6">
        <v>1.5277777777777779E-3</v>
      </c>
      <c r="J444" s="2" t="s">
        <v>18</v>
      </c>
      <c r="K444" s="2" t="s">
        <v>56</v>
      </c>
      <c r="L444" s="2" t="s">
        <v>48</v>
      </c>
      <c r="M444" s="2" t="s">
        <v>76</v>
      </c>
      <c r="N444" s="2" t="s">
        <v>26</v>
      </c>
    </row>
    <row r="445" spans="1:14" x14ac:dyDescent="0.5">
      <c r="A445" s="2" t="s">
        <v>14</v>
      </c>
      <c r="B445" s="3">
        <v>3</v>
      </c>
      <c r="C445" s="4" t="s">
        <v>37</v>
      </c>
      <c r="D445" s="2" t="s">
        <v>16</v>
      </c>
      <c r="E445" s="2" t="s">
        <v>17</v>
      </c>
      <c r="F445" s="5">
        <v>3</v>
      </c>
      <c r="G445" s="1">
        <v>15000000</v>
      </c>
      <c r="H445" s="2">
        <v>2</v>
      </c>
      <c r="I445" s="6">
        <v>1.5277777777777779E-3</v>
      </c>
      <c r="J445" s="2" t="s">
        <v>18</v>
      </c>
      <c r="K445" s="2" t="s">
        <v>19</v>
      </c>
      <c r="L445" s="2" t="s">
        <v>25</v>
      </c>
      <c r="M445" s="2" t="s">
        <v>78</v>
      </c>
      <c r="N445" s="2" t="s">
        <v>62</v>
      </c>
    </row>
    <row r="446" spans="1:14" x14ac:dyDescent="0.5">
      <c r="A446" s="2" t="s">
        <v>14</v>
      </c>
      <c r="B446" s="3">
        <v>8</v>
      </c>
      <c r="C446" s="4" t="s">
        <v>37</v>
      </c>
      <c r="D446" s="2" t="s">
        <v>16</v>
      </c>
      <c r="E446" s="2" t="s">
        <v>45</v>
      </c>
      <c r="F446" s="5">
        <v>4</v>
      </c>
      <c r="G446" s="1">
        <v>20000000</v>
      </c>
      <c r="H446" s="2">
        <v>3</v>
      </c>
      <c r="I446" s="6">
        <v>1.5277777777777779E-3</v>
      </c>
      <c r="J446" s="2" t="s">
        <v>18</v>
      </c>
      <c r="K446" s="2" t="s">
        <v>29</v>
      </c>
      <c r="L446" s="2" t="s">
        <v>48</v>
      </c>
      <c r="M446" s="2" t="s">
        <v>77</v>
      </c>
      <c r="N446" s="2" t="s">
        <v>54</v>
      </c>
    </row>
    <row r="447" spans="1:14" x14ac:dyDescent="0.5">
      <c r="A447" s="2" t="s">
        <v>14</v>
      </c>
      <c r="B447" s="3">
        <v>23</v>
      </c>
      <c r="C447" s="4" t="s">
        <v>37</v>
      </c>
      <c r="D447" s="2" t="s">
        <v>16</v>
      </c>
      <c r="E447" s="2" t="s">
        <v>42</v>
      </c>
      <c r="F447" s="5">
        <v>3</v>
      </c>
      <c r="G447" s="1">
        <v>15000000</v>
      </c>
      <c r="H447" s="2">
        <v>1</v>
      </c>
      <c r="I447" s="6">
        <v>1.5277777777777779E-3</v>
      </c>
      <c r="J447" s="2" t="s">
        <v>18</v>
      </c>
      <c r="K447" s="2" t="s">
        <v>29</v>
      </c>
      <c r="L447" s="2" t="s">
        <v>51</v>
      </c>
      <c r="M447" s="2" t="s">
        <v>66</v>
      </c>
      <c r="N447" s="2" t="s">
        <v>67</v>
      </c>
    </row>
    <row r="448" spans="1:14" x14ac:dyDescent="0.5">
      <c r="A448" s="2" t="s">
        <v>14</v>
      </c>
      <c r="B448" s="3">
        <v>22</v>
      </c>
      <c r="C448" s="4" t="s">
        <v>44</v>
      </c>
      <c r="D448" s="2" t="s">
        <v>32</v>
      </c>
      <c r="E448" s="2" t="s">
        <v>42</v>
      </c>
      <c r="F448" s="5">
        <v>2</v>
      </c>
      <c r="G448" s="1">
        <v>38000000</v>
      </c>
      <c r="H448" s="2">
        <v>3</v>
      </c>
      <c r="I448" s="6">
        <v>1.5277777777777779E-3</v>
      </c>
      <c r="J448" s="2" t="s">
        <v>46</v>
      </c>
      <c r="K448" s="2" t="s">
        <v>64</v>
      </c>
      <c r="L448" s="2" t="s">
        <v>25</v>
      </c>
      <c r="M448" s="2" t="s">
        <v>78</v>
      </c>
      <c r="N448" s="2" t="s">
        <v>62</v>
      </c>
    </row>
    <row r="449" spans="1:14" x14ac:dyDescent="0.5">
      <c r="A449" s="2" t="s">
        <v>14</v>
      </c>
      <c r="B449" s="3">
        <v>3</v>
      </c>
      <c r="C449" s="4" t="s">
        <v>44</v>
      </c>
      <c r="D449" s="2" t="s">
        <v>32</v>
      </c>
      <c r="E449" s="2" t="s">
        <v>23</v>
      </c>
      <c r="F449" s="5">
        <v>1</v>
      </c>
      <c r="G449" s="1">
        <v>19000000</v>
      </c>
      <c r="H449" s="2">
        <v>3</v>
      </c>
      <c r="I449" s="6">
        <v>1.5277777777777779E-3</v>
      </c>
      <c r="J449" s="2" t="s">
        <v>46</v>
      </c>
      <c r="K449" s="2" t="s">
        <v>29</v>
      </c>
      <c r="L449" s="2" t="s">
        <v>48</v>
      </c>
      <c r="M449" s="2" t="s">
        <v>76</v>
      </c>
      <c r="N449" s="2" t="s">
        <v>31</v>
      </c>
    </row>
    <row r="450" spans="1:14" x14ac:dyDescent="0.5">
      <c r="A450" s="2" t="s">
        <v>14</v>
      </c>
      <c r="B450" s="3">
        <v>6</v>
      </c>
      <c r="C450" s="4" t="s">
        <v>44</v>
      </c>
      <c r="D450" s="2" t="s">
        <v>32</v>
      </c>
      <c r="E450" s="2" t="s">
        <v>23</v>
      </c>
      <c r="F450" s="5">
        <v>3</v>
      </c>
      <c r="G450" s="1">
        <v>11000000</v>
      </c>
      <c r="H450" s="2">
        <v>5</v>
      </c>
      <c r="I450" s="6">
        <v>1.5277777777777779E-3</v>
      </c>
      <c r="J450" s="2" t="s">
        <v>18</v>
      </c>
      <c r="K450" s="2" t="s">
        <v>50</v>
      </c>
      <c r="L450" s="2" t="s">
        <v>30</v>
      </c>
      <c r="M450" s="2" t="s">
        <v>66</v>
      </c>
      <c r="N450" s="2" t="s">
        <v>67</v>
      </c>
    </row>
    <row r="451" spans="1:14" x14ac:dyDescent="0.5">
      <c r="A451" s="2" t="s">
        <v>14</v>
      </c>
      <c r="B451" s="3">
        <v>22</v>
      </c>
      <c r="C451" s="4" t="s">
        <v>44</v>
      </c>
      <c r="D451" s="2" t="s">
        <v>32</v>
      </c>
      <c r="E451" s="2" t="s">
        <v>42</v>
      </c>
      <c r="F451" s="5">
        <v>5</v>
      </c>
      <c r="G451" s="1">
        <v>25000000</v>
      </c>
      <c r="H451" s="2">
        <v>2</v>
      </c>
      <c r="I451" s="6">
        <v>1.5277777777777779E-3</v>
      </c>
      <c r="J451" s="2" t="s">
        <v>18</v>
      </c>
      <c r="K451" s="2" t="s">
        <v>39</v>
      </c>
      <c r="L451" s="2" t="s">
        <v>43</v>
      </c>
      <c r="M451" s="2" t="s">
        <v>78</v>
      </c>
      <c r="N451" s="2" t="s">
        <v>41</v>
      </c>
    </row>
    <row r="452" spans="1:14" x14ac:dyDescent="0.5">
      <c r="A452" s="2" t="s">
        <v>14</v>
      </c>
      <c r="B452" s="3">
        <v>22</v>
      </c>
      <c r="C452" s="4" t="s">
        <v>44</v>
      </c>
      <c r="D452" s="2" t="s">
        <v>49</v>
      </c>
      <c r="E452" s="2" t="s">
        <v>17</v>
      </c>
      <c r="F452" s="5">
        <v>2</v>
      </c>
      <c r="G452" s="1">
        <v>12000000</v>
      </c>
      <c r="H452" s="2">
        <v>1</v>
      </c>
      <c r="I452" s="6">
        <v>1.5277777777777779E-3</v>
      </c>
      <c r="J452" s="2" t="s">
        <v>18</v>
      </c>
      <c r="K452" s="2" t="s">
        <v>64</v>
      </c>
      <c r="L452" s="2" t="s">
        <v>33</v>
      </c>
      <c r="M452" s="2" t="s">
        <v>78</v>
      </c>
      <c r="N452" s="2" t="s">
        <v>62</v>
      </c>
    </row>
    <row r="453" spans="1:14" x14ac:dyDescent="0.5">
      <c r="A453" s="2" t="s">
        <v>14</v>
      </c>
      <c r="B453" s="3">
        <v>11</v>
      </c>
      <c r="C453" s="4" t="s">
        <v>44</v>
      </c>
      <c r="D453" s="2" t="s">
        <v>28</v>
      </c>
      <c r="E453" s="2" t="s">
        <v>42</v>
      </c>
      <c r="F453" s="5">
        <v>3</v>
      </c>
      <c r="G453" s="1">
        <v>15000000</v>
      </c>
      <c r="H453" s="2">
        <v>1</v>
      </c>
      <c r="I453" s="6">
        <v>1.5277777777777779E-3</v>
      </c>
      <c r="J453" s="2" t="s">
        <v>18</v>
      </c>
      <c r="K453" s="2" t="s">
        <v>50</v>
      </c>
      <c r="L453" s="2" t="s">
        <v>48</v>
      </c>
      <c r="M453" s="2" t="s">
        <v>78</v>
      </c>
      <c r="N453" s="2" t="s">
        <v>41</v>
      </c>
    </row>
    <row r="454" spans="1:14" x14ac:dyDescent="0.5">
      <c r="A454" s="2" t="s">
        <v>14</v>
      </c>
      <c r="B454" s="3">
        <v>17</v>
      </c>
      <c r="C454" s="4" t="s">
        <v>44</v>
      </c>
      <c r="D454" s="2" t="s">
        <v>16</v>
      </c>
      <c r="E454" s="2" t="s">
        <v>23</v>
      </c>
      <c r="F454" s="5">
        <v>3</v>
      </c>
      <c r="G454" s="1">
        <v>15000000</v>
      </c>
      <c r="H454" s="2">
        <v>5</v>
      </c>
      <c r="I454" s="6">
        <v>1.5277777777777779E-3</v>
      </c>
      <c r="J454" s="2" t="s">
        <v>18</v>
      </c>
      <c r="K454" s="2" t="s">
        <v>39</v>
      </c>
      <c r="L454" s="2" t="s">
        <v>48</v>
      </c>
      <c r="M454" s="2" t="s">
        <v>76</v>
      </c>
      <c r="N454" s="2" t="s">
        <v>26</v>
      </c>
    </row>
    <row r="455" spans="1:14" x14ac:dyDescent="0.5">
      <c r="A455" s="2" t="s">
        <v>14</v>
      </c>
      <c r="B455" s="3">
        <v>1</v>
      </c>
      <c r="C455" s="4" t="s">
        <v>44</v>
      </c>
      <c r="D455" s="2" t="s">
        <v>28</v>
      </c>
      <c r="E455" s="2" t="s">
        <v>42</v>
      </c>
      <c r="F455" s="5">
        <v>4</v>
      </c>
      <c r="G455" s="1">
        <v>20000000</v>
      </c>
      <c r="H455" s="2">
        <v>1</v>
      </c>
      <c r="I455" s="6">
        <v>1.5277777777777779E-3</v>
      </c>
      <c r="J455" s="2" t="s">
        <v>18</v>
      </c>
      <c r="K455" s="2" t="s">
        <v>29</v>
      </c>
      <c r="L455" s="2" t="s">
        <v>51</v>
      </c>
      <c r="M455" s="2" t="s">
        <v>76</v>
      </c>
      <c r="N455" s="2" t="s">
        <v>52</v>
      </c>
    </row>
    <row r="456" spans="1:14" x14ac:dyDescent="0.5">
      <c r="A456" s="2" t="s">
        <v>14</v>
      </c>
      <c r="B456" s="3">
        <v>11</v>
      </c>
      <c r="C456" s="4" t="s">
        <v>69</v>
      </c>
      <c r="D456" s="2" t="s">
        <v>49</v>
      </c>
      <c r="E456" s="2" t="s">
        <v>23</v>
      </c>
      <c r="F456" s="5">
        <v>4</v>
      </c>
      <c r="G456" s="1">
        <v>20000000</v>
      </c>
      <c r="H456" s="2">
        <v>3</v>
      </c>
      <c r="I456" s="6">
        <v>1.5277777777777779E-3</v>
      </c>
      <c r="J456" s="2" t="s">
        <v>61</v>
      </c>
      <c r="K456" s="2" t="s">
        <v>64</v>
      </c>
      <c r="L456" s="2" t="s">
        <v>33</v>
      </c>
      <c r="M456" s="2" t="s">
        <v>77</v>
      </c>
      <c r="N456" s="2" t="s">
        <v>65</v>
      </c>
    </row>
    <row r="457" spans="1:14" x14ac:dyDescent="0.5">
      <c r="A457" s="2" t="s">
        <v>14</v>
      </c>
      <c r="B457" s="3">
        <v>25</v>
      </c>
      <c r="C457" s="4" t="s">
        <v>69</v>
      </c>
      <c r="D457" s="2" t="s">
        <v>49</v>
      </c>
      <c r="E457" s="2" t="s">
        <v>42</v>
      </c>
      <c r="F457" s="5">
        <v>2</v>
      </c>
      <c r="G457" s="1">
        <v>12000000</v>
      </c>
      <c r="H457" s="2">
        <v>2</v>
      </c>
      <c r="I457" s="6">
        <v>1.5277777777777779E-3</v>
      </c>
      <c r="J457" s="2" t="s">
        <v>18</v>
      </c>
      <c r="K457" s="2" t="s">
        <v>29</v>
      </c>
      <c r="L457" s="2" t="s">
        <v>33</v>
      </c>
      <c r="M457" s="2" t="s">
        <v>77</v>
      </c>
      <c r="N457" s="2" t="s">
        <v>65</v>
      </c>
    </row>
    <row r="458" spans="1:14" x14ac:dyDescent="0.5">
      <c r="A458" s="2" t="s">
        <v>14</v>
      </c>
      <c r="B458" s="3">
        <v>24</v>
      </c>
      <c r="C458" s="4" t="s">
        <v>69</v>
      </c>
      <c r="D458" s="2" t="s">
        <v>16</v>
      </c>
      <c r="E458" s="2" t="s">
        <v>17</v>
      </c>
      <c r="F458" s="5">
        <v>3</v>
      </c>
      <c r="G458" s="1">
        <v>15000000</v>
      </c>
      <c r="H458" s="2">
        <v>3</v>
      </c>
      <c r="I458" s="6">
        <v>1.5277777777777779E-3</v>
      </c>
      <c r="J458" s="2" t="s">
        <v>18</v>
      </c>
      <c r="K458" s="2" t="s">
        <v>19</v>
      </c>
      <c r="L458" s="2" t="s">
        <v>43</v>
      </c>
      <c r="M458" s="2" t="s">
        <v>66</v>
      </c>
      <c r="N458" s="2" t="s">
        <v>67</v>
      </c>
    </row>
    <row r="459" spans="1:14" x14ac:dyDescent="0.5">
      <c r="A459" s="2" t="s">
        <v>14</v>
      </c>
      <c r="B459" s="3">
        <v>31</v>
      </c>
      <c r="C459" s="4" t="s">
        <v>69</v>
      </c>
      <c r="D459" s="2" t="s">
        <v>16</v>
      </c>
      <c r="E459" s="2" t="s">
        <v>23</v>
      </c>
      <c r="F459" s="5">
        <v>2</v>
      </c>
      <c r="G459" s="1">
        <v>12000000</v>
      </c>
      <c r="H459" s="2">
        <v>2</v>
      </c>
      <c r="I459" s="6">
        <v>1.5277777777777779E-3</v>
      </c>
      <c r="J459" s="2" t="s">
        <v>18</v>
      </c>
      <c r="K459" s="2" t="s">
        <v>24</v>
      </c>
      <c r="L459" s="2" t="s">
        <v>51</v>
      </c>
      <c r="M459" s="2" t="s">
        <v>76</v>
      </c>
      <c r="N459" s="2" t="s">
        <v>26</v>
      </c>
    </row>
    <row r="460" spans="1:14" x14ac:dyDescent="0.5">
      <c r="A460" s="2" t="s">
        <v>14</v>
      </c>
      <c r="B460" s="3">
        <v>11</v>
      </c>
      <c r="C460" s="4" t="s">
        <v>55</v>
      </c>
      <c r="D460" s="2" t="s">
        <v>49</v>
      </c>
      <c r="E460" s="2" t="s">
        <v>17</v>
      </c>
      <c r="F460" s="5">
        <v>5</v>
      </c>
      <c r="G460" s="1">
        <v>25000000</v>
      </c>
      <c r="H460" s="2">
        <v>3</v>
      </c>
      <c r="I460" s="6">
        <v>1.5277777777777779E-3</v>
      </c>
      <c r="J460" s="2" t="s">
        <v>18</v>
      </c>
      <c r="K460" s="2" t="s">
        <v>47</v>
      </c>
      <c r="L460" s="2" t="s">
        <v>20</v>
      </c>
      <c r="M460" s="2" t="s">
        <v>66</v>
      </c>
      <c r="N460" s="2" t="s">
        <v>36</v>
      </c>
    </row>
    <row r="461" spans="1:14" x14ac:dyDescent="0.5">
      <c r="A461" s="2" t="s">
        <v>14</v>
      </c>
      <c r="B461" s="3">
        <v>15</v>
      </c>
      <c r="C461" s="4" t="s">
        <v>55</v>
      </c>
      <c r="D461" s="2" t="s">
        <v>32</v>
      </c>
      <c r="E461" s="2" t="s">
        <v>42</v>
      </c>
      <c r="F461" s="5">
        <v>2</v>
      </c>
      <c r="G461" s="1">
        <v>12000000</v>
      </c>
      <c r="H461" s="2">
        <v>1</v>
      </c>
      <c r="I461" s="6">
        <v>1.5277777777777779E-3</v>
      </c>
      <c r="J461" s="2" t="s">
        <v>18</v>
      </c>
      <c r="K461" s="2" t="s">
        <v>29</v>
      </c>
      <c r="L461" s="2" t="s">
        <v>43</v>
      </c>
      <c r="M461" s="2" t="s">
        <v>76</v>
      </c>
      <c r="N461" s="2" t="s">
        <v>31</v>
      </c>
    </row>
    <row r="462" spans="1:14" x14ac:dyDescent="0.5">
      <c r="A462" s="2" t="s">
        <v>14</v>
      </c>
      <c r="B462" s="3">
        <v>14</v>
      </c>
      <c r="C462" s="4" t="s">
        <v>57</v>
      </c>
      <c r="D462" s="2" t="s">
        <v>28</v>
      </c>
      <c r="E462" s="2" t="s">
        <v>23</v>
      </c>
      <c r="F462" s="5">
        <v>2</v>
      </c>
      <c r="G462" s="1">
        <v>12000000</v>
      </c>
      <c r="H462" s="2">
        <v>1</v>
      </c>
      <c r="I462" s="6">
        <v>1.5277777777777779E-3</v>
      </c>
      <c r="J462" s="2" t="s">
        <v>18</v>
      </c>
      <c r="K462" s="2" t="s">
        <v>47</v>
      </c>
      <c r="L462" s="2" t="s">
        <v>30</v>
      </c>
      <c r="M462" s="2" t="s">
        <v>77</v>
      </c>
      <c r="N462" s="2" t="s">
        <v>65</v>
      </c>
    </row>
    <row r="463" spans="1:14" x14ac:dyDescent="0.5">
      <c r="A463" s="2" t="s">
        <v>14</v>
      </c>
      <c r="B463" s="3">
        <v>11</v>
      </c>
      <c r="C463" s="4" t="s">
        <v>57</v>
      </c>
      <c r="D463" s="2" t="s">
        <v>16</v>
      </c>
      <c r="E463" s="2" t="s">
        <v>42</v>
      </c>
      <c r="F463" s="5">
        <v>1</v>
      </c>
      <c r="G463" s="1">
        <v>7000000</v>
      </c>
      <c r="H463" s="2">
        <v>1</v>
      </c>
      <c r="I463" s="6">
        <v>1.5277777777777779E-3</v>
      </c>
      <c r="J463" s="2" t="s">
        <v>18</v>
      </c>
      <c r="K463" s="2" t="s">
        <v>39</v>
      </c>
      <c r="L463" s="2" t="s">
        <v>33</v>
      </c>
      <c r="M463" s="2" t="s">
        <v>76</v>
      </c>
      <c r="N463" s="2" t="s">
        <v>31</v>
      </c>
    </row>
    <row r="464" spans="1:14" x14ac:dyDescent="0.5">
      <c r="A464" s="2" t="s">
        <v>14</v>
      </c>
      <c r="B464" s="3">
        <v>1</v>
      </c>
      <c r="C464" s="4" t="s">
        <v>59</v>
      </c>
      <c r="D464" s="2" t="s">
        <v>28</v>
      </c>
      <c r="E464" s="2" t="s">
        <v>17</v>
      </c>
      <c r="F464" s="5">
        <v>4</v>
      </c>
      <c r="G464" s="1">
        <v>20000000</v>
      </c>
      <c r="H464" s="2">
        <v>2</v>
      </c>
      <c r="I464" s="6">
        <v>1.5277777777777779E-3</v>
      </c>
      <c r="J464" s="2" t="s">
        <v>61</v>
      </c>
      <c r="K464" s="2" t="s">
        <v>29</v>
      </c>
      <c r="L464" s="2" t="s">
        <v>25</v>
      </c>
      <c r="M464" s="2" t="s">
        <v>78</v>
      </c>
      <c r="N464" s="2" t="s">
        <v>53</v>
      </c>
    </row>
    <row r="465" spans="1:14" x14ac:dyDescent="0.5">
      <c r="A465" s="2" t="s">
        <v>14</v>
      </c>
      <c r="B465" s="3">
        <v>7</v>
      </c>
      <c r="C465" s="4" t="s">
        <v>59</v>
      </c>
      <c r="D465" s="2" t="s">
        <v>28</v>
      </c>
      <c r="E465" s="2" t="s">
        <v>42</v>
      </c>
      <c r="F465" s="5">
        <v>3</v>
      </c>
      <c r="G465" s="1">
        <v>15000000</v>
      </c>
      <c r="H465" s="2">
        <v>1</v>
      </c>
      <c r="I465" s="6">
        <v>1.5277777777777779E-3</v>
      </c>
      <c r="J465" s="2" t="s">
        <v>18</v>
      </c>
      <c r="K465" s="2" t="s">
        <v>47</v>
      </c>
      <c r="L465" s="2" t="s">
        <v>43</v>
      </c>
      <c r="M465" s="2" t="s">
        <v>78</v>
      </c>
      <c r="N465" s="2" t="s">
        <v>41</v>
      </c>
    </row>
    <row r="466" spans="1:14" x14ac:dyDescent="0.5">
      <c r="A466" s="2" t="s">
        <v>14</v>
      </c>
      <c r="B466" s="3">
        <v>1</v>
      </c>
      <c r="C466" s="4" t="s">
        <v>59</v>
      </c>
      <c r="D466" s="2" t="s">
        <v>32</v>
      </c>
      <c r="E466" s="2" t="s">
        <v>23</v>
      </c>
      <c r="F466" s="5">
        <v>3</v>
      </c>
      <c r="G466" s="1">
        <v>15000000</v>
      </c>
      <c r="H466" s="2">
        <v>2</v>
      </c>
      <c r="I466" s="6">
        <v>1.5277777777777779E-3</v>
      </c>
      <c r="J466" s="2" t="s">
        <v>18</v>
      </c>
      <c r="K466" s="2" t="s">
        <v>19</v>
      </c>
      <c r="L466" s="2" t="s">
        <v>51</v>
      </c>
      <c r="M466" s="2" t="s">
        <v>76</v>
      </c>
      <c r="N466" s="2" t="s">
        <v>52</v>
      </c>
    </row>
    <row r="467" spans="1:14" x14ac:dyDescent="0.5">
      <c r="A467" s="2" t="s">
        <v>14</v>
      </c>
      <c r="B467" s="3">
        <v>6</v>
      </c>
      <c r="C467" s="4" t="s">
        <v>72</v>
      </c>
      <c r="D467" s="2" t="s">
        <v>49</v>
      </c>
      <c r="E467" s="2" t="s">
        <v>42</v>
      </c>
      <c r="F467" s="5">
        <v>2</v>
      </c>
      <c r="G467" s="1">
        <v>38000000</v>
      </c>
      <c r="H467" s="2">
        <v>1</v>
      </c>
      <c r="I467" s="6">
        <v>1.5277777777777779E-3</v>
      </c>
      <c r="J467" s="2" t="s">
        <v>46</v>
      </c>
      <c r="K467" s="2" t="s">
        <v>29</v>
      </c>
      <c r="L467" s="2" t="s">
        <v>20</v>
      </c>
      <c r="M467" s="2" t="s">
        <v>78</v>
      </c>
      <c r="N467" s="2" t="s">
        <v>62</v>
      </c>
    </row>
    <row r="468" spans="1:14" x14ac:dyDescent="0.5">
      <c r="A468" s="2" t="s">
        <v>14</v>
      </c>
      <c r="B468" s="3">
        <v>31</v>
      </c>
      <c r="C468" s="4" t="s">
        <v>22</v>
      </c>
      <c r="D468" s="2" t="s">
        <v>28</v>
      </c>
      <c r="E468" s="2" t="s">
        <v>23</v>
      </c>
      <c r="F468" s="5">
        <v>1</v>
      </c>
      <c r="G468" s="1">
        <v>19000000</v>
      </c>
      <c r="H468" s="2">
        <v>2</v>
      </c>
      <c r="I468" s="6">
        <v>1.5277777777777779E-3</v>
      </c>
      <c r="J468" s="2" t="s">
        <v>46</v>
      </c>
      <c r="K468" s="2" t="s">
        <v>19</v>
      </c>
      <c r="L468" s="2" t="s">
        <v>30</v>
      </c>
      <c r="M468" s="2" t="s">
        <v>76</v>
      </c>
      <c r="N468" s="2" t="s">
        <v>52</v>
      </c>
    </row>
    <row r="469" spans="1:14" x14ac:dyDescent="0.5">
      <c r="A469" s="2" t="s">
        <v>70</v>
      </c>
      <c r="B469" s="3">
        <v>14</v>
      </c>
      <c r="C469" s="4" t="s">
        <v>58</v>
      </c>
      <c r="D469" s="2" t="s">
        <v>38</v>
      </c>
      <c r="E469" s="2" t="s">
        <v>42</v>
      </c>
      <c r="F469" s="5">
        <v>0</v>
      </c>
      <c r="G469" s="1">
        <v>0</v>
      </c>
      <c r="H469" s="2">
        <v>4</v>
      </c>
      <c r="I469" s="6">
        <v>1.5277777777777779E-3</v>
      </c>
      <c r="J469" s="2"/>
      <c r="K469" s="2"/>
      <c r="L469" s="2" t="s">
        <v>33</v>
      </c>
      <c r="M469" s="2" t="s">
        <v>76</v>
      </c>
      <c r="N469" s="2" t="s">
        <v>52</v>
      </c>
    </row>
    <row r="470" spans="1:14" x14ac:dyDescent="0.5">
      <c r="A470" s="2" t="s">
        <v>70</v>
      </c>
      <c r="B470" s="3">
        <v>3</v>
      </c>
      <c r="C470" s="4" t="s">
        <v>59</v>
      </c>
      <c r="D470" s="2" t="s">
        <v>16</v>
      </c>
      <c r="E470" s="2" t="s">
        <v>45</v>
      </c>
      <c r="F470" s="5">
        <v>0</v>
      </c>
      <c r="G470" s="1">
        <v>0</v>
      </c>
      <c r="H470" s="2">
        <v>1</v>
      </c>
      <c r="I470" s="6">
        <v>1.5277777777777779E-3</v>
      </c>
      <c r="J470" s="2"/>
      <c r="K470" s="2"/>
      <c r="L470" s="2" t="s">
        <v>51</v>
      </c>
      <c r="M470" s="2" t="s">
        <v>76</v>
      </c>
      <c r="N470" s="2" t="s">
        <v>26</v>
      </c>
    </row>
    <row r="471" spans="1:14" x14ac:dyDescent="0.5">
      <c r="A471" s="2" t="s">
        <v>70</v>
      </c>
      <c r="B471" s="3">
        <v>8</v>
      </c>
      <c r="C471" s="4" t="s">
        <v>60</v>
      </c>
      <c r="D471" s="2" t="s">
        <v>16</v>
      </c>
      <c r="E471" s="2" t="s">
        <v>45</v>
      </c>
      <c r="F471" s="5">
        <v>0</v>
      </c>
      <c r="G471" s="1">
        <v>0</v>
      </c>
      <c r="H471" s="2">
        <v>2</v>
      </c>
      <c r="I471" s="6">
        <v>1.5277777777777779E-3</v>
      </c>
      <c r="J471" s="2"/>
      <c r="K471" s="2"/>
      <c r="L471" s="2" t="s">
        <v>33</v>
      </c>
      <c r="M471" s="2" t="s">
        <v>78</v>
      </c>
      <c r="N471" s="2" t="s">
        <v>63</v>
      </c>
    </row>
    <row r="472" spans="1:14" x14ac:dyDescent="0.5">
      <c r="A472" s="2" t="s">
        <v>70</v>
      </c>
      <c r="B472" s="3">
        <v>30</v>
      </c>
      <c r="C472" s="4" t="s">
        <v>22</v>
      </c>
      <c r="D472" s="2" t="s">
        <v>32</v>
      </c>
      <c r="E472" s="2" t="s">
        <v>42</v>
      </c>
      <c r="F472" s="5">
        <v>0</v>
      </c>
      <c r="G472" s="1">
        <v>0</v>
      </c>
      <c r="H472" s="2">
        <v>1</v>
      </c>
      <c r="I472" s="6">
        <v>1.5277777777777779E-3</v>
      </c>
      <c r="J472" s="2"/>
      <c r="K472" s="2"/>
      <c r="L472" s="2" t="s">
        <v>43</v>
      </c>
      <c r="M472" s="2" t="s">
        <v>78</v>
      </c>
      <c r="N472" s="2" t="s">
        <v>53</v>
      </c>
    </row>
    <row r="473" spans="1:14" x14ac:dyDescent="0.5">
      <c r="A473" s="2" t="s">
        <v>70</v>
      </c>
      <c r="B473" s="3">
        <v>27</v>
      </c>
      <c r="C473" s="4" t="s">
        <v>27</v>
      </c>
      <c r="D473" s="2" t="s">
        <v>16</v>
      </c>
      <c r="E473" s="2" t="s">
        <v>42</v>
      </c>
      <c r="F473" s="5">
        <v>0</v>
      </c>
      <c r="G473" s="1">
        <v>0</v>
      </c>
      <c r="H473" s="2">
        <v>3</v>
      </c>
      <c r="I473" s="6">
        <v>1.5277777777777779E-3</v>
      </c>
      <c r="J473" s="2"/>
      <c r="K473" s="2"/>
      <c r="L473" s="2" t="s">
        <v>43</v>
      </c>
      <c r="M473" s="2" t="s">
        <v>66</v>
      </c>
      <c r="N473" s="2" t="s">
        <v>67</v>
      </c>
    </row>
    <row r="474" spans="1:14" x14ac:dyDescent="0.5">
      <c r="A474" s="2" t="s">
        <v>70</v>
      </c>
      <c r="B474" s="3">
        <v>16</v>
      </c>
      <c r="C474" s="4" t="s">
        <v>27</v>
      </c>
      <c r="D474" s="2" t="s">
        <v>28</v>
      </c>
      <c r="E474" s="2" t="s">
        <v>45</v>
      </c>
      <c r="F474" s="5">
        <v>0</v>
      </c>
      <c r="G474" s="1">
        <v>0</v>
      </c>
      <c r="H474" s="2">
        <v>5</v>
      </c>
      <c r="I474" s="6">
        <v>1.5277777777777779E-3</v>
      </c>
      <c r="J474" s="2"/>
      <c r="K474" s="2"/>
      <c r="L474" s="2" t="s">
        <v>25</v>
      </c>
      <c r="M474" s="2" t="s">
        <v>78</v>
      </c>
      <c r="N474" s="2" t="s">
        <v>63</v>
      </c>
    </row>
    <row r="475" spans="1:14" x14ac:dyDescent="0.5">
      <c r="A475" s="2" t="s">
        <v>70</v>
      </c>
      <c r="B475" s="3">
        <v>9</v>
      </c>
      <c r="C475" s="4" t="s">
        <v>37</v>
      </c>
      <c r="D475" s="2" t="s">
        <v>28</v>
      </c>
      <c r="E475" s="2" t="s">
        <v>23</v>
      </c>
      <c r="F475" s="5">
        <v>0</v>
      </c>
      <c r="G475" s="1">
        <v>0</v>
      </c>
      <c r="H475" s="2">
        <v>5</v>
      </c>
      <c r="I475" s="6">
        <v>1.5277777777777779E-3</v>
      </c>
      <c r="J475" s="2"/>
      <c r="K475" s="2"/>
      <c r="L475" s="2" t="s">
        <v>30</v>
      </c>
      <c r="M475" s="2" t="s">
        <v>77</v>
      </c>
      <c r="N475" s="2" t="s">
        <v>65</v>
      </c>
    </row>
    <row r="476" spans="1:14" x14ac:dyDescent="0.5">
      <c r="A476" s="2" t="s">
        <v>70</v>
      </c>
      <c r="B476" s="3">
        <v>9</v>
      </c>
      <c r="C476" s="4" t="s">
        <v>37</v>
      </c>
      <c r="D476" s="2" t="s">
        <v>38</v>
      </c>
      <c r="E476" s="2" t="s">
        <v>23</v>
      </c>
      <c r="F476" s="5">
        <v>0</v>
      </c>
      <c r="G476" s="1">
        <v>0</v>
      </c>
      <c r="H476" s="2">
        <v>2</v>
      </c>
      <c r="I476" s="6">
        <v>1.5277777777777779E-3</v>
      </c>
      <c r="J476" s="2"/>
      <c r="K476" s="2"/>
      <c r="L476" s="2" t="s">
        <v>30</v>
      </c>
      <c r="M476" s="2" t="s">
        <v>78</v>
      </c>
      <c r="N476" s="2" t="s">
        <v>53</v>
      </c>
    </row>
    <row r="477" spans="1:14" x14ac:dyDescent="0.5">
      <c r="A477" s="2" t="s">
        <v>70</v>
      </c>
      <c r="B477" s="3">
        <v>29</v>
      </c>
      <c r="C477" s="4" t="s">
        <v>37</v>
      </c>
      <c r="D477" s="2" t="s">
        <v>16</v>
      </c>
      <c r="E477" s="2" t="s">
        <v>17</v>
      </c>
      <c r="F477" s="5">
        <v>0</v>
      </c>
      <c r="G477" s="1">
        <v>0</v>
      </c>
      <c r="H477" s="2">
        <v>4</v>
      </c>
      <c r="I477" s="6">
        <v>1.5277777777777779E-3</v>
      </c>
      <c r="J477" s="2"/>
      <c r="K477" s="2"/>
      <c r="L477" s="2" t="s">
        <v>43</v>
      </c>
      <c r="M477" s="2" t="s">
        <v>78</v>
      </c>
      <c r="N477" s="2" t="s">
        <v>41</v>
      </c>
    </row>
    <row r="478" spans="1:14" x14ac:dyDescent="0.5">
      <c r="A478" s="2" t="s">
        <v>70</v>
      </c>
      <c r="B478" s="3">
        <v>29</v>
      </c>
      <c r="C478" s="4" t="s">
        <v>37</v>
      </c>
      <c r="D478" s="2" t="s">
        <v>73</v>
      </c>
      <c r="E478" s="2" t="s">
        <v>42</v>
      </c>
      <c r="F478" s="5">
        <v>0</v>
      </c>
      <c r="G478" s="1">
        <v>0</v>
      </c>
      <c r="H478" s="2">
        <v>2</v>
      </c>
      <c r="I478" s="6">
        <v>1.5277777777777779E-3</v>
      </c>
      <c r="J478" s="2"/>
      <c r="K478" s="2"/>
      <c r="L478" s="2" t="s">
        <v>43</v>
      </c>
      <c r="M478" s="2" t="s">
        <v>78</v>
      </c>
      <c r="N478" s="2" t="s">
        <v>66</v>
      </c>
    </row>
    <row r="479" spans="1:14" x14ac:dyDescent="0.5">
      <c r="A479" s="2" t="s">
        <v>70</v>
      </c>
      <c r="B479" s="3">
        <v>21</v>
      </c>
      <c r="C479" s="4" t="s">
        <v>44</v>
      </c>
      <c r="D479" s="2" t="s">
        <v>49</v>
      </c>
      <c r="E479" s="2" t="s">
        <v>42</v>
      </c>
      <c r="F479" s="5">
        <v>0</v>
      </c>
      <c r="G479" s="1">
        <v>0</v>
      </c>
      <c r="H479" s="2">
        <v>2</v>
      </c>
      <c r="I479" s="6">
        <v>1.5277777777777779E-3</v>
      </c>
      <c r="J479" s="2"/>
      <c r="K479" s="2"/>
      <c r="L479" s="2" t="s">
        <v>43</v>
      </c>
      <c r="M479" s="2" t="s">
        <v>77</v>
      </c>
      <c r="N479" s="2" t="s">
        <v>54</v>
      </c>
    </row>
    <row r="480" spans="1:14" x14ac:dyDescent="0.5">
      <c r="A480" s="2" t="s">
        <v>70</v>
      </c>
      <c r="B480" s="3">
        <v>21</v>
      </c>
      <c r="C480" s="4" t="s">
        <v>69</v>
      </c>
      <c r="D480" s="2" t="s">
        <v>16</v>
      </c>
      <c r="E480" s="2" t="s">
        <v>42</v>
      </c>
      <c r="F480" s="5">
        <v>0</v>
      </c>
      <c r="G480" s="1">
        <v>0</v>
      </c>
      <c r="H480" s="2">
        <v>1</v>
      </c>
      <c r="I480" s="6">
        <v>1.5277777777777779E-3</v>
      </c>
      <c r="J480" s="2"/>
      <c r="K480" s="2"/>
      <c r="L480" s="2" t="s">
        <v>43</v>
      </c>
      <c r="M480" s="2" t="s">
        <v>78</v>
      </c>
      <c r="N480" s="2" t="s">
        <v>53</v>
      </c>
    </row>
    <row r="481" spans="1:14" x14ac:dyDescent="0.5">
      <c r="A481" s="2" t="s">
        <v>70</v>
      </c>
      <c r="B481" s="3">
        <v>14</v>
      </c>
      <c r="C481" s="4" t="s">
        <v>58</v>
      </c>
      <c r="D481" s="2" t="s">
        <v>38</v>
      </c>
      <c r="E481" s="2" t="s">
        <v>42</v>
      </c>
      <c r="F481" s="5">
        <v>0</v>
      </c>
      <c r="G481" s="1">
        <v>0</v>
      </c>
      <c r="H481" s="2">
        <v>4</v>
      </c>
      <c r="I481" s="6">
        <v>1.5277777777777779E-3</v>
      </c>
      <c r="J481" s="2"/>
      <c r="K481" s="2"/>
      <c r="L481" s="2" t="s">
        <v>33</v>
      </c>
      <c r="M481" s="2" t="s">
        <v>76</v>
      </c>
      <c r="N481" s="2" t="s">
        <v>52</v>
      </c>
    </row>
    <row r="482" spans="1:14" x14ac:dyDescent="0.5">
      <c r="A482" s="2" t="s">
        <v>70</v>
      </c>
      <c r="B482" s="3">
        <v>3</v>
      </c>
      <c r="C482" s="4" t="s">
        <v>59</v>
      </c>
      <c r="D482" s="2" t="s">
        <v>16</v>
      </c>
      <c r="E482" s="2" t="s">
        <v>45</v>
      </c>
      <c r="F482" s="5">
        <v>0</v>
      </c>
      <c r="G482" s="1">
        <v>0</v>
      </c>
      <c r="H482" s="2">
        <v>1</v>
      </c>
      <c r="I482" s="6">
        <v>1.5277777777777779E-3</v>
      </c>
      <c r="J482" s="2"/>
      <c r="K482" s="2"/>
      <c r="L482" s="2" t="s">
        <v>51</v>
      </c>
      <c r="M482" s="2" t="s">
        <v>76</v>
      </c>
      <c r="N482" s="2" t="s">
        <v>26</v>
      </c>
    </row>
    <row r="483" spans="1:14" x14ac:dyDescent="0.5">
      <c r="A483" s="2" t="s">
        <v>70</v>
      </c>
      <c r="B483" s="3">
        <v>8</v>
      </c>
      <c r="C483" s="4" t="s">
        <v>60</v>
      </c>
      <c r="D483" s="2" t="s">
        <v>16</v>
      </c>
      <c r="E483" s="2" t="s">
        <v>45</v>
      </c>
      <c r="F483" s="5">
        <v>0</v>
      </c>
      <c r="G483" s="1">
        <v>0</v>
      </c>
      <c r="H483" s="2">
        <v>2</v>
      </c>
      <c r="I483" s="6">
        <v>1.5277777777777779E-3</v>
      </c>
      <c r="J483" s="2"/>
      <c r="K483" s="2"/>
      <c r="L483" s="2" t="s">
        <v>33</v>
      </c>
      <c r="M483" s="2" t="s">
        <v>78</v>
      </c>
      <c r="N483" s="2" t="s">
        <v>63</v>
      </c>
    </row>
    <row r="484" spans="1:14" x14ac:dyDescent="0.5">
      <c r="A484" s="2" t="s">
        <v>14</v>
      </c>
      <c r="B484" s="3">
        <v>11</v>
      </c>
      <c r="C484" s="4" t="s">
        <v>55</v>
      </c>
      <c r="D484" s="2" t="s">
        <v>38</v>
      </c>
      <c r="E484" s="2" t="s">
        <v>68</v>
      </c>
      <c r="F484" s="5">
        <v>3</v>
      </c>
      <c r="G484" s="1">
        <v>15000000</v>
      </c>
      <c r="H484" s="2">
        <v>2</v>
      </c>
      <c r="I484" s="6">
        <v>1.5972222222222221E-3</v>
      </c>
      <c r="J484" s="2" t="s">
        <v>18</v>
      </c>
      <c r="K484" s="2" t="s">
        <v>19</v>
      </c>
      <c r="L484" s="2" t="s">
        <v>51</v>
      </c>
      <c r="M484" s="2" t="s">
        <v>77</v>
      </c>
      <c r="N484" s="2" t="s">
        <v>54</v>
      </c>
    </row>
    <row r="485" spans="1:14" x14ac:dyDescent="0.5">
      <c r="A485" s="2" t="s">
        <v>14</v>
      </c>
      <c r="B485" s="3">
        <v>30</v>
      </c>
      <c r="C485" s="4" t="s">
        <v>27</v>
      </c>
      <c r="D485" s="2" t="s">
        <v>49</v>
      </c>
      <c r="E485" s="2" t="s">
        <v>42</v>
      </c>
      <c r="F485" s="5">
        <v>5</v>
      </c>
      <c r="G485" s="1">
        <v>25000000</v>
      </c>
      <c r="H485" s="2">
        <v>2</v>
      </c>
      <c r="I485" s="6">
        <v>1.5972222222222221E-3</v>
      </c>
      <c r="J485" s="2" t="s">
        <v>18</v>
      </c>
      <c r="K485" s="2" t="s">
        <v>39</v>
      </c>
      <c r="L485" s="2" t="s">
        <v>30</v>
      </c>
      <c r="M485" s="2" t="s">
        <v>76</v>
      </c>
      <c r="N485" s="2" t="s">
        <v>31</v>
      </c>
    </row>
    <row r="486" spans="1:14" x14ac:dyDescent="0.5">
      <c r="A486" s="2" t="s">
        <v>14</v>
      </c>
      <c r="B486" s="3">
        <v>1</v>
      </c>
      <c r="C486" s="4" t="s">
        <v>37</v>
      </c>
      <c r="D486" s="2" t="s">
        <v>49</v>
      </c>
      <c r="E486" s="2" t="s">
        <v>42</v>
      </c>
      <c r="F486" s="5">
        <v>4</v>
      </c>
      <c r="G486" s="1">
        <v>11000000</v>
      </c>
      <c r="H486" s="2">
        <v>2</v>
      </c>
      <c r="I486" s="6">
        <v>1.5972222222222221E-3</v>
      </c>
      <c r="J486" s="2" t="s">
        <v>61</v>
      </c>
      <c r="K486" s="2" t="s">
        <v>35</v>
      </c>
      <c r="L486" s="2" t="s">
        <v>51</v>
      </c>
      <c r="M486" s="2" t="s">
        <v>78</v>
      </c>
      <c r="N486" s="2" t="s">
        <v>63</v>
      </c>
    </row>
    <row r="487" spans="1:14" x14ac:dyDescent="0.5">
      <c r="A487" s="2" t="s">
        <v>14</v>
      </c>
      <c r="B487" s="3">
        <v>28</v>
      </c>
      <c r="C487" s="4" t="s">
        <v>37</v>
      </c>
      <c r="D487" s="2" t="s">
        <v>49</v>
      </c>
      <c r="E487" s="2" t="s">
        <v>42</v>
      </c>
      <c r="F487" s="5">
        <v>2</v>
      </c>
      <c r="G487" s="1">
        <v>12000000</v>
      </c>
      <c r="H487" s="2">
        <v>1</v>
      </c>
      <c r="I487" s="6">
        <v>1.5972222222222221E-3</v>
      </c>
      <c r="J487" s="2" t="s">
        <v>18</v>
      </c>
      <c r="K487" s="2" t="s">
        <v>64</v>
      </c>
      <c r="L487" s="2" t="s">
        <v>30</v>
      </c>
      <c r="M487" s="2" t="s">
        <v>78</v>
      </c>
      <c r="N487" s="2" t="s">
        <v>62</v>
      </c>
    </row>
    <row r="488" spans="1:14" x14ac:dyDescent="0.5">
      <c r="A488" s="2" t="s">
        <v>14</v>
      </c>
      <c r="B488" s="3">
        <v>4</v>
      </c>
      <c r="C488" s="4" t="s">
        <v>44</v>
      </c>
      <c r="D488" s="2" t="s">
        <v>16</v>
      </c>
      <c r="E488" s="2" t="s">
        <v>42</v>
      </c>
      <c r="F488" s="5">
        <v>2</v>
      </c>
      <c r="G488" s="1">
        <v>12000000</v>
      </c>
      <c r="H488" s="2">
        <v>5</v>
      </c>
      <c r="I488" s="6">
        <v>1.5972222222222221E-3</v>
      </c>
      <c r="J488" s="2" t="s">
        <v>18</v>
      </c>
      <c r="K488" s="2" t="s">
        <v>47</v>
      </c>
      <c r="L488" s="2" t="s">
        <v>51</v>
      </c>
      <c r="M488" s="2" t="s">
        <v>78</v>
      </c>
      <c r="N488" s="2" t="s">
        <v>21</v>
      </c>
    </row>
    <row r="489" spans="1:14" x14ac:dyDescent="0.5">
      <c r="A489" s="2" t="s">
        <v>14</v>
      </c>
      <c r="B489" s="3">
        <v>19</v>
      </c>
      <c r="C489" s="4" t="s">
        <v>44</v>
      </c>
      <c r="D489" s="2" t="s">
        <v>49</v>
      </c>
      <c r="E489" s="2" t="s">
        <v>42</v>
      </c>
      <c r="F489" s="5">
        <v>5</v>
      </c>
      <c r="G489" s="1">
        <v>21000000</v>
      </c>
      <c r="H489" s="2">
        <v>1</v>
      </c>
      <c r="I489" s="6">
        <v>1.5972222222222221E-3</v>
      </c>
      <c r="J489" s="2" t="s">
        <v>18</v>
      </c>
      <c r="K489" s="2" t="s">
        <v>39</v>
      </c>
      <c r="L489" s="2" t="s">
        <v>33</v>
      </c>
      <c r="M489" s="2" t="s">
        <v>76</v>
      </c>
      <c r="N489" s="2" t="s">
        <v>52</v>
      </c>
    </row>
    <row r="490" spans="1:14" x14ac:dyDescent="0.5">
      <c r="A490" s="2" t="s">
        <v>14</v>
      </c>
      <c r="B490" s="3">
        <v>8</v>
      </c>
      <c r="C490" s="4" t="s">
        <v>44</v>
      </c>
      <c r="D490" s="2" t="s">
        <v>16</v>
      </c>
      <c r="E490" s="2" t="s">
        <v>17</v>
      </c>
      <c r="F490" s="5">
        <v>4</v>
      </c>
      <c r="G490" s="1">
        <v>20000000</v>
      </c>
      <c r="H490" s="2">
        <v>1</v>
      </c>
      <c r="I490" s="6">
        <v>1.5972222222222221E-3</v>
      </c>
      <c r="J490" s="2" t="s">
        <v>18</v>
      </c>
      <c r="K490" s="2" t="s">
        <v>56</v>
      </c>
      <c r="L490" s="2" t="s">
        <v>48</v>
      </c>
      <c r="M490" s="2" t="s">
        <v>66</v>
      </c>
      <c r="N490" s="2" t="s">
        <v>36</v>
      </c>
    </row>
    <row r="491" spans="1:14" x14ac:dyDescent="0.5">
      <c r="A491" s="2" t="s">
        <v>14</v>
      </c>
      <c r="B491" s="3">
        <v>13</v>
      </c>
      <c r="C491" s="4" t="s">
        <v>69</v>
      </c>
      <c r="D491" s="2" t="s">
        <v>32</v>
      </c>
      <c r="E491" s="2" t="s">
        <v>42</v>
      </c>
      <c r="F491" s="5">
        <v>1</v>
      </c>
      <c r="G491" s="1">
        <v>19000000</v>
      </c>
      <c r="H491" s="2">
        <v>3</v>
      </c>
      <c r="I491" s="6">
        <v>1.5972222222222221E-3</v>
      </c>
      <c r="J491" s="2" t="s">
        <v>46</v>
      </c>
      <c r="K491" s="2" t="s">
        <v>19</v>
      </c>
      <c r="L491" s="2" t="s">
        <v>25</v>
      </c>
      <c r="M491" s="2" t="s">
        <v>66</v>
      </c>
      <c r="N491" s="2" t="s">
        <v>36</v>
      </c>
    </row>
    <row r="492" spans="1:14" x14ac:dyDescent="0.5">
      <c r="A492" s="2" t="s">
        <v>14</v>
      </c>
      <c r="B492" s="3">
        <v>16</v>
      </c>
      <c r="C492" s="4" t="s">
        <v>69</v>
      </c>
      <c r="D492" s="2" t="s">
        <v>16</v>
      </c>
      <c r="E492" s="2" t="s">
        <v>17</v>
      </c>
      <c r="F492" s="5">
        <v>3</v>
      </c>
      <c r="G492" s="1">
        <v>15000000</v>
      </c>
      <c r="H492" s="2">
        <v>3</v>
      </c>
      <c r="I492" s="6">
        <v>1.5972222222222221E-3</v>
      </c>
      <c r="J492" s="2" t="s">
        <v>18</v>
      </c>
      <c r="K492" s="2" t="s">
        <v>64</v>
      </c>
      <c r="L492" s="2" t="s">
        <v>40</v>
      </c>
      <c r="M492" s="2" t="s">
        <v>78</v>
      </c>
      <c r="N492" s="2" t="s">
        <v>21</v>
      </c>
    </row>
    <row r="493" spans="1:14" x14ac:dyDescent="0.5">
      <c r="A493" s="2" t="s">
        <v>14</v>
      </c>
      <c r="B493" s="3">
        <v>11</v>
      </c>
      <c r="C493" s="4" t="s">
        <v>55</v>
      </c>
      <c r="D493" s="2" t="s">
        <v>38</v>
      </c>
      <c r="E493" s="2" t="s">
        <v>68</v>
      </c>
      <c r="F493" s="5">
        <v>3</v>
      </c>
      <c r="G493" s="1">
        <v>15000000</v>
      </c>
      <c r="H493" s="2">
        <v>2</v>
      </c>
      <c r="I493" s="6">
        <v>1.5972222222222221E-3</v>
      </c>
      <c r="J493" s="2" t="s">
        <v>18</v>
      </c>
      <c r="K493" s="2" t="s">
        <v>19</v>
      </c>
      <c r="L493" s="2" t="s">
        <v>51</v>
      </c>
      <c r="M493" s="2" t="s">
        <v>77</v>
      </c>
      <c r="N493" s="2" t="s">
        <v>54</v>
      </c>
    </row>
    <row r="494" spans="1:14" x14ac:dyDescent="0.5">
      <c r="A494" s="2" t="s">
        <v>70</v>
      </c>
      <c r="B494" s="3">
        <v>11</v>
      </c>
      <c r="C494" s="4" t="s">
        <v>55</v>
      </c>
      <c r="D494" s="2" t="s">
        <v>73</v>
      </c>
      <c r="E494" s="2" t="s">
        <v>42</v>
      </c>
      <c r="F494" s="5">
        <v>0</v>
      </c>
      <c r="G494" s="1">
        <v>0</v>
      </c>
      <c r="H494" s="2">
        <v>4</v>
      </c>
      <c r="I494" s="6">
        <v>1.5972222222222221E-3</v>
      </c>
      <c r="J494" s="2"/>
      <c r="K494" s="2"/>
      <c r="L494" s="2" t="s">
        <v>33</v>
      </c>
      <c r="M494" s="2" t="s">
        <v>78</v>
      </c>
      <c r="N494" s="2" t="s">
        <v>63</v>
      </c>
    </row>
    <row r="495" spans="1:14" x14ac:dyDescent="0.5">
      <c r="A495" s="2" t="s">
        <v>70</v>
      </c>
      <c r="B495" s="3">
        <v>12</v>
      </c>
      <c r="C495" s="4" t="s">
        <v>58</v>
      </c>
      <c r="D495" s="2" t="s">
        <v>16</v>
      </c>
      <c r="E495" s="2" t="s">
        <v>68</v>
      </c>
      <c r="F495" s="5">
        <v>0</v>
      </c>
      <c r="G495" s="1">
        <v>0</v>
      </c>
      <c r="H495" s="2">
        <v>4</v>
      </c>
      <c r="I495" s="6">
        <v>1.5972222222222221E-3</v>
      </c>
      <c r="J495" s="2"/>
      <c r="K495" s="2"/>
      <c r="L495" s="2" t="s">
        <v>20</v>
      </c>
      <c r="M495" s="2" t="s">
        <v>76</v>
      </c>
      <c r="N495" s="2" t="s">
        <v>52</v>
      </c>
    </row>
    <row r="496" spans="1:14" x14ac:dyDescent="0.5">
      <c r="A496" s="2" t="s">
        <v>70</v>
      </c>
      <c r="B496" s="3">
        <v>30</v>
      </c>
      <c r="C496" s="4" t="s">
        <v>59</v>
      </c>
      <c r="D496" s="2" t="s">
        <v>28</v>
      </c>
      <c r="E496" s="2" t="s">
        <v>42</v>
      </c>
      <c r="F496" s="5">
        <v>0</v>
      </c>
      <c r="G496" s="1">
        <v>0</v>
      </c>
      <c r="H496" s="2">
        <v>3</v>
      </c>
      <c r="I496" s="6">
        <v>1.5972222222222221E-3</v>
      </c>
      <c r="J496" s="2"/>
      <c r="K496" s="2"/>
      <c r="L496" s="2" t="s">
        <v>43</v>
      </c>
      <c r="M496" s="2" t="s">
        <v>77</v>
      </c>
      <c r="N496" s="2" t="s">
        <v>65</v>
      </c>
    </row>
    <row r="497" spans="1:14" x14ac:dyDescent="0.5">
      <c r="A497" s="2" t="s">
        <v>70</v>
      </c>
      <c r="B497" s="3">
        <v>6</v>
      </c>
      <c r="C497" s="4" t="s">
        <v>69</v>
      </c>
      <c r="D497" s="2" t="s">
        <v>28</v>
      </c>
      <c r="E497" s="2" t="s">
        <v>42</v>
      </c>
      <c r="F497" s="5">
        <v>0</v>
      </c>
      <c r="G497" s="1">
        <v>0</v>
      </c>
      <c r="H497" s="2">
        <v>2</v>
      </c>
      <c r="I497" s="6">
        <v>1.5972222222222221E-3</v>
      </c>
      <c r="J497" s="2"/>
      <c r="K497" s="2"/>
      <c r="L497" s="2" t="s">
        <v>48</v>
      </c>
      <c r="M497" s="2" t="s">
        <v>76</v>
      </c>
      <c r="N497" s="2" t="s">
        <v>71</v>
      </c>
    </row>
    <row r="498" spans="1:14" x14ac:dyDescent="0.5">
      <c r="A498" s="2" t="s">
        <v>70</v>
      </c>
      <c r="B498" s="3">
        <v>11</v>
      </c>
      <c r="C498" s="4" t="s">
        <v>55</v>
      </c>
      <c r="D498" s="2" t="s">
        <v>73</v>
      </c>
      <c r="E498" s="2" t="s">
        <v>42</v>
      </c>
      <c r="F498" s="5">
        <v>0</v>
      </c>
      <c r="G498" s="1">
        <v>0</v>
      </c>
      <c r="H498" s="2">
        <v>4</v>
      </c>
      <c r="I498" s="6">
        <v>1.5972222222222221E-3</v>
      </c>
      <c r="J498" s="2"/>
      <c r="K498" s="2"/>
      <c r="L498" s="2" t="s">
        <v>33</v>
      </c>
      <c r="M498" s="2" t="s">
        <v>78</v>
      </c>
      <c r="N498" s="2" t="s">
        <v>63</v>
      </c>
    </row>
    <row r="499" spans="1:14" x14ac:dyDescent="0.5">
      <c r="A499" s="2" t="s">
        <v>70</v>
      </c>
      <c r="B499" s="3">
        <v>12</v>
      </c>
      <c r="C499" s="4" t="s">
        <v>58</v>
      </c>
      <c r="D499" s="2" t="s">
        <v>16</v>
      </c>
      <c r="E499" s="2" t="s">
        <v>68</v>
      </c>
      <c r="F499" s="5">
        <v>0</v>
      </c>
      <c r="G499" s="1">
        <v>0</v>
      </c>
      <c r="H499" s="2">
        <v>4</v>
      </c>
      <c r="I499" s="6">
        <v>1.5972222222222221E-3</v>
      </c>
      <c r="J499" s="2"/>
      <c r="K499" s="2"/>
      <c r="L499" s="2" t="s">
        <v>20</v>
      </c>
      <c r="M499" s="2" t="s">
        <v>76</v>
      </c>
      <c r="N499" s="2" t="s">
        <v>52</v>
      </c>
    </row>
    <row r="500" spans="1:14" x14ac:dyDescent="0.5">
      <c r="A500" s="2" t="s">
        <v>70</v>
      </c>
      <c r="B500" s="3">
        <v>30</v>
      </c>
      <c r="C500" s="4" t="s">
        <v>59</v>
      </c>
      <c r="D500" s="2" t="s">
        <v>28</v>
      </c>
      <c r="E500" s="2" t="s">
        <v>42</v>
      </c>
      <c r="F500" s="5">
        <v>0</v>
      </c>
      <c r="G500" s="1">
        <v>0</v>
      </c>
      <c r="H500" s="2">
        <v>3</v>
      </c>
      <c r="I500" s="6">
        <v>1.5972222222222221E-3</v>
      </c>
      <c r="J500" s="2"/>
      <c r="K500" s="2"/>
      <c r="L500" s="2" t="s">
        <v>43</v>
      </c>
      <c r="M500" s="2" t="s">
        <v>77</v>
      </c>
      <c r="N500" s="2" t="s">
        <v>65</v>
      </c>
    </row>
    <row r="501" spans="1:14" x14ac:dyDescent="0.5">
      <c r="A501" s="2" t="s">
        <v>14</v>
      </c>
      <c r="B501" s="3">
        <v>15</v>
      </c>
      <c r="C501" s="4" t="s">
        <v>55</v>
      </c>
      <c r="D501" s="2" t="s">
        <v>38</v>
      </c>
      <c r="E501" s="2" t="s">
        <v>42</v>
      </c>
      <c r="F501" s="5">
        <v>4</v>
      </c>
      <c r="G501" s="1">
        <v>20000000</v>
      </c>
      <c r="H501" s="2">
        <v>3</v>
      </c>
      <c r="I501" s="6">
        <v>1.6782407407407406E-3</v>
      </c>
      <c r="J501" s="2" t="s">
        <v>61</v>
      </c>
      <c r="K501" s="2" t="s">
        <v>35</v>
      </c>
      <c r="L501" s="2" t="s">
        <v>51</v>
      </c>
      <c r="M501" s="2" t="s">
        <v>78</v>
      </c>
      <c r="N501" s="2" t="s">
        <v>41</v>
      </c>
    </row>
    <row r="502" spans="1:14" x14ac:dyDescent="0.5">
      <c r="A502" s="2" t="s">
        <v>14</v>
      </c>
      <c r="B502" s="3">
        <v>1</v>
      </c>
      <c r="C502" s="4" t="s">
        <v>59</v>
      </c>
      <c r="D502" s="2" t="s">
        <v>38</v>
      </c>
      <c r="E502" s="2" t="s">
        <v>42</v>
      </c>
      <c r="F502" s="5">
        <v>2</v>
      </c>
      <c r="G502" s="1">
        <v>38000000</v>
      </c>
      <c r="H502" s="2">
        <v>2</v>
      </c>
      <c r="I502" s="6">
        <v>1.6782407407407406E-3</v>
      </c>
      <c r="J502" s="2" t="s">
        <v>46</v>
      </c>
      <c r="K502" s="2" t="s">
        <v>24</v>
      </c>
      <c r="L502" s="2" t="s">
        <v>30</v>
      </c>
      <c r="M502" s="2" t="s">
        <v>77</v>
      </c>
      <c r="N502" s="2" t="s">
        <v>34</v>
      </c>
    </row>
    <row r="503" spans="1:14" x14ac:dyDescent="0.5">
      <c r="A503" s="2" t="s">
        <v>14</v>
      </c>
      <c r="B503" s="3">
        <v>1</v>
      </c>
      <c r="C503" s="4" t="s">
        <v>59</v>
      </c>
      <c r="D503" s="2" t="s">
        <v>32</v>
      </c>
      <c r="E503" s="2" t="s">
        <v>23</v>
      </c>
      <c r="F503" s="5">
        <v>2</v>
      </c>
      <c r="G503" s="1">
        <v>12000000</v>
      </c>
      <c r="H503" s="2">
        <v>3</v>
      </c>
      <c r="I503" s="6">
        <v>1.6782407407407406E-3</v>
      </c>
      <c r="J503" s="2" t="s">
        <v>18</v>
      </c>
      <c r="K503" s="2" t="s">
        <v>29</v>
      </c>
      <c r="L503" s="2" t="s">
        <v>48</v>
      </c>
      <c r="M503" s="2" t="s">
        <v>78</v>
      </c>
      <c r="N503" s="2" t="s">
        <v>53</v>
      </c>
    </row>
    <row r="504" spans="1:14" x14ac:dyDescent="0.5">
      <c r="A504" s="2" t="s">
        <v>14</v>
      </c>
      <c r="B504" s="3">
        <v>20</v>
      </c>
      <c r="C504" s="4" t="s">
        <v>59</v>
      </c>
      <c r="D504" s="2" t="s">
        <v>32</v>
      </c>
      <c r="E504" s="2" t="s">
        <v>45</v>
      </c>
      <c r="F504" s="5">
        <v>3</v>
      </c>
      <c r="G504" s="1">
        <v>15000000</v>
      </c>
      <c r="H504" s="2">
        <v>2</v>
      </c>
      <c r="I504" s="6">
        <v>1.6782407407407406E-3</v>
      </c>
      <c r="J504" s="2" t="s">
        <v>18</v>
      </c>
      <c r="K504" s="2" t="s">
        <v>39</v>
      </c>
      <c r="L504" s="2" t="s">
        <v>51</v>
      </c>
      <c r="M504" s="2" t="s">
        <v>78</v>
      </c>
      <c r="N504" s="2" t="s">
        <v>41</v>
      </c>
    </row>
    <row r="505" spans="1:14" x14ac:dyDescent="0.5">
      <c r="A505" s="2" t="s">
        <v>14</v>
      </c>
      <c r="B505" s="3">
        <v>10</v>
      </c>
      <c r="C505" s="4" t="s">
        <v>27</v>
      </c>
      <c r="D505" s="2" t="s">
        <v>32</v>
      </c>
      <c r="E505" s="2" t="s">
        <v>42</v>
      </c>
      <c r="F505" s="5">
        <v>1</v>
      </c>
      <c r="G505" s="1">
        <v>19000000</v>
      </c>
      <c r="H505" s="2">
        <v>3</v>
      </c>
      <c r="I505" s="6">
        <v>1.6782407407407406E-3</v>
      </c>
      <c r="J505" s="2" t="s">
        <v>46</v>
      </c>
      <c r="K505" s="2" t="s">
        <v>56</v>
      </c>
      <c r="L505" s="2" t="s">
        <v>25</v>
      </c>
      <c r="M505" s="2" t="s">
        <v>76</v>
      </c>
      <c r="N505" s="2" t="s">
        <v>52</v>
      </c>
    </row>
    <row r="506" spans="1:14" x14ac:dyDescent="0.5">
      <c r="A506" s="2" t="s">
        <v>14</v>
      </c>
      <c r="B506" s="3">
        <v>14</v>
      </c>
      <c r="C506" s="4" t="s">
        <v>27</v>
      </c>
      <c r="D506" s="2" t="s">
        <v>38</v>
      </c>
      <c r="E506" s="2" t="s">
        <v>17</v>
      </c>
      <c r="F506" s="5">
        <v>3</v>
      </c>
      <c r="G506" s="1">
        <v>11000000</v>
      </c>
      <c r="H506" s="2">
        <v>2</v>
      </c>
      <c r="I506" s="6">
        <v>1.6782407407407406E-3</v>
      </c>
      <c r="J506" s="2" t="s">
        <v>18</v>
      </c>
      <c r="K506" s="2" t="s">
        <v>29</v>
      </c>
      <c r="L506" s="2" t="s">
        <v>33</v>
      </c>
      <c r="M506" s="2" t="s">
        <v>78</v>
      </c>
      <c r="N506" s="2" t="s">
        <v>66</v>
      </c>
    </row>
    <row r="507" spans="1:14" x14ac:dyDescent="0.5">
      <c r="A507" s="2" t="s">
        <v>14</v>
      </c>
      <c r="B507" s="3">
        <v>1</v>
      </c>
      <c r="C507" s="4" t="s">
        <v>37</v>
      </c>
      <c r="D507" s="2" t="s">
        <v>32</v>
      </c>
      <c r="E507" s="2" t="s">
        <v>23</v>
      </c>
      <c r="F507" s="5">
        <v>1</v>
      </c>
      <c r="G507" s="1">
        <v>19000000</v>
      </c>
      <c r="H507" s="2">
        <v>1</v>
      </c>
      <c r="I507" s="6">
        <v>1.6782407407407406E-3</v>
      </c>
      <c r="J507" s="2" t="s">
        <v>46</v>
      </c>
      <c r="K507" s="2" t="s">
        <v>39</v>
      </c>
      <c r="L507" s="2" t="s">
        <v>30</v>
      </c>
      <c r="M507" s="2" t="s">
        <v>76</v>
      </c>
      <c r="N507" s="2" t="s">
        <v>71</v>
      </c>
    </row>
    <row r="508" spans="1:14" x14ac:dyDescent="0.5">
      <c r="A508" s="2" t="s">
        <v>14</v>
      </c>
      <c r="B508" s="3">
        <v>11</v>
      </c>
      <c r="C508" s="4" t="s">
        <v>37</v>
      </c>
      <c r="D508" s="2" t="s">
        <v>16</v>
      </c>
      <c r="E508" s="2" t="s">
        <v>23</v>
      </c>
      <c r="F508" s="5">
        <v>5</v>
      </c>
      <c r="G508" s="1">
        <v>21000000</v>
      </c>
      <c r="H508" s="2">
        <v>1</v>
      </c>
      <c r="I508" s="6">
        <v>1.6782407407407406E-3</v>
      </c>
      <c r="J508" s="2" t="s">
        <v>18</v>
      </c>
      <c r="K508" s="2" t="s">
        <v>19</v>
      </c>
      <c r="L508" s="2" t="s">
        <v>30</v>
      </c>
      <c r="M508" s="2" t="s">
        <v>78</v>
      </c>
      <c r="N508" s="2" t="s">
        <v>66</v>
      </c>
    </row>
    <row r="509" spans="1:14" x14ac:dyDescent="0.5">
      <c r="A509" s="2" t="s">
        <v>14</v>
      </c>
      <c r="B509" s="3">
        <v>15</v>
      </c>
      <c r="C509" s="4" t="s">
        <v>37</v>
      </c>
      <c r="D509" s="2" t="s">
        <v>16</v>
      </c>
      <c r="E509" s="2" t="s">
        <v>42</v>
      </c>
      <c r="F509" s="5">
        <v>2</v>
      </c>
      <c r="G509" s="1">
        <v>10000000</v>
      </c>
      <c r="H509" s="2">
        <v>4</v>
      </c>
      <c r="I509" s="6">
        <v>1.6782407407407406E-3</v>
      </c>
      <c r="J509" s="2" t="s">
        <v>18</v>
      </c>
      <c r="K509" s="2" t="s">
        <v>47</v>
      </c>
      <c r="L509" s="2" t="s">
        <v>51</v>
      </c>
      <c r="M509" s="2" t="s">
        <v>66</v>
      </c>
      <c r="N509" s="2" t="s">
        <v>67</v>
      </c>
    </row>
    <row r="510" spans="1:14" x14ac:dyDescent="0.5">
      <c r="A510" s="2" t="s">
        <v>14</v>
      </c>
      <c r="B510" s="3">
        <v>29</v>
      </c>
      <c r="C510" s="4" t="s">
        <v>37</v>
      </c>
      <c r="D510" s="2" t="s">
        <v>16</v>
      </c>
      <c r="E510" s="2" t="s">
        <v>42</v>
      </c>
      <c r="F510" s="5">
        <v>3</v>
      </c>
      <c r="G510" s="1">
        <v>15000000</v>
      </c>
      <c r="H510" s="2">
        <v>1</v>
      </c>
      <c r="I510" s="6">
        <v>1.6782407407407406E-3</v>
      </c>
      <c r="J510" s="2" t="s">
        <v>18</v>
      </c>
      <c r="K510" s="2" t="s">
        <v>39</v>
      </c>
      <c r="L510" s="2" t="s">
        <v>20</v>
      </c>
      <c r="M510" s="2" t="s">
        <v>78</v>
      </c>
      <c r="N510" s="2" t="s">
        <v>66</v>
      </c>
    </row>
    <row r="511" spans="1:14" x14ac:dyDescent="0.5">
      <c r="A511" s="2" t="s">
        <v>14</v>
      </c>
      <c r="B511" s="3">
        <v>8</v>
      </c>
      <c r="C511" s="4" t="s">
        <v>37</v>
      </c>
      <c r="D511" s="2" t="s">
        <v>32</v>
      </c>
      <c r="E511" s="2" t="s">
        <v>42</v>
      </c>
      <c r="F511" s="5">
        <v>2</v>
      </c>
      <c r="G511" s="1">
        <v>12000000</v>
      </c>
      <c r="H511" s="2">
        <v>5</v>
      </c>
      <c r="I511" s="6">
        <v>1.6782407407407406E-3</v>
      </c>
      <c r="J511" s="2" t="s">
        <v>18</v>
      </c>
      <c r="K511" s="2" t="s">
        <v>50</v>
      </c>
      <c r="L511" s="2" t="s">
        <v>25</v>
      </c>
      <c r="M511" s="2" t="s">
        <v>76</v>
      </c>
      <c r="N511" s="2" t="s">
        <v>52</v>
      </c>
    </row>
    <row r="512" spans="1:14" x14ac:dyDescent="0.5">
      <c r="A512" s="2" t="s">
        <v>14</v>
      </c>
      <c r="B512" s="3">
        <v>8</v>
      </c>
      <c r="C512" s="4" t="s">
        <v>37</v>
      </c>
      <c r="D512" s="2" t="s">
        <v>38</v>
      </c>
      <c r="E512" s="2" t="s">
        <v>17</v>
      </c>
      <c r="F512" s="5">
        <v>5</v>
      </c>
      <c r="G512" s="1">
        <v>25000000</v>
      </c>
      <c r="H512" s="2">
        <v>3</v>
      </c>
      <c r="I512" s="6">
        <v>1.6782407407407406E-3</v>
      </c>
      <c r="J512" s="2" t="s">
        <v>18</v>
      </c>
      <c r="K512" s="2" t="s">
        <v>39</v>
      </c>
      <c r="L512" s="2" t="s">
        <v>48</v>
      </c>
      <c r="M512" s="2" t="s">
        <v>76</v>
      </c>
      <c r="N512" s="2" t="s">
        <v>52</v>
      </c>
    </row>
    <row r="513" spans="1:14" x14ac:dyDescent="0.5">
      <c r="A513" s="2" t="s">
        <v>14</v>
      </c>
      <c r="B513" s="3">
        <v>10</v>
      </c>
      <c r="C513" s="4" t="s">
        <v>44</v>
      </c>
      <c r="D513" s="2" t="s">
        <v>38</v>
      </c>
      <c r="E513" s="2" t="s">
        <v>23</v>
      </c>
      <c r="F513" s="5">
        <v>1</v>
      </c>
      <c r="G513" s="1">
        <v>7000000</v>
      </c>
      <c r="H513" s="2">
        <v>6</v>
      </c>
      <c r="I513" s="6">
        <v>1.6782407407407406E-3</v>
      </c>
      <c r="J513" s="2" t="s">
        <v>18</v>
      </c>
      <c r="K513" s="2" t="s">
        <v>19</v>
      </c>
      <c r="L513" s="2" t="s">
        <v>43</v>
      </c>
      <c r="M513" s="2" t="s">
        <v>77</v>
      </c>
      <c r="N513" s="2" t="s">
        <v>65</v>
      </c>
    </row>
    <row r="514" spans="1:14" x14ac:dyDescent="0.5">
      <c r="A514" s="2" t="s">
        <v>14</v>
      </c>
      <c r="B514" s="3">
        <v>11</v>
      </c>
      <c r="C514" s="4" t="s">
        <v>44</v>
      </c>
      <c r="D514" s="2" t="s">
        <v>28</v>
      </c>
      <c r="E514" s="2" t="s">
        <v>23</v>
      </c>
      <c r="F514" s="5">
        <v>4</v>
      </c>
      <c r="G514" s="1">
        <v>20000000</v>
      </c>
      <c r="H514" s="2">
        <v>2</v>
      </c>
      <c r="I514" s="6">
        <v>1.6782407407407406E-3</v>
      </c>
      <c r="J514" s="2" t="s">
        <v>18</v>
      </c>
      <c r="K514" s="2" t="s">
        <v>47</v>
      </c>
      <c r="L514" s="2" t="s">
        <v>33</v>
      </c>
      <c r="M514" s="2" t="s">
        <v>76</v>
      </c>
      <c r="N514" s="2" t="s">
        <v>31</v>
      </c>
    </row>
    <row r="515" spans="1:14" x14ac:dyDescent="0.5">
      <c r="A515" s="2" t="s">
        <v>14</v>
      </c>
      <c r="B515" s="3">
        <v>22</v>
      </c>
      <c r="C515" s="4" t="s">
        <v>44</v>
      </c>
      <c r="D515" s="2" t="s">
        <v>73</v>
      </c>
      <c r="E515" s="2" t="s">
        <v>17</v>
      </c>
      <c r="F515" s="5">
        <v>2</v>
      </c>
      <c r="G515" s="1">
        <v>12000000</v>
      </c>
      <c r="H515" s="2">
        <v>2</v>
      </c>
      <c r="I515" s="6">
        <v>1.6782407407407406E-3</v>
      </c>
      <c r="J515" s="2" t="s">
        <v>18</v>
      </c>
      <c r="K515" s="2" t="s">
        <v>56</v>
      </c>
      <c r="L515" s="2" t="s">
        <v>33</v>
      </c>
      <c r="M515" s="2" t="s">
        <v>76</v>
      </c>
      <c r="N515" s="2" t="s">
        <v>26</v>
      </c>
    </row>
    <row r="516" spans="1:14" x14ac:dyDescent="0.5">
      <c r="A516" s="2" t="s">
        <v>14</v>
      </c>
      <c r="B516" s="3">
        <v>18</v>
      </c>
      <c r="C516" s="4" t="s">
        <v>44</v>
      </c>
      <c r="D516" s="2" t="s">
        <v>32</v>
      </c>
      <c r="E516" s="2" t="s">
        <v>68</v>
      </c>
      <c r="F516" s="5">
        <v>5</v>
      </c>
      <c r="G516" s="1">
        <v>25000000</v>
      </c>
      <c r="H516" s="2">
        <v>4</v>
      </c>
      <c r="I516" s="6">
        <v>1.6782407407407406E-3</v>
      </c>
      <c r="J516" s="2" t="s">
        <v>18</v>
      </c>
      <c r="K516" s="2" t="s">
        <v>19</v>
      </c>
      <c r="L516" s="2" t="s">
        <v>43</v>
      </c>
      <c r="M516" s="2" t="s">
        <v>77</v>
      </c>
      <c r="N516" s="2" t="s">
        <v>54</v>
      </c>
    </row>
    <row r="517" spans="1:14" x14ac:dyDescent="0.5">
      <c r="A517" s="2" t="s">
        <v>14</v>
      </c>
      <c r="B517" s="3">
        <v>15</v>
      </c>
      <c r="C517" s="4" t="s">
        <v>55</v>
      </c>
      <c r="D517" s="2" t="s">
        <v>38</v>
      </c>
      <c r="E517" s="2" t="s">
        <v>42</v>
      </c>
      <c r="F517" s="5">
        <v>4</v>
      </c>
      <c r="G517" s="1">
        <v>20000000</v>
      </c>
      <c r="H517" s="2">
        <v>3</v>
      </c>
      <c r="I517" s="6">
        <v>1.6782407407407406E-3</v>
      </c>
      <c r="J517" s="2" t="s">
        <v>61</v>
      </c>
      <c r="K517" s="2" t="s">
        <v>35</v>
      </c>
      <c r="L517" s="2" t="s">
        <v>51</v>
      </c>
      <c r="M517" s="2" t="s">
        <v>78</v>
      </c>
      <c r="N517" s="2" t="s">
        <v>41</v>
      </c>
    </row>
    <row r="518" spans="1:14" x14ac:dyDescent="0.5">
      <c r="A518" s="2" t="s">
        <v>14</v>
      </c>
      <c r="B518" s="3">
        <v>1</v>
      </c>
      <c r="C518" s="4" t="s">
        <v>59</v>
      </c>
      <c r="D518" s="2" t="s">
        <v>38</v>
      </c>
      <c r="E518" s="2" t="s">
        <v>42</v>
      </c>
      <c r="F518" s="5">
        <v>2</v>
      </c>
      <c r="G518" s="1">
        <v>38000000</v>
      </c>
      <c r="H518" s="2">
        <v>2</v>
      </c>
      <c r="I518" s="6">
        <v>1.6782407407407406E-3</v>
      </c>
      <c r="J518" s="2" t="s">
        <v>46</v>
      </c>
      <c r="K518" s="2" t="s">
        <v>24</v>
      </c>
      <c r="L518" s="2" t="s">
        <v>30</v>
      </c>
      <c r="M518" s="2" t="s">
        <v>77</v>
      </c>
      <c r="N518" s="2" t="s">
        <v>34</v>
      </c>
    </row>
    <row r="519" spans="1:14" x14ac:dyDescent="0.5">
      <c r="A519" s="2" t="s">
        <v>14</v>
      </c>
      <c r="B519" s="3">
        <v>1</v>
      </c>
      <c r="C519" s="4" t="s">
        <v>59</v>
      </c>
      <c r="D519" s="2" t="s">
        <v>32</v>
      </c>
      <c r="E519" s="2" t="s">
        <v>23</v>
      </c>
      <c r="F519" s="5">
        <v>2</v>
      </c>
      <c r="G519" s="1">
        <v>12000000</v>
      </c>
      <c r="H519" s="2">
        <v>3</v>
      </c>
      <c r="I519" s="6">
        <v>1.6782407407407406E-3</v>
      </c>
      <c r="J519" s="2" t="s">
        <v>18</v>
      </c>
      <c r="K519" s="2" t="s">
        <v>29</v>
      </c>
      <c r="L519" s="2" t="s">
        <v>48</v>
      </c>
      <c r="M519" s="2" t="s">
        <v>78</v>
      </c>
      <c r="N519" s="2" t="s">
        <v>53</v>
      </c>
    </row>
    <row r="520" spans="1:14" x14ac:dyDescent="0.5">
      <c r="A520" s="2" t="s">
        <v>14</v>
      </c>
      <c r="B520" s="3">
        <v>20</v>
      </c>
      <c r="C520" s="4" t="s">
        <v>59</v>
      </c>
      <c r="D520" s="2" t="s">
        <v>32</v>
      </c>
      <c r="E520" s="2" t="s">
        <v>45</v>
      </c>
      <c r="F520" s="5">
        <v>3</v>
      </c>
      <c r="G520" s="1">
        <v>15000000</v>
      </c>
      <c r="H520" s="2">
        <v>2</v>
      </c>
      <c r="I520" s="6">
        <v>1.6782407407407406E-3</v>
      </c>
      <c r="J520" s="2" t="s">
        <v>18</v>
      </c>
      <c r="K520" s="2" t="s">
        <v>39</v>
      </c>
      <c r="L520" s="2" t="s">
        <v>51</v>
      </c>
      <c r="M520" s="2" t="s">
        <v>78</v>
      </c>
      <c r="N520" s="2" t="s">
        <v>41</v>
      </c>
    </row>
    <row r="521" spans="1:14" x14ac:dyDescent="0.5">
      <c r="A521" s="2" t="s">
        <v>70</v>
      </c>
      <c r="B521" s="3">
        <v>12</v>
      </c>
      <c r="C521" s="4" t="s">
        <v>59</v>
      </c>
      <c r="D521" s="2" t="s">
        <v>16</v>
      </c>
      <c r="E521" s="2" t="s">
        <v>23</v>
      </c>
      <c r="F521" s="5">
        <v>0</v>
      </c>
      <c r="G521" s="1">
        <v>0</v>
      </c>
      <c r="H521" s="2">
        <v>2</v>
      </c>
      <c r="I521" s="6">
        <v>1.6782407407407406E-3</v>
      </c>
      <c r="J521" s="2"/>
      <c r="K521" s="2"/>
      <c r="L521" s="2" t="s">
        <v>43</v>
      </c>
      <c r="M521" s="2" t="s">
        <v>66</v>
      </c>
      <c r="N521" s="2" t="s">
        <v>67</v>
      </c>
    </row>
    <row r="522" spans="1:14" x14ac:dyDescent="0.5">
      <c r="A522" s="2" t="s">
        <v>70</v>
      </c>
      <c r="B522" s="3">
        <v>14</v>
      </c>
      <c r="C522" s="4" t="s">
        <v>60</v>
      </c>
      <c r="D522" s="2" t="s">
        <v>16</v>
      </c>
      <c r="E522" s="2" t="s">
        <v>42</v>
      </c>
      <c r="F522" s="5">
        <v>0</v>
      </c>
      <c r="G522" s="1">
        <v>0</v>
      </c>
      <c r="H522" s="2">
        <v>1</v>
      </c>
      <c r="I522" s="6">
        <v>1.6782407407407406E-3</v>
      </c>
      <c r="J522" s="2"/>
      <c r="K522" s="2"/>
      <c r="L522" s="2" t="s">
        <v>51</v>
      </c>
      <c r="M522" s="2" t="s">
        <v>76</v>
      </c>
      <c r="N522" s="2" t="s">
        <v>31</v>
      </c>
    </row>
    <row r="523" spans="1:14" x14ac:dyDescent="0.5">
      <c r="A523" s="2" t="s">
        <v>70</v>
      </c>
      <c r="B523" s="3">
        <v>15</v>
      </c>
      <c r="C523" s="4" t="s">
        <v>22</v>
      </c>
      <c r="D523" s="2" t="s">
        <v>16</v>
      </c>
      <c r="E523" s="2" t="s">
        <v>23</v>
      </c>
      <c r="F523" s="5">
        <v>0</v>
      </c>
      <c r="G523" s="1">
        <v>0</v>
      </c>
      <c r="H523" s="2">
        <v>2</v>
      </c>
      <c r="I523" s="6">
        <v>1.6782407407407406E-3</v>
      </c>
      <c r="J523" s="2"/>
      <c r="K523" s="2"/>
      <c r="L523" s="2" t="s">
        <v>40</v>
      </c>
      <c r="M523" s="2" t="s">
        <v>78</v>
      </c>
      <c r="N523" s="2" t="s">
        <v>62</v>
      </c>
    </row>
    <row r="524" spans="1:14" x14ac:dyDescent="0.5">
      <c r="A524" s="2" t="s">
        <v>70</v>
      </c>
      <c r="B524" s="3">
        <v>20</v>
      </c>
      <c r="C524" s="4" t="s">
        <v>27</v>
      </c>
      <c r="D524" s="2" t="s">
        <v>49</v>
      </c>
      <c r="E524" s="2" t="s">
        <v>23</v>
      </c>
      <c r="F524" s="5">
        <v>0</v>
      </c>
      <c r="G524" s="1">
        <v>0</v>
      </c>
      <c r="H524" s="2">
        <v>1</v>
      </c>
      <c r="I524" s="6">
        <v>1.6782407407407406E-3</v>
      </c>
      <c r="J524" s="2"/>
      <c r="K524" s="2"/>
      <c r="L524" s="2" t="s">
        <v>25</v>
      </c>
      <c r="M524" s="2" t="s">
        <v>77</v>
      </c>
      <c r="N524" s="2" t="s">
        <v>54</v>
      </c>
    </row>
    <row r="525" spans="1:14" x14ac:dyDescent="0.5">
      <c r="A525" s="2" t="s">
        <v>70</v>
      </c>
      <c r="B525" s="3">
        <v>2</v>
      </c>
      <c r="C525" s="4" t="s">
        <v>37</v>
      </c>
      <c r="D525" s="2" t="s">
        <v>16</v>
      </c>
      <c r="E525" s="2" t="s">
        <v>23</v>
      </c>
      <c r="F525" s="5">
        <v>0</v>
      </c>
      <c r="G525" s="1">
        <v>0</v>
      </c>
      <c r="H525" s="2">
        <v>2</v>
      </c>
      <c r="I525" s="6">
        <v>1.6782407407407406E-3</v>
      </c>
      <c r="J525" s="2"/>
      <c r="K525" s="2"/>
      <c r="L525" s="2" t="s">
        <v>30</v>
      </c>
      <c r="M525" s="2" t="s">
        <v>76</v>
      </c>
      <c r="N525" s="2" t="s">
        <v>75</v>
      </c>
    </row>
    <row r="526" spans="1:14" x14ac:dyDescent="0.5">
      <c r="A526" s="2" t="s">
        <v>70</v>
      </c>
      <c r="B526" s="3">
        <v>21</v>
      </c>
      <c r="C526" s="4" t="s">
        <v>37</v>
      </c>
      <c r="D526" s="2" t="s">
        <v>32</v>
      </c>
      <c r="E526" s="2" t="s">
        <v>42</v>
      </c>
      <c r="F526" s="5">
        <v>0</v>
      </c>
      <c r="G526" s="1">
        <v>0</v>
      </c>
      <c r="H526" s="2">
        <v>3</v>
      </c>
      <c r="I526" s="6">
        <v>1.6782407407407406E-3</v>
      </c>
      <c r="J526" s="2"/>
      <c r="K526" s="2"/>
      <c r="L526" s="2" t="s">
        <v>30</v>
      </c>
      <c r="M526" s="2" t="s">
        <v>78</v>
      </c>
      <c r="N526" s="2" t="s">
        <v>62</v>
      </c>
    </row>
    <row r="527" spans="1:14" x14ac:dyDescent="0.5">
      <c r="A527" s="2" t="s">
        <v>70</v>
      </c>
      <c r="B527" s="3">
        <v>23</v>
      </c>
      <c r="C527" s="4" t="s">
        <v>37</v>
      </c>
      <c r="D527" s="2" t="s">
        <v>49</v>
      </c>
      <c r="E527" s="2" t="s">
        <v>42</v>
      </c>
      <c r="F527" s="5">
        <v>0</v>
      </c>
      <c r="G527" s="1">
        <v>0</v>
      </c>
      <c r="H527" s="2">
        <v>3</v>
      </c>
      <c r="I527" s="6">
        <v>1.6782407407407406E-3</v>
      </c>
      <c r="J527" s="2"/>
      <c r="K527" s="2"/>
      <c r="L527" s="2" t="s">
        <v>48</v>
      </c>
      <c r="M527" s="2" t="s">
        <v>66</v>
      </c>
      <c r="N527" s="2" t="s">
        <v>67</v>
      </c>
    </row>
    <row r="528" spans="1:14" x14ac:dyDescent="0.5">
      <c r="A528" s="2" t="s">
        <v>70</v>
      </c>
      <c r="B528" s="3">
        <v>14</v>
      </c>
      <c r="C528" s="4" t="s">
        <v>44</v>
      </c>
      <c r="D528" s="2" t="s">
        <v>16</v>
      </c>
      <c r="E528" s="2" t="s">
        <v>42</v>
      </c>
      <c r="F528" s="5">
        <v>0</v>
      </c>
      <c r="G528" s="1">
        <v>0</v>
      </c>
      <c r="H528" s="2">
        <v>2</v>
      </c>
      <c r="I528" s="6">
        <v>1.6782407407407406E-3</v>
      </c>
      <c r="J528" s="2"/>
      <c r="K528" s="2"/>
      <c r="L528" s="2" t="s">
        <v>43</v>
      </c>
      <c r="M528" s="2" t="s">
        <v>76</v>
      </c>
      <c r="N528" s="2" t="s">
        <v>52</v>
      </c>
    </row>
    <row r="529" spans="1:14" x14ac:dyDescent="0.5">
      <c r="A529" s="2" t="s">
        <v>70</v>
      </c>
      <c r="B529" s="3">
        <v>16</v>
      </c>
      <c r="C529" s="4" t="s">
        <v>44</v>
      </c>
      <c r="D529" s="2" t="s">
        <v>38</v>
      </c>
      <c r="E529" s="2" t="s">
        <v>42</v>
      </c>
      <c r="F529" s="5">
        <v>0</v>
      </c>
      <c r="G529" s="1">
        <v>0</v>
      </c>
      <c r="H529" s="2">
        <v>3</v>
      </c>
      <c r="I529" s="6">
        <v>1.6782407407407406E-3</v>
      </c>
      <c r="J529" s="2"/>
      <c r="K529" s="2"/>
      <c r="L529" s="2" t="s">
        <v>43</v>
      </c>
      <c r="M529" s="2" t="s">
        <v>77</v>
      </c>
      <c r="N529" s="2" t="s">
        <v>65</v>
      </c>
    </row>
    <row r="530" spans="1:14" x14ac:dyDescent="0.5">
      <c r="A530" s="2" t="s">
        <v>70</v>
      </c>
      <c r="B530" s="3">
        <v>12</v>
      </c>
      <c r="C530" s="4" t="s">
        <v>59</v>
      </c>
      <c r="D530" s="2" t="s">
        <v>16</v>
      </c>
      <c r="E530" s="2" t="s">
        <v>23</v>
      </c>
      <c r="F530" s="5">
        <v>0</v>
      </c>
      <c r="G530" s="1">
        <v>0</v>
      </c>
      <c r="H530" s="2">
        <v>2</v>
      </c>
      <c r="I530" s="6">
        <v>1.6782407407407406E-3</v>
      </c>
      <c r="J530" s="2"/>
      <c r="K530" s="2"/>
      <c r="L530" s="2" t="s">
        <v>43</v>
      </c>
      <c r="M530" s="2" t="s">
        <v>66</v>
      </c>
      <c r="N530" s="2" t="s">
        <v>67</v>
      </c>
    </row>
    <row r="531" spans="1:14" x14ac:dyDescent="0.5">
      <c r="A531" s="2" t="s">
        <v>70</v>
      </c>
      <c r="B531" s="3">
        <v>14</v>
      </c>
      <c r="C531" s="4" t="s">
        <v>60</v>
      </c>
      <c r="D531" s="2" t="s">
        <v>16</v>
      </c>
      <c r="E531" s="2" t="s">
        <v>42</v>
      </c>
      <c r="F531" s="5">
        <v>0</v>
      </c>
      <c r="G531" s="1">
        <v>0</v>
      </c>
      <c r="H531" s="2">
        <v>1</v>
      </c>
      <c r="I531" s="6">
        <v>1.6782407407407406E-3</v>
      </c>
      <c r="J531" s="2"/>
      <c r="K531" s="2"/>
      <c r="L531" s="2" t="s">
        <v>51</v>
      </c>
      <c r="M531" s="2" t="s">
        <v>76</v>
      </c>
      <c r="N531" s="2" t="s">
        <v>31</v>
      </c>
    </row>
    <row r="532" spans="1:14" x14ac:dyDescent="0.5">
      <c r="A532" s="2" t="s">
        <v>14</v>
      </c>
      <c r="B532" s="3">
        <v>11</v>
      </c>
      <c r="C532" s="4" t="s">
        <v>55</v>
      </c>
      <c r="D532" s="2" t="s">
        <v>38</v>
      </c>
      <c r="E532" s="2" t="s">
        <v>42</v>
      </c>
      <c r="F532" s="5">
        <v>5</v>
      </c>
      <c r="G532" s="1">
        <v>20000000</v>
      </c>
      <c r="H532" s="2">
        <v>1</v>
      </c>
      <c r="I532" s="6">
        <v>1.736111111111111E-3</v>
      </c>
      <c r="J532" s="2" t="s">
        <v>18</v>
      </c>
      <c r="K532" s="2" t="s">
        <v>29</v>
      </c>
      <c r="L532" s="2" t="s">
        <v>48</v>
      </c>
      <c r="M532" s="2" t="s">
        <v>77</v>
      </c>
      <c r="N532" s="2" t="s">
        <v>54</v>
      </c>
    </row>
    <row r="533" spans="1:14" x14ac:dyDescent="0.5">
      <c r="A533" s="2" t="s">
        <v>14</v>
      </c>
      <c r="B533" s="3">
        <v>14</v>
      </c>
      <c r="C533" s="4" t="s">
        <v>57</v>
      </c>
      <c r="D533" s="2" t="s">
        <v>49</v>
      </c>
      <c r="E533" s="2" t="s">
        <v>42</v>
      </c>
      <c r="F533" s="5">
        <v>2</v>
      </c>
      <c r="G533" s="1">
        <v>10000000</v>
      </c>
      <c r="H533" s="2">
        <v>7</v>
      </c>
      <c r="I533" s="6">
        <v>1.736111111111111E-3</v>
      </c>
      <c r="J533" s="2" t="s">
        <v>18</v>
      </c>
      <c r="K533" s="2" t="s">
        <v>29</v>
      </c>
      <c r="L533" s="2" t="s">
        <v>43</v>
      </c>
      <c r="M533" s="2" t="s">
        <v>78</v>
      </c>
      <c r="N533" s="2" t="s">
        <v>53</v>
      </c>
    </row>
    <row r="534" spans="1:14" x14ac:dyDescent="0.5">
      <c r="A534" s="2" t="s">
        <v>14</v>
      </c>
      <c r="B534" s="3">
        <v>10</v>
      </c>
      <c r="C534" s="4" t="s">
        <v>72</v>
      </c>
      <c r="D534" s="2" t="s">
        <v>32</v>
      </c>
      <c r="E534" s="2" t="s">
        <v>23</v>
      </c>
      <c r="F534" s="5">
        <v>1</v>
      </c>
      <c r="G534" s="1">
        <v>7000000</v>
      </c>
      <c r="H534" s="2">
        <v>1</v>
      </c>
      <c r="I534" s="6">
        <v>1.736111111111111E-3</v>
      </c>
      <c r="J534" s="2" t="s">
        <v>18</v>
      </c>
      <c r="K534" s="2" t="s">
        <v>47</v>
      </c>
      <c r="L534" s="2" t="s">
        <v>30</v>
      </c>
      <c r="M534" s="2" t="s">
        <v>78</v>
      </c>
      <c r="N534" s="2" t="s">
        <v>53</v>
      </c>
    </row>
    <row r="535" spans="1:14" x14ac:dyDescent="0.5">
      <c r="A535" s="2" t="s">
        <v>14</v>
      </c>
      <c r="B535" s="3">
        <v>12</v>
      </c>
      <c r="C535" s="4" t="s">
        <v>72</v>
      </c>
      <c r="D535" s="2" t="s">
        <v>28</v>
      </c>
      <c r="E535" s="2" t="s">
        <v>23</v>
      </c>
      <c r="F535" s="5">
        <v>5</v>
      </c>
      <c r="G535" s="1">
        <v>25000000</v>
      </c>
      <c r="H535" s="2">
        <v>2</v>
      </c>
      <c r="I535" s="6">
        <v>1.736111111111111E-3</v>
      </c>
      <c r="J535" s="2" t="s">
        <v>18</v>
      </c>
      <c r="K535" s="2" t="s">
        <v>19</v>
      </c>
      <c r="L535" s="2" t="s">
        <v>20</v>
      </c>
      <c r="M535" s="2" t="s">
        <v>77</v>
      </c>
      <c r="N535" s="2" t="s">
        <v>65</v>
      </c>
    </row>
    <row r="536" spans="1:14" x14ac:dyDescent="0.5">
      <c r="A536" s="2" t="s">
        <v>14</v>
      </c>
      <c r="B536" s="3">
        <v>22</v>
      </c>
      <c r="C536" s="4" t="s">
        <v>27</v>
      </c>
      <c r="D536" s="2" t="s">
        <v>32</v>
      </c>
      <c r="E536" s="2" t="s">
        <v>42</v>
      </c>
      <c r="F536" s="5">
        <v>1</v>
      </c>
      <c r="G536" s="1">
        <v>19000000</v>
      </c>
      <c r="H536" s="2">
        <v>2</v>
      </c>
      <c r="I536" s="6">
        <v>1.736111111111111E-3</v>
      </c>
      <c r="J536" s="2" t="s">
        <v>46</v>
      </c>
      <c r="K536" s="2" t="s">
        <v>39</v>
      </c>
      <c r="L536" s="2" t="s">
        <v>51</v>
      </c>
      <c r="M536" s="2" t="s">
        <v>66</v>
      </c>
      <c r="N536" s="2" t="s">
        <v>67</v>
      </c>
    </row>
    <row r="537" spans="1:14" x14ac:dyDescent="0.5">
      <c r="A537" s="2" t="s">
        <v>14</v>
      </c>
      <c r="B537" s="3">
        <v>27</v>
      </c>
      <c r="C537" s="4" t="s">
        <v>27</v>
      </c>
      <c r="D537" s="2" t="s">
        <v>16</v>
      </c>
      <c r="E537" s="2" t="s">
        <v>42</v>
      </c>
      <c r="F537" s="5">
        <v>5</v>
      </c>
      <c r="G537" s="1">
        <v>21000000</v>
      </c>
      <c r="H537" s="2">
        <v>3</v>
      </c>
      <c r="I537" s="6">
        <v>1.736111111111111E-3</v>
      </c>
      <c r="J537" s="2" t="s">
        <v>18</v>
      </c>
      <c r="K537" s="2" t="s">
        <v>39</v>
      </c>
      <c r="L537" s="2" t="s">
        <v>43</v>
      </c>
      <c r="M537" s="2" t="s">
        <v>76</v>
      </c>
      <c r="N537" s="2" t="s">
        <v>52</v>
      </c>
    </row>
    <row r="538" spans="1:14" x14ac:dyDescent="0.5">
      <c r="A538" s="2" t="s">
        <v>14</v>
      </c>
      <c r="B538" s="3">
        <v>21</v>
      </c>
      <c r="C538" s="4" t="s">
        <v>37</v>
      </c>
      <c r="D538" s="2" t="s">
        <v>38</v>
      </c>
      <c r="E538" s="2" t="s">
        <v>17</v>
      </c>
      <c r="F538" s="5">
        <v>2</v>
      </c>
      <c r="G538" s="1">
        <v>38000000</v>
      </c>
      <c r="H538" s="2">
        <v>3</v>
      </c>
      <c r="I538" s="6">
        <v>1.736111111111111E-3</v>
      </c>
      <c r="J538" s="2" t="s">
        <v>46</v>
      </c>
      <c r="K538" s="2" t="s">
        <v>35</v>
      </c>
      <c r="L538" s="2" t="s">
        <v>30</v>
      </c>
      <c r="M538" s="2" t="s">
        <v>77</v>
      </c>
      <c r="N538" s="2" t="s">
        <v>54</v>
      </c>
    </row>
    <row r="539" spans="1:14" x14ac:dyDescent="0.5">
      <c r="A539" s="2" t="s">
        <v>14</v>
      </c>
      <c r="B539" s="3">
        <v>24</v>
      </c>
      <c r="C539" s="4" t="s">
        <v>37</v>
      </c>
      <c r="D539" s="2" t="s">
        <v>16</v>
      </c>
      <c r="E539" s="2" t="s">
        <v>23</v>
      </c>
      <c r="F539" s="5">
        <v>4</v>
      </c>
      <c r="G539" s="1">
        <v>20000000</v>
      </c>
      <c r="H539" s="2">
        <v>2</v>
      </c>
      <c r="I539" s="6">
        <v>1.736111111111111E-3</v>
      </c>
      <c r="J539" s="2" t="s">
        <v>61</v>
      </c>
      <c r="K539" s="2" t="s">
        <v>47</v>
      </c>
      <c r="L539" s="2" t="s">
        <v>30</v>
      </c>
      <c r="M539" s="2" t="s">
        <v>77</v>
      </c>
      <c r="N539" s="2" t="s">
        <v>54</v>
      </c>
    </row>
    <row r="540" spans="1:14" x14ac:dyDescent="0.5">
      <c r="A540" s="2" t="s">
        <v>14</v>
      </c>
      <c r="B540" s="3">
        <v>5</v>
      </c>
      <c r="C540" s="4" t="s">
        <v>37</v>
      </c>
      <c r="D540" s="2" t="s">
        <v>16</v>
      </c>
      <c r="E540" s="2" t="s">
        <v>17</v>
      </c>
      <c r="F540" s="5">
        <v>4</v>
      </c>
      <c r="G540" s="1">
        <v>11000000</v>
      </c>
      <c r="H540" s="2">
        <v>4</v>
      </c>
      <c r="I540" s="6">
        <v>1.736111111111111E-3</v>
      </c>
      <c r="J540" s="2" t="s">
        <v>61</v>
      </c>
      <c r="K540" s="2" t="s">
        <v>19</v>
      </c>
      <c r="L540" s="2" t="s">
        <v>40</v>
      </c>
      <c r="M540" s="2" t="s">
        <v>76</v>
      </c>
      <c r="N540" s="2" t="s">
        <v>26</v>
      </c>
    </row>
    <row r="541" spans="1:14" x14ac:dyDescent="0.5">
      <c r="A541" s="2" t="s">
        <v>14</v>
      </c>
      <c r="B541" s="3">
        <v>1</v>
      </c>
      <c r="C541" s="4" t="s">
        <v>37</v>
      </c>
      <c r="D541" s="2" t="s">
        <v>32</v>
      </c>
      <c r="E541" s="2" t="s">
        <v>23</v>
      </c>
      <c r="F541" s="5">
        <v>2</v>
      </c>
      <c r="G541" s="1">
        <v>12000000</v>
      </c>
      <c r="H541" s="2">
        <v>1</v>
      </c>
      <c r="I541" s="6">
        <v>1.736111111111111E-3</v>
      </c>
      <c r="J541" s="2" t="s">
        <v>18</v>
      </c>
      <c r="K541" s="2" t="s">
        <v>29</v>
      </c>
      <c r="L541" s="2" t="s">
        <v>30</v>
      </c>
      <c r="M541" s="2" t="s">
        <v>76</v>
      </c>
      <c r="N541" s="2" t="s">
        <v>31</v>
      </c>
    </row>
    <row r="542" spans="1:14" x14ac:dyDescent="0.5">
      <c r="A542" s="2" t="s">
        <v>14</v>
      </c>
      <c r="B542" s="3">
        <v>8</v>
      </c>
      <c r="C542" s="4" t="s">
        <v>37</v>
      </c>
      <c r="D542" s="2" t="s">
        <v>38</v>
      </c>
      <c r="E542" s="2" t="s">
        <v>42</v>
      </c>
      <c r="F542" s="5">
        <v>3</v>
      </c>
      <c r="G542" s="1">
        <v>15000000</v>
      </c>
      <c r="H542" s="2">
        <v>1</v>
      </c>
      <c r="I542" s="6">
        <v>1.736111111111111E-3</v>
      </c>
      <c r="J542" s="2" t="s">
        <v>18</v>
      </c>
      <c r="K542" s="2" t="s">
        <v>39</v>
      </c>
      <c r="L542" s="2" t="s">
        <v>33</v>
      </c>
      <c r="M542" s="2" t="s">
        <v>76</v>
      </c>
      <c r="N542" s="2" t="s">
        <v>26</v>
      </c>
    </row>
    <row r="543" spans="1:14" x14ac:dyDescent="0.5">
      <c r="A543" s="2" t="s">
        <v>14</v>
      </c>
      <c r="B543" s="3">
        <v>28</v>
      </c>
      <c r="C543" s="4" t="s">
        <v>37</v>
      </c>
      <c r="D543" s="2" t="s">
        <v>32</v>
      </c>
      <c r="E543" s="2" t="s">
        <v>42</v>
      </c>
      <c r="F543" s="5">
        <v>3</v>
      </c>
      <c r="G543" s="1">
        <v>15000000</v>
      </c>
      <c r="H543" s="2">
        <v>2</v>
      </c>
      <c r="I543" s="6">
        <v>1.736111111111111E-3</v>
      </c>
      <c r="J543" s="2" t="s">
        <v>18</v>
      </c>
      <c r="K543" s="2" t="s">
        <v>50</v>
      </c>
      <c r="L543" s="2" t="s">
        <v>33</v>
      </c>
      <c r="M543" s="2" t="s">
        <v>78</v>
      </c>
      <c r="N543" s="2" t="s">
        <v>53</v>
      </c>
    </row>
    <row r="544" spans="1:14" x14ac:dyDescent="0.5">
      <c r="A544" s="2" t="s">
        <v>14</v>
      </c>
      <c r="B544" s="3">
        <v>7</v>
      </c>
      <c r="C544" s="4" t="s">
        <v>37</v>
      </c>
      <c r="D544" s="2" t="s">
        <v>38</v>
      </c>
      <c r="E544" s="2" t="s">
        <v>68</v>
      </c>
      <c r="F544" s="5">
        <v>2</v>
      </c>
      <c r="G544" s="1">
        <v>12000000</v>
      </c>
      <c r="H544" s="2">
        <v>1</v>
      </c>
      <c r="I544" s="6">
        <v>1.736111111111111E-3</v>
      </c>
      <c r="J544" s="2" t="s">
        <v>18</v>
      </c>
      <c r="K544" s="2" t="s">
        <v>35</v>
      </c>
      <c r="L544" s="2" t="s">
        <v>48</v>
      </c>
      <c r="M544" s="2" t="s">
        <v>76</v>
      </c>
      <c r="N544" s="2" t="s">
        <v>31</v>
      </c>
    </row>
    <row r="545" spans="1:14" x14ac:dyDescent="0.5">
      <c r="A545" s="2" t="s">
        <v>14</v>
      </c>
      <c r="B545" s="3">
        <v>30</v>
      </c>
      <c r="C545" s="4" t="s">
        <v>44</v>
      </c>
      <c r="D545" s="2" t="s">
        <v>32</v>
      </c>
      <c r="E545" s="2" t="s">
        <v>17</v>
      </c>
      <c r="F545" s="5">
        <v>3</v>
      </c>
      <c r="G545" s="1">
        <v>15000000</v>
      </c>
      <c r="H545" s="2">
        <v>1</v>
      </c>
      <c r="I545" s="6">
        <v>1.736111111111111E-3</v>
      </c>
      <c r="J545" s="2" t="s">
        <v>18</v>
      </c>
      <c r="K545" s="2" t="s">
        <v>29</v>
      </c>
      <c r="L545" s="2" t="s">
        <v>43</v>
      </c>
      <c r="M545" s="2" t="s">
        <v>77</v>
      </c>
      <c r="N545" s="2" t="s">
        <v>54</v>
      </c>
    </row>
    <row r="546" spans="1:14" x14ac:dyDescent="0.5">
      <c r="A546" s="2" t="s">
        <v>14</v>
      </c>
      <c r="B546" s="3">
        <v>1</v>
      </c>
      <c r="C546" s="4" t="s">
        <v>44</v>
      </c>
      <c r="D546" s="2" t="s">
        <v>28</v>
      </c>
      <c r="E546" s="2" t="s">
        <v>42</v>
      </c>
      <c r="F546" s="5">
        <v>4</v>
      </c>
      <c r="G546" s="1">
        <v>20000000</v>
      </c>
      <c r="H546" s="2">
        <v>3</v>
      </c>
      <c r="I546" s="6">
        <v>1.736111111111111E-3</v>
      </c>
      <c r="J546" s="2" t="s">
        <v>18</v>
      </c>
      <c r="K546" s="2" t="s">
        <v>56</v>
      </c>
      <c r="L546" s="2" t="s">
        <v>25</v>
      </c>
      <c r="M546" s="2" t="s">
        <v>66</v>
      </c>
      <c r="N546" s="2" t="s">
        <v>36</v>
      </c>
    </row>
    <row r="547" spans="1:14" x14ac:dyDescent="0.5">
      <c r="A547" s="2" t="s">
        <v>14</v>
      </c>
      <c r="B547" s="3">
        <v>5</v>
      </c>
      <c r="C547" s="4" t="s">
        <v>44</v>
      </c>
      <c r="D547" s="2" t="s">
        <v>38</v>
      </c>
      <c r="E547" s="2" t="s">
        <v>17</v>
      </c>
      <c r="F547" s="5">
        <v>2</v>
      </c>
      <c r="G547" s="1">
        <v>12000000</v>
      </c>
      <c r="H547" s="2">
        <v>3</v>
      </c>
      <c r="I547" s="6">
        <v>1.736111111111111E-3</v>
      </c>
      <c r="J547" s="2" t="s">
        <v>18</v>
      </c>
      <c r="K547" s="2" t="s">
        <v>19</v>
      </c>
      <c r="L547" s="2" t="s">
        <v>51</v>
      </c>
      <c r="M547" s="2" t="s">
        <v>78</v>
      </c>
      <c r="N547" s="2" t="s">
        <v>53</v>
      </c>
    </row>
    <row r="548" spans="1:14" x14ac:dyDescent="0.5">
      <c r="A548" s="2" t="s">
        <v>14</v>
      </c>
      <c r="B548" s="3">
        <v>1</v>
      </c>
      <c r="C548" s="4" t="s">
        <v>69</v>
      </c>
      <c r="D548" s="2" t="s">
        <v>32</v>
      </c>
      <c r="E548" s="2" t="s">
        <v>23</v>
      </c>
      <c r="F548" s="5">
        <v>2</v>
      </c>
      <c r="G548" s="1">
        <v>12000000</v>
      </c>
      <c r="H548" s="2">
        <v>4</v>
      </c>
      <c r="I548" s="6">
        <v>1.736111111111111E-3</v>
      </c>
      <c r="J548" s="2" t="s">
        <v>18</v>
      </c>
      <c r="K548" s="2" t="s">
        <v>19</v>
      </c>
      <c r="L548" s="2" t="s">
        <v>20</v>
      </c>
      <c r="M548" s="2" t="s">
        <v>66</v>
      </c>
      <c r="N548" s="2" t="s">
        <v>67</v>
      </c>
    </row>
    <row r="549" spans="1:14" x14ac:dyDescent="0.5">
      <c r="A549" s="2" t="s">
        <v>14</v>
      </c>
      <c r="B549" s="3">
        <v>2</v>
      </c>
      <c r="C549" s="4" t="s">
        <v>69</v>
      </c>
      <c r="D549" s="2" t="s">
        <v>16</v>
      </c>
      <c r="E549" s="2" t="s">
        <v>42</v>
      </c>
      <c r="F549" s="5">
        <v>2</v>
      </c>
      <c r="G549" s="1">
        <v>12000000</v>
      </c>
      <c r="H549" s="2">
        <v>1</v>
      </c>
      <c r="I549" s="6">
        <v>1.736111111111111E-3</v>
      </c>
      <c r="J549" s="2" t="s">
        <v>18</v>
      </c>
      <c r="K549" s="2" t="s">
        <v>64</v>
      </c>
      <c r="L549" s="2" t="s">
        <v>51</v>
      </c>
      <c r="M549" s="2" t="s">
        <v>66</v>
      </c>
      <c r="N549" s="2" t="s">
        <v>67</v>
      </c>
    </row>
    <row r="550" spans="1:14" x14ac:dyDescent="0.5">
      <c r="A550" s="2" t="s">
        <v>14</v>
      </c>
      <c r="B550" s="3">
        <v>11</v>
      </c>
      <c r="C550" s="4" t="s">
        <v>55</v>
      </c>
      <c r="D550" s="2" t="s">
        <v>38</v>
      </c>
      <c r="E550" s="2" t="s">
        <v>42</v>
      </c>
      <c r="F550" s="5">
        <v>5</v>
      </c>
      <c r="G550" s="1">
        <v>20000000</v>
      </c>
      <c r="H550" s="2">
        <v>1</v>
      </c>
      <c r="I550" s="6">
        <v>1.736111111111111E-3</v>
      </c>
      <c r="J550" s="2" t="s">
        <v>18</v>
      </c>
      <c r="K550" s="2" t="s">
        <v>29</v>
      </c>
      <c r="L550" s="2" t="s">
        <v>48</v>
      </c>
      <c r="M550" s="2" t="s">
        <v>77</v>
      </c>
      <c r="N550" s="2" t="s">
        <v>54</v>
      </c>
    </row>
    <row r="551" spans="1:14" x14ac:dyDescent="0.5">
      <c r="A551" s="2" t="s">
        <v>14</v>
      </c>
      <c r="B551" s="3">
        <v>14</v>
      </c>
      <c r="C551" s="4" t="s">
        <v>57</v>
      </c>
      <c r="D551" s="2" t="s">
        <v>49</v>
      </c>
      <c r="E551" s="2" t="s">
        <v>42</v>
      </c>
      <c r="F551" s="5">
        <v>2</v>
      </c>
      <c r="G551" s="1">
        <v>10000000</v>
      </c>
      <c r="H551" s="2">
        <v>7</v>
      </c>
      <c r="I551" s="6">
        <v>1.736111111111111E-3</v>
      </c>
      <c r="J551" s="2" t="s">
        <v>18</v>
      </c>
      <c r="K551" s="2" t="s">
        <v>29</v>
      </c>
      <c r="L551" s="2" t="s">
        <v>43</v>
      </c>
      <c r="M551" s="2" t="s">
        <v>78</v>
      </c>
      <c r="N551" s="2" t="s">
        <v>53</v>
      </c>
    </row>
    <row r="552" spans="1:14" x14ac:dyDescent="0.5">
      <c r="A552" s="2" t="s">
        <v>14</v>
      </c>
      <c r="B552" s="3">
        <v>10</v>
      </c>
      <c r="C552" s="4" t="s">
        <v>72</v>
      </c>
      <c r="D552" s="2" t="s">
        <v>32</v>
      </c>
      <c r="E552" s="2" t="s">
        <v>23</v>
      </c>
      <c r="F552" s="5">
        <v>1</v>
      </c>
      <c r="G552" s="1">
        <v>7000000</v>
      </c>
      <c r="H552" s="2">
        <v>1</v>
      </c>
      <c r="I552" s="6">
        <v>1.736111111111111E-3</v>
      </c>
      <c r="J552" s="2" t="s">
        <v>18</v>
      </c>
      <c r="K552" s="2" t="s">
        <v>47</v>
      </c>
      <c r="L552" s="2" t="s">
        <v>30</v>
      </c>
      <c r="M552" s="2" t="s">
        <v>78</v>
      </c>
      <c r="N552" s="2" t="s">
        <v>53</v>
      </c>
    </row>
    <row r="553" spans="1:14" x14ac:dyDescent="0.5">
      <c r="A553" s="2" t="s">
        <v>14</v>
      </c>
      <c r="B553" s="3">
        <v>12</v>
      </c>
      <c r="C553" s="4" t="s">
        <v>72</v>
      </c>
      <c r="D553" s="2" t="s">
        <v>28</v>
      </c>
      <c r="E553" s="2" t="s">
        <v>23</v>
      </c>
      <c r="F553" s="5">
        <v>5</v>
      </c>
      <c r="G553" s="1">
        <v>25000000</v>
      </c>
      <c r="H553" s="2">
        <v>2</v>
      </c>
      <c r="I553" s="6">
        <v>1.736111111111111E-3</v>
      </c>
      <c r="J553" s="2" t="s">
        <v>18</v>
      </c>
      <c r="K553" s="2" t="s">
        <v>19</v>
      </c>
      <c r="L553" s="2" t="s">
        <v>20</v>
      </c>
      <c r="M553" s="2" t="s">
        <v>77</v>
      </c>
      <c r="N553" s="2" t="s">
        <v>65</v>
      </c>
    </row>
    <row r="554" spans="1:14" x14ac:dyDescent="0.5">
      <c r="A554" s="2" t="s">
        <v>70</v>
      </c>
      <c r="B554" s="3">
        <v>11</v>
      </c>
      <c r="C554" s="4" t="s">
        <v>59</v>
      </c>
      <c r="D554" s="2" t="s">
        <v>16</v>
      </c>
      <c r="E554" s="2" t="s">
        <v>23</v>
      </c>
      <c r="F554" s="5">
        <v>0</v>
      </c>
      <c r="G554" s="1">
        <v>0</v>
      </c>
      <c r="H554" s="2">
        <v>2</v>
      </c>
      <c r="I554" s="6">
        <v>1.736111111111111E-3</v>
      </c>
      <c r="J554" s="2"/>
      <c r="K554" s="2"/>
      <c r="L554" s="2" t="s">
        <v>48</v>
      </c>
      <c r="M554" s="2" t="s">
        <v>66</v>
      </c>
      <c r="N554" s="2" t="s">
        <v>67</v>
      </c>
    </row>
    <row r="555" spans="1:14" x14ac:dyDescent="0.5">
      <c r="A555" s="2" t="s">
        <v>70</v>
      </c>
      <c r="B555" s="3">
        <v>27</v>
      </c>
      <c r="C555" s="4" t="s">
        <v>59</v>
      </c>
      <c r="D555" s="2" t="s">
        <v>38</v>
      </c>
      <c r="E555" s="2" t="s">
        <v>42</v>
      </c>
      <c r="F555" s="5">
        <v>0</v>
      </c>
      <c r="G555" s="1">
        <v>0</v>
      </c>
      <c r="H555" s="2">
        <v>3</v>
      </c>
      <c r="I555" s="6">
        <v>1.736111111111111E-3</v>
      </c>
      <c r="J555" s="2"/>
      <c r="K555" s="2"/>
      <c r="L555" s="2" t="s">
        <v>30</v>
      </c>
      <c r="M555" s="2" t="s">
        <v>78</v>
      </c>
      <c r="N555" s="2" t="s">
        <v>41</v>
      </c>
    </row>
    <row r="556" spans="1:14" x14ac:dyDescent="0.5">
      <c r="A556" s="2" t="s">
        <v>70</v>
      </c>
      <c r="B556" s="3">
        <v>20</v>
      </c>
      <c r="C556" s="4" t="s">
        <v>27</v>
      </c>
      <c r="D556" s="2" t="s">
        <v>16</v>
      </c>
      <c r="E556" s="2" t="s">
        <v>23</v>
      </c>
      <c r="F556" s="5">
        <v>0</v>
      </c>
      <c r="G556" s="1">
        <v>0</v>
      </c>
      <c r="H556" s="2">
        <v>2</v>
      </c>
      <c r="I556" s="6">
        <v>1.736111111111111E-3</v>
      </c>
      <c r="J556" s="2"/>
      <c r="K556" s="2"/>
      <c r="L556" s="2" t="s">
        <v>43</v>
      </c>
      <c r="M556" s="2" t="s">
        <v>76</v>
      </c>
      <c r="N556" s="2" t="s">
        <v>26</v>
      </c>
    </row>
    <row r="557" spans="1:14" x14ac:dyDescent="0.5">
      <c r="A557" s="2" t="s">
        <v>70</v>
      </c>
      <c r="B557" s="3">
        <v>1</v>
      </c>
      <c r="C557" s="4" t="s">
        <v>37</v>
      </c>
      <c r="D557" s="2" t="s">
        <v>32</v>
      </c>
      <c r="E557" s="2" t="s">
        <v>23</v>
      </c>
      <c r="F557" s="5">
        <v>0</v>
      </c>
      <c r="G557" s="1">
        <v>0</v>
      </c>
      <c r="H557" s="2">
        <v>4</v>
      </c>
      <c r="I557" s="6">
        <v>1.736111111111111E-3</v>
      </c>
      <c r="J557" s="2"/>
      <c r="K557" s="2"/>
      <c r="L557" s="2" t="s">
        <v>48</v>
      </c>
      <c r="M557" s="2" t="s">
        <v>78</v>
      </c>
      <c r="N557" s="2" t="s">
        <v>53</v>
      </c>
    </row>
    <row r="558" spans="1:14" x14ac:dyDescent="0.5">
      <c r="A558" s="2" t="s">
        <v>70</v>
      </c>
      <c r="B558" s="3">
        <v>1</v>
      </c>
      <c r="C558" s="4" t="s">
        <v>44</v>
      </c>
      <c r="D558" s="2" t="s">
        <v>16</v>
      </c>
      <c r="E558" s="2" t="s">
        <v>42</v>
      </c>
      <c r="F558" s="5">
        <v>0</v>
      </c>
      <c r="G558" s="1">
        <v>0</v>
      </c>
      <c r="H558" s="2">
        <v>4</v>
      </c>
      <c r="I558" s="6">
        <v>1.736111111111111E-3</v>
      </c>
      <c r="J558" s="2"/>
      <c r="K558" s="2"/>
      <c r="L558" s="2" t="s">
        <v>33</v>
      </c>
      <c r="M558" s="2" t="s">
        <v>76</v>
      </c>
      <c r="N558" s="2" t="s">
        <v>31</v>
      </c>
    </row>
    <row r="559" spans="1:14" x14ac:dyDescent="0.5">
      <c r="A559" s="2" t="s">
        <v>70</v>
      </c>
      <c r="B559" s="3">
        <v>25</v>
      </c>
      <c r="C559" s="4" t="s">
        <v>44</v>
      </c>
      <c r="D559" s="2" t="s">
        <v>28</v>
      </c>
      <c r="E559" s="2" t="s">
        <v>17</v>
      </c>
      <c r="F559" s="5">
        <v>0</v>
      </c>
      <c r="G559" s="1">
        <v>0</v>
      </c>
      <c r="H559" s="2">
        <v>3</v>
      </c>
      <c r="I559" s="6">
        <v>1.736111111111111E-3</v>
      </c>
      <c r="J559" s="2"/>
      <c r="K559" s="2"/>
      <c r="L559" s="2" t="s">
        <v>25</v>
      </c>
      <c r="M559" s="2" t="s">
        <v>78</v>
      </c>
      <c r="N559" s="2" t="s">
        <v>53</v>
      </c>
    </row>
    <row r="560" spans="1:14" x14ac:dyDescent="0.5">
      <c r="A560" s="2" t="s">
        <v>70</v>
      </c>
      <c r="B560" s="3">
        <v>3</v>
      </c>
      <c r="C560" s="4" t="s">
        <v>69</v>
      </c>
      <c r="D560" s="2" t="s">
        <v>38</v>
      </c>
      <c r="E560" s="2" t="s">
        <v>23</v>
      </c>
      <c r="F560" s="5">
        <v>0</v>
      </c>
      <c r="G560" s="1">
        <v>0</v>
      </c>
      <c r="H560" s="2">
        <v>1</v>
      </c>
      <c r="I560" s="6">
        <v>1.736111111111111E-3</v>
      </c>
      <c r="J560" s="2"/>
      <c r="K560" s="2"/>
      <c r="L560" s="2" t="s">
        <v>30</v>
      </c>
      <c r="M560" s="2" t="s">
        <v>77</v>
      </c>
      <c r="N560" s="2" t="s">
        <v>65</v>
      </c>
    </row>
    <row r="561" spans="1:14" x14ac:dyDescent="0.5">
      <c r="A561" s="2" t="s">
        <v>70</v>
      </c>
      <c r="B561" s="3">
        <v>10</v>
      </c>
      <c r="C561" s="4" t="s">
        <v>69</v>
      </c>
      <c r="D561" s="2" t="s">
        <v>32</v>
      </c>
      <c r="E561" s="2" t="s">
        <v>23</v>
      </c>
      <c r="F561" s="5">
        <v>0</v>
      </c>
      <c r="G561" s="1">
        <v>0</v>
      </c>
      <c r="H561" s="2">
        <v>1</v>
      </c>
      <c r="I561" s="6">
        <v>1.736111111111111E-3</v>
      </c>
      <c r="J561" s="2"/>
      <c r="K561" s="2"/>
      <c r="L561" s="2" t="s">
        <v>33</v>
      </c>
      <c r="M561" s="2" t="s">
        <v>76</v>
      </c>
      <c r="N561" s="2" t="s">
        <v>31</v>
      </c>
    </row>
    <row r="562" spans="1:14" x14ac:dyDescent="0.5">
      <c r="A562" s="2" t="s">
        <v>70</v>
      </c>
      <c r="B562" s="3">
        <v>11</v>
      </c>
      <c r="C562" s="4" t="s">
        <v>59</v>
      </c>
      <c r="D562" s="2" t="s">
        <v>16</v>
      </c>
      <c r="E562" s="2" t="s">
        <v>23</v>
      </c>
      <c r="F562" s="5">
        <v>0</v>
      </c>
      <c r="G562" s="1">
        <v>0</v>
      </c>
      <c r="H562" s="2">
        <v>2</v>
      </c>
      <c r="I562" s="6">
        <v>1.736111111111111E-3</v>
      </c>
      <c r="J562" s="2"/>
      <c r="K562" s="2"/>
      <c r="L562" s="2" t="s">
        <v>48</v>
      </c>
      <c r="M562" s="2" t="s">
        <v>66</v>
      </c>
      <c r="N562" s="2" t="s">
        <v>67</v>
      </c>
    </row>
    <row r="563" spans="1:14" x14ac:dyDescent="0.5">
      <c r="A563" s="2" t="s">
        <v>70</v>
      </c>
      <c r="B563" s="3">
        <v>27</v>
      </c>
      <c r="C563" s="4" t="s">
        <v>59</v>
      </c>
      <c r="D563" s="2" t="s">
        <v>38</v>
      </c>
      <c r="E563" s="2" t="s">
        <v>42</v>
      </c>
      <c r="F563" s="5">
        <v>0</v>
      </c>
      <c r="G563" s="1">
        <v>0</v>
      </c>
      <c r="H563" s="2">
        <v>3</v>
      </c>
      <c r="I563" s="6">
        <v>1.736111111111111E-3</v>
      </c>
      <c r="J563" s="2"/>
      <c r="K563" s="2"/>
      <c r="L563" s="2" t="s">
        <v>30</v>
      </c>
      <c r="M563" s="2" t="s">
        <v>78</v>
      </c>
      <c r="N563" s="2" t="s">
        <v>41</v>
      </c>
    </row>
    <row r="564" spans="1:14" x14ac:dyDescent="0.5">
      <c r="A564" s="2" t="s">
        <v>14</v>
      </c>
      <c r="B564" s="3">
        <v>11</v>
      </c>
      <c r="C564" s="4" t="s">
        <v>57</v>
      </c>
      <c r="D564" s="2" t="s">
        <v>16</v>
      </c>
      <c r="E564" s="2" t="s">
        <v>42</v>
      </c>
      <c r="F564" s="5">
        <v>4</v>
      </c>
      <c r="G564" s="1">
        <v>20000000</v>
      </c>
      <c r="H564" s="2">
        <v>2</v>
      </c>
      <c r="I564" s="6">
        <v>1.9675925925925928E-3</v>
      </c>
      <c r="J564" s="2" t="s">
        <v>18</v>
      </c>
      <c r="K564" s="2" t="s">
        <v>19</v>
      </c>
      <c r="L564" s="2" t="s">
        <v>43</v>
      </c>
      <c r="M564" s="2" t="s">
        <v>78</v>
      </c>
      <c r="N564" s="2" t="s">
        <v>63</v>
      </c>
    </row>
    <row r="565" spans="1:14" x14ac:dyDescent="0.5">
      <c r="A565" s="2" t="s">
        <v>14</v>
      </c>
      <c r="B565" s="3">
        <v>12</v>
      </c>
      <c r="C565" s="4" t="s">
        <v>27</v>
      </c>
      <c r="D565" s="2" t="s">
        <v>32</v>
      </c>
      <c r="E565" s="2" t="s">
        <v>45</v>
      </c>
      <c r="F565" s="5">
        <v>2</v>
      </c>
      <c r="G565" s="1">
        <v>38000000</v>
      </c>
      <c r="H565" s="2">
        <v>1</v>
      </c>
      <c r="I565" s="6">
        <v>1.9675925925925928E-3</v>
      </c>
      <c r="J565" s="2" t="s">
        <v>46</v>
      </c>
      <c r="K565" s="2" t="s">
        <v>56</v>
      </c>
      <c r="L565" s="2" t="s">
        <v>30</v>
      </c>
      <c r="M565" s="2" t="s">
        <v>76</v>
      </c>
      <c r="N565" s="2" t="s">
        <v>71</v>
      </c>
    </row>
    <row r="566" spans="1:14" x14ac:dyDescent="0.5">
      <c r="A566" s="2" t="s">
        <v>14</v>
      </c>
      <c r="B566" s="3">
        <v>30</v>
      </c>
      <c r="C566" s="4" t="s">
        <v>27</v>
      </c>
      <c r="D566" s="2" t="s">
        <v>32</v>
      </c>
      <c r="E566" s="2" t="s">
        <v>23</v>
      </c>
      <c r="F566" s="5">
        <v>5</v>
      </c>
      <c r="G566" s="1">
        <v>25000000</v>
      </c>
      <c r="H566" s="2">
        <v>2</v>
      </c>
      <c r="I566" s="6">
        <v>1.9675925925925928E-3</v>
      </c>
      <c r="J566" s="2" t="s">
        <v>18</v>
      </c>
      <c r="K566" s="2" t="s">
        <v>29</v>
      </c>
      <c r="L566" s="2" t="s">
        <v>30</v>
      </c>
      <c r="M566" s="2" t="s">
        <v>78</v>
      </c>
      <c r="N566" s="2" t="s">
        <v>66</v>
      </c>
    </row>
    <row r="567" spans="1:14" x14ac:dyDescent="0.5">
      <c r="A567" s="2" t="s">
        <v>14</v>
      </c>
      <c r="B567" s="3">
        <v>27</v>
      </c>
      <c r="C567" s="4" t="s">
        <v>37</v>
      </c>
      <c r="D567" s="2" t="s">
        <v>32</v>
      </c>
      <c r="E567" s="2" t="s">
        <v>42</v>
      </c>
      <c r="F567" s="5">
        <v>1</v>
      </c>
      <c r="G567" s="1">
        <v>19000000</v>
      </c>
      <c r="H567" s="2">
        <v>1</v>
      </c>
      <c r="I567" s="6">
        <v>1.9675925925925928E-3</v>
      </c>
      <c r="J567" s="2" t="s">
        <v>46</v>
      </c>
      <c r="K567" s="2" t="s">
        <v>39</v>
      </c>
      <c r="L567" s="2" t="s">
        <v>33</v>
      </c>
      <c r="M567" s="2" t="s">
        <v>78</v>
      </c>
      <c r="N567" s="2" t="s">
        <v>41</v>
      </c>
    </row>
    <row r="568" spans="1:14" x14ac:dyDescent="0.5">
      <c r="A568" s="2" t="s">
        <v>14</v>
      </c>
      <c r="B568" s="3">
        <v>31</v>
      </c>
      <c r="C568" s="4" t="s">
        <v>37</v>
      </c>
      <c r="D568" s="2" t="s">
        <v>28</v>
      </c>
      <c r="E568" s="2" t="s">
        <v>23</v>
      </c>
      <c r="F568" s="5">
        <v>2</v>
      </c>
      <c r="G568" s="1">
        <v>12000000</v>
      </c>
      <c r="H568" s="2">
        <v>2</v>
      </c>
      <c r="I568" s="6">
        <v>1.9675925925925928E-3</v>
      </c>
      <c r="J568" s="2" t="s">
        <v>18</v>
      </c>
      <c r="K568" s="2" t="s">
        <v>56</v>
      </c>
      <c r="L568" s="2" t="s">
        <v>33</v>
      </c>
      <c r="M568" s="2" t="s">
        <v>77</v>
      </c>
      <c r="N568" s="2" t="s">
        <v>34</v>
      </c>
    </row>
    <row r="569" spans="1:14" x14ac:dyDescent="0.5">
      <c r="A569" s="2" t="s">
        <v>14</v>
      </c>
      <c r="B569" s="3">
        <v>25</v>
      </c>
      <c r="C569" s="4" t="s">
        <v>37</v>
      </c>
      <c r="D569" s="2" t="s">
        <v>16</v>
      </c>
      <c r="E569" s="2" t="s">
        <v>42</v>
      </c>
      <c r="F569" s="5">
        <v>3</v>
      </c>
      <c r="G569" s="1">
        <v>15000000</v>
      </c>
      <c r="H569" s="2">
        <v>2</v>
      </c>
      <c r="I569" s="6">
        <v>1.9675925925925928E-3</v>
      </c>
      <c r="J569" s="2" t="s">
        <v>18</v>
      </c>
      <c r="K569" s="2" t="s">
        <v>29</v>
      </c>
      <c r="L569" s="2" t="s">
        <v>20</v>
      </c>
      <c r="M569" s="2" t="s">
        <v>76</v>
      </c>
      <c r="N569" s="2" t="s">
        <v>52</v>
      </c>
    </row>
    <row r="570" spans="1:14" x14ac:dyDescent="0.5">
      <c r="A570" s="2" t="s">
        <v>14</v>
      </c>
      <c r="B570" s="3">
        <v>27</v>
      </c>
      <c r="C570" s="4" t="s">
        <v>37</v>
      </c>
      <c r="D570" s="2" t="s">
        <v>38</v>
      </c>
      <c r="E570" s="2" t="s">
        <v>17</v>
      </c>
      <c r="F570" s="5">
        <v>2</v>
      </c>
      <c r="G570" s="1">
        <v>12000000</v>
      </c>
      <c r="H570" s="2">
        <v>2</v>
      </c>
      <c r="I570" s="6">
        <v>1.9675925925925928E-3</v>
      </c>
      <c r="J570" s="2" t="s">
        <v>18</v>
      </c>
      <c r="K570" s="2" t="s">
        <v>24</v>
      </c>
      <c r="L570" s="2" t="s">
        <v>51</v>
      </c>
      <c r="M570" s="2" t="s">
        <v>76</v>
      </c>
      <c r="N570" s="2" t="s">
        <v>31</v>
      </c>
    </row>
    <row r="571" spans="1:14" x14ac:dyDescent="0.5">
      <c r="A571" s="2" t="s">
        <v>14</v>
      </c>
      <c r="B571" s="3">
        <v>29</v>
      </c>
      <c r="C571" s="4" t="s">
        <v>44</v>
      </c>
      <c r="D571" s="2" t="s">
        <v>38</v>
      </c>
      <c r="E571" s="2" t="s">
        <v>68</v>
      </c>
      <c r="F571" s="5">
        <v>4</v>
      </c>
      <c r="G571" s="1">
        <v>11000000</v>
      </c>
      <c r="H571" s="2">
        <v>3</v>
      </c>
      <c r="I571" s="6">
        <v>1.9675925925925928E-3</v>
      </c>
      <c r="J571" s="2" t="s">
        <v>61</v>
      </c>
      <c r="K571" s="2" t="s">
        <v>56</v>
      </c>
      <c r="L571" s="2" t="s">
        <v>51</v>
      </c>
      <c r="M571" s="2" t="s">
        <v>77</v>
      </c>
      <c r="N571" s="2" t="s">
        <v>54</v>
      </c>
    </row>
    <row r="572" spans="1:14" x14ac:dyDescent="0.5">
      <c r="A572" s="2" t="s">
        <v>14</v>
      </c>
      <c r="B572" s="3">
        <v>18</v>
      </c>
      <c r="C572" s="4" t="s">
        <v>44</v>
      </c>
      <c r="D572" s="2" t="s">
        <v>32</v>
      </c>
      <c r="E572" s="2" t="s">
        <v>17</v>
      </c>
      <c r="F572" s="5">
        <v>5</v>
      </c>
      <c r="G572" s="1">
        <v>21000000</v>
      </c>
      <c r="H572" s="2">
        <v>1</v>
      </c>
      <c r="I572" s="6">
        <v>1.9675925925925928E-3</v>
      </c>
      <c r="J572" s="2" t="s">
        <v>18</v>
      </c>
      <c r="K572" s="2" t="s">
        <v>19</v>
      </c>
      <c r="L572" s="2" t="s">
        <v>48</v>
      </c>
      <c r="M572" s="2" t="s">
        <v>66</v>
      </c>
      <c r="N572" s="2" t="s">
        <v>36</v>
      </c>
    </row>
    <row r="573" spans="1:14" x14ac:dyDescent="0.5">
      <c r="A573" s="2" t="s">
        <v>14</v>
      </c>
      <c r="B573" s="3">
        <v>16</v>
      </c>
      <c r="C573" s="4" t="s">
        <v>69</v>
      </c>
      <c r="D573" s="2" t="s">
        <v>28</v>
      </c>
      <c r="E573" s="2" t="s">
        <v>42</v>
      </c>
      <c r="F573" s="5">
        <v>3</v>
      </c>
      <c r="G573" s="1">
        <v>15000000</v>
      </c>
      <c r="H573" s="2">
        <v>6</v>
      </c>
      <c r="I573" s="6">
        <v>1.9675925925925928E-3</v>
      </c>
      <c r="J573" s="2" t="s">
        <v>18</v>
      </c>
      <c r="K573" s="2" t="s">
        <v>29</v>
      </c>
      <c r="L573" s="2" t="s">
        <v>48</v>
      </c>
      <c r="M573" s="2" t="s">
        <v>76</v>
      </c>
      <c r="N573" s="2" t="s">
        <v>52</v>
      </c>
    </row>
    <row r="574" spans="1:14" x14ac:dyDescent="0.5">
      <c r="A574" s="2" t="s">
        <v>14</v>
      </c>
      <c r="B574" s="3">
        <v>11</v>
      </c>
      <c r="C574" s="4" t="s">
        <v>57</v>
      </c>
      <c r="D574" s="2" t="s">
        <v>16</v>
      </c>
      <c r="E574" s="2" t="s">
        <v>42</v>
      </c>
      <c r="F574" s="5">
        <v>4</v>
      </c>
      <c r="G574" s="1">
        <v>20000000</v>
      </c>
      <c r="H574" s="2">
        <v>2</v>
      </c>
      <c r="I574" s="6">
        <v>1.9675925925925928E-3</v>
      </c>
      <c r="J574" s="2" t="s">
        <v>18</v>
      </c>
      <c r="K574" s="2" t="s">
        <v>19</v>
      </c>
      <c r="L574" s="2" t="s">
        <v>43</v>
      </c>
      <c r="M574" s="2" t="s">
        <v>78</v>
      </c>
      <c r="N574" s="2" t="s">
        <v>63</v>
      </c>
    </row>
    <row r="575" spans="1:14" x14ac:dyDescent="0.5">
      <c r="A575" s="2" t="s">
        <v>70</v>
      </c>
      <c r="B575" s="3">
        <v>24</v>
      </c>
      <c r="C575" s="4" t="s">
        <v>27</v>
      </c>
      <c r="D575" s="2" t="s">
        <v>32</v>
      </c>
      <c r="E575" s="2" t="s">
        <v>42</v>
      </c>
      <c r="F575" s="5">
        <v>0</v>
      </c>
      <c r="G575" s="1">
        <v>0</v>
      </c>
      <c r="H575" s="2">
        <v>2</v>
      </c>
      <c r="I575" s="6">
        <v>1.9675925925925928E-3</v>
      </c>
      <c r="J575" s="2"/>
      <c r="K575" s="2"/>
      <c r="L575" s="2" t="s">
        <v>51</v>
      </c>
      <c r="M575" s="2" t="s">
        <v>66</v>
      </c>
      <c r="N575" s="2" t="s">
        <v>36</v>
      </c>
    </row>
    <row r="576" spans="1:14" x14ac:dyDescent="0.5">
      <c r="A576" s="2" t="s">
        <v>70</v>
      </c>
      <c r="B576" s="3">
        <v>28</v>
      </c>
      <c r="C576" s="4" t="s">
        <v>44</v>
      </c>
      <c r="D576" s="2" t="s">
        <v>16</v>
      </c>
      <c r="E576" s="2" t="s">
        <v>42</v>
      </c>
      <c r="F576" s="5">
        <v>0</v>
      </c>
      <c r="G576" s="1">
        <v>0</v>
      </c>
      <c r="H576" s="2">
        <v>2</v>
      </c>
      <c r="I576" s="6">
        <v>1.9675925925925928E-3</v>
      </c>
      <c r="J576" s="2"/>
      <c r="K576" s="2"/>
      <c r="L576" s="2" t="s">
        <v>33</v>
      </c>
      <c r="M576" s="2" t="s">
        <v>76</v>
      </c>
      <c r="N576" s="2" t="s">
        <v>31</v>
      </c>
    </row>
    <row r="577" spans="1:14" x14ac:dyDescent="0.5">
      <c r="A577" s="2" t="s">
        <v>70</v>
      </c>
      <c r="B577" s="3">
        <v>11</v>
      </c>
      <c r="C577" s="4" t="s">
        <v>44</v>
      </c>
      <c r="D577" s="2" t="s">
        <v>49</v>
      </c>
      <c r="E577" s="2" t="s">
        <v>23</v>
      </c>
      <c r="F577" s="5">
        <v>0</v>
      </c>
      <c r="G577" s="1">
        <v>0</v>
      </c>
      <c r="H577" s="2">
        <v>3</v>
      </c>
      <c r="I577" s="6">
        <v>1.9675925925925928E-3</v>
      </c>
      <c r="J577" s="2"/>
      <c r="K577" s="2"/>
      <c r="L577" s="2" t="s">
        <v>40</v>
      </c>
      <c r="M577" s="2" t="s">
        <v>77</v>
      </c>
      <c r="N577" s="2" t="s">
        <v>65</v>
      </c>
    </row>
    <row r="578" spans="1:14" x14ac:dyDescent="0.5">
      <c r="A578" s="2" t="s">
        <v>14</v>
      </c>
      <c r="B578" s="3">
        <v>12</v>
      </c>
      <c r="C578" s="4" t="s">
        <v>55</v>
      </c>
      <c r="D578" s="2" t="s">
        <v>16</v>
      </c>
      <c r="E578" s="2" t="s">
        <v>23</v>
      </c>
      <c r="F578" s="5">
        <v>2</v>
      </c>
      <c r="G578" s="1">
        <v>12000000</v>
      </c>
      <c r="H578" s="2">
        <v>3</v>
      </c>
      <c r="I578" s="6">
        <v>2.0370370370370373E-3</v>
      </c>
      <c r="J578" s="2" t="s">
        <v>18</v>
      </c>
      <c r="K578" s="2" t="s">
        <v>39</v>
      </c>
      <c r="L578" s="2" t="s">
        <v>33</v>
      </c>
      <c r="M578" s="2" t="s">
        <v>76</v>
      </c>
      <c r="N578" s="2" t="s">
        <v>71</v>
      </c>
    </row>
    <row r="579" spans="1:14" x14ac:dyDescent="0.5">
      <c r="A579" s="2" t="s">
        <v>14</v>
      </c>
      <c r="B579" s="3">
        <v>17</v>
      </c>
      <c r="C579" s="4" t="s">
        <v>60</v>
      </c>
      <c r="D579" s="2" t="s">
        <v>16</v>
      </c>
      <c r="E579" s="2" t="s">
        <v>42</v>
      </c>
      <c r="F579" s="5">
        <v>4</v>
      </c>
      <c r="G579" s="1">
        <v>20000000</v>
      </c>
      <c r="H579" s="2">
        <v>1</v>
      </c>
      <c r="I579" s="6">
        <v>2.0370370370370373E-3</v>
      </c>
      <c r="J579" s="2" t="s">
        <v>61</v>
      </c>
      <c r="K579" s="2" t="s">
        <v>24</v>
      </c>
      <c r="L579" s="2" t="s">
        <v>48</v>
      </c>
      <c r="M579" s="2" t="s">
        <v>78</v>
      </c>
      <c r="N579" s="2" t="s">
        <v>66</v>
      </c>
    </row>
    <row r="580" spans="1:14" x14ac:dyDescent="0.5">
      <c r="A580" s="2" t="s">
        <v>14</v>
      </c>
      <c r="B580" s="3">
        <v>27</v>
      </c>
      <c r="C580" s="4" t="s">
        <v>27</v>
      </c>
      <c r="D580" s="2" t="s">
        <v>49</v>
      </c>
      <c r="E580" s="2" t="s">
        <v>23</v>
      </c>
      <c r="F580" s="5">
        <v>5</v>
      </c>
      <c r="G580" s="1">
        <v>25000000</v>
      </c>
      <c r="H580" s="2">
        <v>1</v>
      </c>
      <c r="I580" s="6">
        <v>2.0370370370370373E-3</v>
      </c>
      <c r="J580" s="2" t="s">
        <v>18</v>
      </c>
      <c r="K580" s="2" t="s">
        <v>56</v>
      </c>
      <c r="L580" s="2" t="s">
        <v>48</v>
      </c>
      <c r="M580" s="2" t="s">
        <v>78</v>
      </c>
      <c r="N580" s="2" t="s">
        <v>62</v>
      </c>
    </row>
    <row r="581" spans="1:14" x14ac:dyDescent="0.5">
      <c r="A581" s="2" t="s">
        <v>14</v>
      </c>
      <c r="B581" s="3">
        <v>15</v>
      </c>
      <c r="C581" s="4" t="s">
        <v>27</v>
      </c>
      <c r="D581" s="2" t="s">
        <v>73</v>
      </c>
      <c r="E581" s="2" t="s">
        <v>17</v>
      </c>
      <c r="F581" s="5">
        <v>2</v>
      </c>
      <c r="G581" s="1">
        <v>10000000</v>
      </c>
      <c r="H581" s="2">
        <v>2</v>
      </c>
      <c r="I581" s="6">
        <v>2.0370370370370373E-3</v>
      </c>
      <c r="J581" s="2" t="s">
        <v>18</v>
      </c>
      <c r="K581" s="2" t="s">
        <v>29</v>
      </c>
      <c r="L581" s="2" t="s">
        <v>51</v>
      </c>
      <c r="M581" s="2" t="s">
        <v>76</v>
      </c>
      <c r="N581" s="2" t="s">
        <v>26</v>
      </c>
    </row>
    <row r="582" spans="1:14" x14ac:dyDescent="0.5">
      <c r="A582" s="2" t="s">
        <v>14</v>
      </c>
      <c r="B582" s="3">
        <v>30</v>
      </c>
      <c r="C582" s="4" t="s">
        <v>27</v>
      </c>
      <c r="D582" s="2" t="s">
        <v>73</v>
      </c>
      <c r="E582" s="2" t="s">
        <v>17</v>
      </c>
      <c r="F582" s="5">
        <v>3</v>
      </c>
      <c r="G582" s="1">
        <v>15000000</v>
      </c>
      <c r="H582" s="2">
        <v>4</v>
      </c>
      <c r="I582" s="6">
        <v>2.0370370370370373E-3</v>
      </c>
      <c r="J582" s="2" t="s">
        <v>18</v>
      </c>
      <c r="K582" s="2" t="s">
        <v>39</v>
      </c>
      <c r="L582" s="2" t="s">
        <v>51</v>
      </c>
      <c r="M582" s="2" t="s">
        <v>66</v>
      </c>
      <c r="N582" s="2" t="s">
        <v>67</v>
      </c>
    </row>
    <row r="583" spans="1:14" x14ac:dyDescent="0.5">
      <c r="A583" s="2" t="s">
        <v>14</v>
      </c>
      <c r="B583" s="3">
        <v>8</v>
      </c>
      <c r="C583" s="4" t="s">
        <v>37</v>
      </c>
      <c r="D583" s="2" t="s">
        <v>28</v>
      </c>
      <c r="E583" s="2" t="s">
        <v>17</v>
      </c>
      <c r="F583" s="5">
        <v>1</v>
      </c>
      <c r="G583" s="1">
        <v>19000000</v>
      </c>
      <c r="H583" s="2">
        <v>2</v>
      </c>
      <c r="I583" s="6">
        <v>2.0370370370370373E-3</v>
      </c>
      <c r="J583" s="2" t="s">
        <v>46</v>
      </c>
      <c r="K583" s="2" t="s">
        <v>47</v>
      </c>
      <c r="L583" s="2" t="s">
        <v>43</v>
      </c>
      <c r="M583" s="2" t="s">
        <v>78</v>
      </c>
      <c r="N583" s="2" t="s">
        <v>53</v>
      </c>
    </row>
    <row r="584" spans="1:14" x14ac:dyDescent="0.5">
      <c r="A584" s="2" t="s">
        <v>14</v>
      </c>
      <c r="B584" s="3">
        <v>6</v>
      </c>
      <c r="C584" s="4" t="s">
        <v>37</v>
      </c>
      <c r="D584" s="2" t="s">
        <v>16</v>
      </c>
      <c r="E584" s="2" t="s">
        <v>23</v>
      </c>
      <c r="F584" s="5">
        <v>1</v>
      </c>
      <c r="G584" s="1">
        <v>7000000</v>
      </c>
      <c r="H584" s="2">
        <v>2</v>
      </c>
      <c r="I584" s="6">
        <v>2.0370370370370373E-3</v>
      </c>
      <c r="J584" s="2" t="s">
        <v>18</v>
      </c>
      <c r="K584" s="2" t="s">
        <v>19</v>
      </c>
      <c r="L584" s="2" t="s">
        <v>30</v>
      </c>
      <c r="M584" s="2" t="s">
        <v>78</v>
      </c>
      <c r="N584" s="2" t="s">
        <v>63</v>
      </c>
    </row>
    <row r="585" spans="1:14" x14ac:dyDescent="0.5">
      <c r="A585" s="2" t="s">
        <v>14</v>
      </c>
      <c r="B585" s="3">
        <v>29</v>
      </c>
      <c r="C585" s="4" t="s">
        <v>37</v>
      </c>
      <c r="D585" s="2" t="s">
        <v>49</v>
      </c>
      <c r="E585" s="2" t="s">
        <v>23</v>
      </c>
      <c r="F585" s="5">
        <v>2</v>
      </c>
      <c r="G585" s="1">
        <v>12000000</v>
      </c>
      <c r="H585" s="2">
        <v>1</v>
      </c>
      <c r="I585" s="6">
        <v>2.0370370370370373E-3</v>
      </c>
      <c r="J585" s="2" t="s">
        <v>18</v>
      </c>
      <c r="K585" s="2" t="s">
        <v>35</v>
      </c>
      <c r="L585" s="2" t="s">
        <v>20</v>
      </c>
      <c r="M585" s="2" t="s">
        <v>77</v>
      </c>
      <c r="N585" s="2" t="s">
        <v>54</v>
      </c>
    </row>
    <row r="586" spans="1:14" x14ac:dyDescent="0.5">
      <c r="A586" s="2" t="s">
        <v>14</v>
      </c>
      <c r="B586" s="3">
        <v>3</v>
      </c>
      <c r="C586" s="4" t="s">
        <v>44</v>
      </c>
      <c r="D586" s="2" t="s">
        <v>16</v>
      </c>
      <c r="E586" s="2" t="s">
        <v>23</v>
      </c>
      <c r="F586" s="5">
        <v>5</v>
      </c>
      <c r="G586" s="1">
        <v>25000000</v>
      </c>
      <c r="H586" s="2">
        <v>2</v>
      </c>
      <c r="I586" s="6">
        <v>2.0370370370370373E-3</v>
      </c>
      <c r="J586" s="2" t="s">
        <v>18</v>
      </c>
      <c r="K586" s="2" t="s">
        <v>29</v>
      </c>
      <c r="L586" s="2" t="s">
        <v>20</v>
      </c>
      <c r="M586" s="2" t="s">
        <v>78</v>
      </c>
      <c r="N586" s="2" t="s">
        <v>53</v>
      </c>
    </row>
    <row r="587" spans="1:14" x14ac:dyDescent="0.5">
      <c r="A587" s="2" t="s">
        <v>14</v>
      </c>
      <c r="B587" s="3">
        <v>30</v>
      </c>
      <c r="C587" s="4" t="s">
        <v>69</v>
      </c>
      <c r="D587" s="2" t="s">
        <v>32</v>
      </c>
      <c r="E587" s="2" t="s">
        <v>42</v>
      </c>
      <c r="F587" s="5">
        <v>2</v>
      </c>
      <c r="G587" s="1">
        <v>38000000</v>
      </c>
      <c r="H587" s="2">
        <v>2</v>
      </c>
      <c r="I587" s="6">
        <v>2.0370370370370373E-3</v>
      </c>
      <c r="J587" s="2" t="s">
        <v>46</v>
      </c>
      <c r="K587" s="2" t="s">
        <v>64</v>
      </c>
      <c r="L587" s="2" t="s">
        <v>30</v>
      </c>
      <c r="M587" s="2" t="s">
        <v>78</v>
      </c>
      <c r="N587" s="2" t="s">
        <v>63</v>
      </c>
    </row>
    <row r="588" spans="1:14" x14ac:dyDescent="0.5">
      <c r="A588" s="2" t="s">
        <v>14</v>
      </c>
      <c r="B588" s="3">
        <v>21</v>
      </c>
      <c r="C588" s="4" t="s">
        <v>69</v>
      </c>
      <c r="D588" s="2" t="s">
        <v>38</v>
      </c>
      <c r="E588" s="2" t="s">
        <v>23</v>
      </c>
      <c r="F588" s="5">
        <v>3</v>
      </c>
      <c r="G588" s="1">
        <v>15000000</v>
      </c>
      <c r="H588" s="2">
        <v>3</v>
      </c>
      <c r="I588" s="6">
        <v>2.0370370370370373E-3</v>
      </c>
      <c r="J588" s="2" t="s">
        <v>18</v>
      </c>
      <c r="K588" s="2" t="s">
        <v>19</v>
      </c>
      <c r="L588" s="2" t="s">
        <v>33</v>
      </c>
      <c r="M588" s="2" t="s">
        <v>77</v>
      </c>
      <c r="N588" s="2" t="s">
        <v>65</v>
      </c>
    </row>
    <row r="589" spans="1:14" x14ac:dyDescent="0.5">
      <c r="A589" s="2" t="s">
        <v>14</v>
      </c>
      <c r="B589" s="3">
        <v>12</v>
      </c>
      <c r="C589" s="4" t="s">
        <v>55</v>
      </c>
      <c r="D589" s="2" t="s">
        <v>16</v>
      </c>
      <c r="E589" s="2" t="s">
        <v>23</v>
      </c>
      <c r="F589" s="5">
        <v>2</v>
      </c>
      <c r="G589" s="1">
        <v>12000000</v>
      </c>
      <c r="H589" s="2">
        <v>3</v>
      </c>
      <c r="I589" s="6">
        <v>2.0370370370370373E-3</v>
      </c>
      <c r="J589" s="2" t="s">
        <v>18</v>
      </c>
      <c r="K589" s="2" t="s">
        <v>39</v>
      </c>
      <c r="L589" s="2" t="s">
        <v>33</v>
      </c>
      <c r="M589" s="2" t="s">
        <v>76</v>
      </c>
      <c r="N589" s="2" t="s">
        <v>71</v>
      </c>
    </row>
    <row r="590" spans="1:14" x14ac:dyDescent="0.5">
      <c r="A590" s="2" t="s">
        <v>14</v>
      </c>
      <c r="B590" s="3">
        <v>17</v>
      </c>
      <c r="C590" s="4" t="s">
        <v>60</v>
      </c>
      <c r="D590" s="2" t="s">
        <v>16</v>
      </c>
      <c r="E590" s="2" t="s">
        <v>42</v>
      </c>
      <c r="F590" s="5">
        <v>4</v>
      </c>
      <c r="G590" s="1">
        <v>20000000</v>
      </c>
      <c r="H590" s="2">
        <v>1</v>
      </c>
      <c r="I590" s="6">
        <v>2.0370370370370373E-3</v>
      </c>
      <c r="J590" s="2" t="s">
        <v>61</v>
      </c>
      <c r="K590" s="2" t="s">
        <v>24</v>
      </c>
      <c r="L590" s="2" t="s">
        <v>48</v>
      </c>
      <c r="M590" s="2" t="s">
        <v>78</v>
      </c>
      <c r="N590" s="2" t="s">
        <v>66</v>
      </c>
    </row>
    <row r="591" spans="1:14" x14ac:dyDescent="0.5">
      <c r="A591" s="2" t="s">
        <v>70</v>
      </c>
      <c r="B591" s="3">
        <v>11</v>
      </c>
      <c r="C591" s="4" t="s">
        <v>44</v>
      </c>
      <c r="D591" s="2" t="s">
        <v>38</v>
      </c>
      <c r="E591" s="2" t="s">
        <v>23</v>
      </c>
      <c r="F591" s="5">
        <v>0</v>
      </c>
      <c r="G591" s="1">
        <v>0</v>
      </c>
      <c r="H591" s="2">
        <v>2</v>
      </c>
      <c r="I591" s="6">
        <v>2.0370370370370373E-3</v>
      </c>
      <c r="J591" s="2"/>
      <c r="K591" s="2"/>
      <c r="L591" s="2" t="s">
        <v>25</v>
      </c>
      <c r="M591" s="2" t="s">
        <v>76</v>
      </c>
      <c r="N591" s="2" t="s">
        <v>31</v>
      </c>
    </row>
    <row r="592" spans="1:14" x14ac:dyDescent="0.5">
      <c r="A592" s="2" t="s">
        <v>70</v>
      </c>
      <c r="B592" s="3">
        <v>1</v>
      </c>
      <c r="C592" s="4" t="s">
        <v>69</v>
      </c>
      <c r="D592" s="2" t="s">
        <v>16</v>
      </c>
      <c r="E592" s="2" t="s">
        <v>23</v>
      </c>
      <c r="F592" s="5">
        <v>0</v>
      </c>
      <c r="G592" s="1">
        <v>0</v>
      </c>
      <c r="H592" s="2">
        <v>2</v>
      </c>
      <c r="I592" s="6">
        <v>2.0370370370370373E-3</v>
      </c>
      <c r="J592" s="2"/>
      <c r="K592" s="2"/>
      <c r="L592" s="2" t="s">
        <v>43</v>
      </c>
      <c r="M592" s="2" t="s">
        <v>66</v>
      </c>
      <c r="N592" s="2" t="s">
        <v>67</v>
      </c>
    </row>
    <row r="593" spans="1:14" x14ac:dyDescent="0.5">
      <c r="A593" s="2" t="s">
        <v>14</v>
      </c>
      <c r="B593" s="3">
        <v>15</v>
      </c>
      <c r="C593" s="4" t="s">
        <v>57</v>
      </c>
      <c r="D593" s="2" t="s">
        <v>16</v>
      </c>
      <c r="E593" s="2" t="s">
        <v>23</v>
      </c>
      <c r="F593" s="5">
        <v>2</v>
      </c>
      <c r="G593" s="1">
        <v>12000000</v>
      </c>
      <c r="H593" s="2">
        <v>2</v>
      </c>
      <c r="I593" s="6">
        <v>2.0833333333333333E-3</v>
      </c>
      <c r="J593" s="2" t="s">
        <v>18</v>
      </c>
      <c r="K593" s="2" t="s">
        <v>29</v>
      </c>
      <c r="L593" s="2" t="s">
        <v>51</v>
      </c>
      <c r="M593" s="2" t="s">
        <v>76</v>
      </c>
      <c r="N593" s="2" t="s">
        <v>26</v>
      </c>
    </row>
    <row r="594" spans="1:14" x14ac:dyDescent="0.5">
      <c r="A594" s="2" t="s">
        <v>14</v>
      </c>
      <c r="B594" s="3">
        <v>8</v>
      </c>
      <c r="C594" s="4" t="s">
        <v>59</v>
      </c>
      <c r="D594" s="2" t="s">
        <v>16</v>
      </c>
      <c r="E594" s="2" t="s">
        <v>42</v>
      </c>
      <c r="F594" s="5">
        <v>3</v>
      </c>
      <c r="G594" s="1">
        <v>15000000</v>
      </c>
      <c r="H594" s="2">
        <v>3</v>
      </c>
      <c r="I594" s="6">
        <v>2.0833333333333333E-3</v>
      </c>
      <c r="J594" s="2" t="s">
        <v>18</v>
      </c>
      <c r="K594" s="2" t="s">
        <v>29</v>
      </c>
      <c r="L594" s="2" t="s">
        <v>40</v>
      </c>
      <c r="M594" s="2" t="s">
        <v>76</v>
      </c>
      <c r="N594" s="2" t="s">
        <v>26</v>
      </c>
    </row>
    <row r="595" spans="1:14" x14ac:dyDescent="0.5">
      <c r="A595" s="2" t="s">
        <v>14</v>
      </c>
      <c r="B595" s="3">
        <v>16</v>
      </c>
      <c r="C595" s="4" t="s">
        <v>22</v>
      </c>
      <c r="D595" s="2" t="s">
        <v>28</v>
      </c>
      <c r="E595" s="2" t="s">
        <v>23</v>
      </c>
      <c r="F595" s="5">
        <v>4</v>
      </c>
      <c r="G595" s="1">
        <v>11000000</v>
      </c>
      <c r="H595" s="2">
        <v>3</v>
      </c>
      <c r="I595" s="6">
        <v>2.0833333333333333E-3</v>
      </c>
      <c r="J595" s="2" t="s">
        <v>61</v>
      </c>
      <c r="K595" s="2" t="s">
        <v>29</v>
      </c>
      <c r="L595" s="2" t="s">
        <v>33</v>
      </c>
      <c r="M595" s="2" t="s">
        <v>78</v>
      </c>
      <c r="N595" s="2" t="s">
        <v>53</v>
      </c>
    </row>
    <row r="596" spans="1:14" x14ac:dyDescent="0.5">
      <c r="A596" s="2" t="s">
        <v>14</v>
      </c>
      <c r="B596" s="3">
        <v>8</v>
      </c>
      <c r="C596" s="4" t="s">
        <v>37</v>
      </c>
      <c r="D596" s="2" t="s">
        <v>16</v>
      </c>
      <c r="E596" s="2" t="s">
        <v>17</v>
      </c>
      <c r="F596" s="5">
        <v>5</v>
      </c>
      <c r="G596" s="1">
        <v>25000000</v>
      </c>
      <c r="H596" s="2">
        <v>2</v>
      </c>
      <c r="I596" s="6">
        <v>2.0833333333333333E-3</v>
      </c>
      <c r="J596" s="2" t="s">
        <v>18</v>
      </c>
      <c r="K596" s="2" t="s">
        <v>29</v>
      </c>
      <c r="L596" s="2" t="s">
        <v>33</v>
      </c>
      <c r="M596" s="2" t="s">
        <v>76</v>
      </c>
      <c r="N596" s="2" t="s">
        <v>52</v>
      </c>
    </row>
    <row r="597" spans="1:14" x14ac:dyDescent="0.5">
      <c r="A597" s="2" t="s">
        <v>14</v>
      </c>
      <c r="B597" s="3">
        <v>21</v>
      </c>
      <c r="C597" s="4" t="s">
        <v>37</v>
      </c>
      <c r="D597" s="2" t="s">
        <v>73</v>
      </c>
      <c r="E597" s="2" t="s">
        <v>42</v>
      </c>
      <c r="F597" s="5">
        <v>2</v>
      </c>
      <c r="G597" s="1">
        <v>12000000</v>
      </c>
      <c r="H597" s="2">
        <v>4</v>
      </c>
      <c r="I597" s="6">
        <v>2.0833333333333333E-3</v>
      </c>
      <c r="J597" s="2" t="s">
        <v>18</v>
      </c>
      <c r="K597" s="2" t="s">
        <v>56</v>
      </c>
      <c r="L597" s="2" t="s">
        <v>43</v>
      </c>
      <c r="M597" s="2" t="s">
        <v>78</v>
      </c>
      <c r="N597" s="2" t="s">
        <v>41</v>
      </c>
    </row>
    <row r="598" spans="1:14" x14ac:dyDescent="0.5">
      <c r="A598" s="2" t="s">
        <v>14</v>
      </c>
      <c r="B598" s="3">
        <v>20</v>
      </c>
      <c r="C598" s="4" t="s">
        <v>37</v>
      </c>
      <c r="D598" s="2" t="s">
        <v>49</v>
      </c>
      <c r="E598" s="2" t="s">
        <v>17</v>
      </c>
      <c r="F598" s="5">
        <v>3</v>
      </c>
      <c r="G598" s="1">
        <v>15000000</v>
      </c>
      <c r="H598" s="2">
        <v>6</v>
      </c>
      <c r="I598" s="6">
        <v>2.0833333333333333E-3</v>
      </c>
      <c r="J598" s="2" t="s">
        <v>18</v>
      </c>
      <c r="K598" s="2" t="s">
        <v>19</v>
      </c>
      <c r="L598" s="2" t="s">
        <v>48</v>
      </c>
      <c r="M598" s="2" t="s">
        <v>78</v>
      </c>
      <c r="N598" s="2" t="s">
        <v>66</v>
      </c>
    </row>
    <row r="599" spans="1:14" x14ac:dyDescent="0.5">
      <c r="A599" s="2" t="s">
        <v>14</v>
      </c>
      <c r="B599" s="3">
        <v>4</v>
      </c>
      <c r="C599" s="4" t="s">
        <v>37</v>
      </c>
      <c r="D599" s="2" t="s">
        <v>16</v>
      </c>
      <c r="E599" s="2" t="s">
        <v>68</v>
      </c>
      <c r="F599" s="5">
        <v>4</v>
      </c>
      <c r="G599" s="1">
        <v>20000000</v>
      </c>
      <c r="H599" s="2">
        <v>3</v>
      </c>
      <c r="I599" s="6">
        <v>2.0833333333333333E-3</v>
      </c>
      <c r="J599" s="2" t="s">
        <v>18</v>
      </c>
      <c r="K599" s="2" t="s">
        <v>19</v>
      </c>
      <c r="L599" s="2" t="s">
        <v>51</v>
      </c>
      <c r="M599" s="2" t="s">
        <v>77</v>
      </c>
      <c r="N599" s="2" t="s">
        <v>65</v>
      </c>
    </row>
    <row r="600" spans="1:14" x14ac:dyDescent="0.5">
      <c r="A600" s="2" t="s">
        <v>14</v>
      </c>
      <c r="B600" s="3">
        <v>22</v>
      </c>
      <c r="C600" s="4" t="s">
        <v>44</v>
      </c>
      <c r="D600" s="2" t="s">
        <v>38</v>
      </c>
      <c r="E600" s="2" t="s">
        <v>42</v>
      </c>
      <c r="F600" s="5">
        <v>3</v>
      </c>
      <c r="G600" s="1">
        <v>15000000</v>
      </c>
      <c r="H600" s="2">
        <v>6</v>
      </c>
      <c r="I600" s="6">
        <v>2.0833333333333333E-3</v>
      </c>
      <c r="J600" s="2" t="s">
        <v>18</v>
      </c>
      <c r="K600" s="2" t="s">
        <v>24</v>
      </c>
      <c r="L600" s="2" t="s">
        <v>43</v>
      </c>
      <c r="M600" s="2" t="s">
        <v>78</v>
      </c>
      <c r="N600" s="2" t="s">
        <v>66</v>
      </c>
    </row>
    <row r="601" spans="1:14" x14ac:dyDescent="0.5">
      <c r="A601" s="2" t="s">
        <v>14</v>
      </c>
      <c r="B601" s="3">
        <v>31</v>
      </c>
      <c r="C601" s="4" t="s">
        <v>69</v>
      </c>
      <c r="D601" s="2" t="s">
        <v>32</v>
      </c>
      <c r="E601" s="2" t="s">
        <v>68</v>
      </c>
      <c r="F601" s="5">
        <v>2</v>
      </c>
      <c r="G601" s="1">
        <v>38000000</v>
      </c>
      <c r="H601" s="2">
        <v>4</v>
      </c>
      <c r="I601" s="6">
        <v>2.0833333333333333E-3</v>
      </c>
      <c r="J601" s="2" t="s">
        <v>46</v>
      </c>
      <c r="K601" s="2" t="s">
        <v>56</v>
      </c>
      <c r="L601" s="2" t="s">
        <v>30</v>
      </c>
      <c r="M601" s="2" t="s">
        <v>76</v>
      </c>
      <c r="N601" s="2" t="s">
        <v>71</v>
      </c>
    </row>
    <row r="602" spans="1:14" x14ac:dyDescent="0.5">
      <c r="A602" s="2" t="s">
        <v>14</v>
      </c>
      <c r="B602" s="3">
        <v>15</v>
      </c>
      <c r="C602" s="4" t="s">
        <v>57</v>
      </c>
      <c r="D602" s="2" t="s">
        <v>16</v>
      </c>
      <c r="E602" s="2" t="s">
        <v>23</v>
      </c>
      <c r="F602" s="5">
        <v>2</v>
      </c>
      <c r="G602" s="1">
        <v>12000000</v>
      </c>
      <c r="H602" s="2">
        <v>2</v>
      </c>
      <c r="I602" s="6">
        <v>2.0833333333333333E-3</v>
      </c>
      <c r="J602" s="2" t="s">
        <v>18</v>
      </c>
      <c r="K602" s="2" t="s">
        <v>29</v>
      </c>
      <c r="L602" s="2" t="s">
        <v>51</v>
      </c>
      <c r="M602" s="2" t="s">
        <v>76</v>
      </c>
      <c r="N602" s="2" t="s">
        <v>26</v>
      </c>
    </row>
    <row r="603" spans="1:14" x14ac:dyDescent="0.5">
      <c r="A603" s="2" t="s">
        <v>14</v>
      </c>
      <c r="B603" s="3">
        <v>8</v>
      </c>
      <c r="C603" s="4" t="s">
        <v>59</v>
      </c>
      <c r="D603" s="2" t="s">
        <v>16</v>
      </c>
      <c r="E603" s="2" t="s">
        <v>42</v>
      </c>
      <c r="F603" s="5">
        <v>3</v>
      </c>
      <c r="G603" s="1">
        <v>15000000</v>
      </c>
      <c r="H603" s="2">
        <v>3</v>
      </c>
      <c r="I603" s="6">
        <v>2.0833333333333333E-3</v>
      </c>
      <c r="J603" s="2" t="s">
        <v>18</v>
      </c>
      <c r="K603" s="2" t="s">
        <v>29</v>
      </c>
      <c r="L603" s="2" t="s">
        <v>40</v>
      </c>
      <c r="M603" s="2" t="s">
        <v>76</v>
      </c>
      <c r="N603" s="2" t="s">
        <v>26</v>
      </c>
    </row>
    <row r="604" spans="1:14" x14ac:dyDescent="0.5">
      <c r="A604" s="2" t="s">
        <v>14</v>
      </c>
      <c r="B604" s="3">
        <v>16</v>
      </c>
      <c r="C604" s="4" t="s">
        <v>22</v>
      </c>
      <c r="D604" s="2" t="s">
        <v>28</v>
      </c>
      <c r="E604" s="2" t="s">
        <v>23</v>
      </c>
      <c r="F604" s="5">
        <v>4</v>
      </c>
      <c r="G604" s="1">
        <v>11000000</v>
      </c>
      <c r="H604" s="2">
        <v>3</v>
      </c>
      <c r="I604" s="6">
        <v>2.0833333333333333E-3</v>
      </c>
      <c r="J604" s="2" t="s">
        <v>61</v>
      </c>
      <c r="K604" s="2" t="s">
        <v>29</v>
      </c>
      <c r="L604" s="2" t="s">
        <v>33</v>
      </c>
      <c r="M604" s="2" t="s">
        <v>78</v>
      </c>
      <c r="N604" s="2" t="s">
        <v>53</v>
      </c>
    </row>
    <row r="605" spans="1:14" x14ac:dyDescent="0.5">
      <c r="A605" s="2" t="s">
        <v>70</v>
      </c>
      <c r="B605" s="3">
        <v>4</v>
      </c>
      <c r="C605" s="4" t="s">
        <v>59</v>
      </c>
      <c r="D605" s="2" t="s">
        <v>16</v>
      </c>
      <c r="E605" s="2" t="s">
        <v>17</v>
      </c>
      <c r="F605" s="5">
        <v>0</v>
      </c>
      <c r="G605" s="1">
        <v>0</v>
      </c>
      <c r="H605" s="2">
        <v>3</v>
      </c>
      <c r="I605" s="6">
        <v>2.0833333333333333E-3</v>
      </c>
      <c r="J605" s="2"/>
      <c r="K605" s="2"/>
      <c r="L605" s="2" t="s">
        <v>30</v>
      </c>
      <c r="M605" s="2" t="s">
        <v>76</v>
      </c>
      <c r="N605" s="2" t="s">
        <v>26</v>
      </c>
    </row>
    <row r="606" spans="1:14" x14ac:dyDescent="0.5">
      <c r="A606" s="2" t="s">
        <v>70</v>
      </c>
      <c r="B606" s="3">
        <v>28</v>
      </c>
      <c r="C606" s="4" t="s">
        <v>27</v>
      </c>
      <c r="D606" s="2" t="s">
        <v>16</v>
      </c>
      <c r="E606" s="2" t="s">
        <v>17</v>
      </c>
      <c r="F606" s="5">
        <v>0</v>
      </c>
      <c r="G606" s="1">
        <v>0</v>
      </c>
      <c r="H606" s="2">
        <v>3</v>
      </c>
      <c r="I606" s="6">
        <v>2.0833333333333333E-3</v>
      </c>
      <c r="J606" s="2"/>
      <c r="K606" s="2"/>
      <c r="L606" s="2" t="s">
        <v>51</v>
      </c>
      <c r="M606" s="2" t="s">
        <v>66</v>
      </c>
      <c r="N606" s="2" t="s">
        <v>36</v>
      </c>
    </row>
    <row r="607" spans="1:14" x14ac:dyDescent="0.5">
      <c r="A607" s="2" t="s">
        <v>70</v>
      </c>
      <c r="B607" s="3">
        <v>10</v>
      </c>
      <c r="C607" s="4" t="s">
        <v>37</v>
      </c>
      <c r="D607" s="2" t="s">
        <v>28</v>
      </c>
      <c r="E607" s="2" t="s">
        <v>42</v>
      </c>
      <c r="F607" s="5">
        <v>0</v>
      </c>
      <c r="G607" s="1">
        <v>0</v>
      </c>
      <c r="H607" s="2">
        <v>3</v>
      </c>
      <c r="I607" s="6">
        <v>2.0833333333333333E-3</v>
      </c>
      <c r="J607" s="2"/>
      <c r="K607" s="2"/>
      <c r="L607" s="2" t="s">
        <v>30</v>
      </c>
      <c r="M607" s="2" t="s">
        <v>78</v>
      </c>
      <c r="N607" s="2" t="s">
        <v>66</v>
      </c>
    </row>
    <row r="608" spans="1:14" x14ac:dyDescent="0.5">
      <c r="A608" s="2" t="s">
        <v>70</v>
      </c>
      <c r="B608" s="3">
        <v>22</v>
      </c>
      <c r="C608" s="4" t="s">
        <v>44</v>
      </c>
      <c r="D608" s="2" t="s">
        <v>49</v>
      </c>
      <c r="E608" s="2" t="s">
        <v>23</v>
      </c>
      <c r="F608" s="5">
        <v>0</v>
      </c>
      <c r="G608" s="1">
        <v>0</v>
      </c>
      <c r="H608" s="2">
        <v>1</v>
      </c>
      <c r="I608" s="6">
        <v>2.0833333333333333E-3</v>
      </c>
      <c r="J608" s="2"/>
      <c r="K608" s="2"/>
      <c r="L608" s="2" t="s">
        <v>40</v>
      </c>
      <c r="M608" s="2" t="s">
        <v>77</v>
      </c>
      <c r="N608" s="2" t="s">
        <v>54</v>
      </c>
    </row>
    <row r="609" spans="1:14" x14ac:dyDescent="0.5">
      <c r="A609" s="2" t="s">
        <v>70</v>
      </c>
      <c r="B609" s="3">
        <v>4</v>
      </c>
      <c r="C609" s="4" t="s">
        <v>59</v>
      </c>
      <c r="D609" s="2" t="s">
        <v>16</v>
      </c>
      <c r="E609" s="2" t="s">
        <v>17</v>
      </c>
      <c r="F609" s="5">
        <v>0</v>
      </c>
      <c r="G609" s="1">
        <v>0</v>
      </c>
      <c r="H609" s="2">
        <v>3</v>
      </c>
      <c r="I609" s="6">
        <v>2.0833333333333333E-3</v>
      </c>
      <c r="J609" s="2"/>
      <c r="K609" s="2"/>
      <c r="L609" s="2" t="s">
        <v>30</v>
      </c>
      <c r="M609" s="2" t="s">
        <v>76</v>
      </c>
      <c r="N609" s="2" t="s">
        <v>26</v>
      </c>
    </row>
    <row r="610" spans="1:14" x14ac:dyDescent="0.5">
      <c r="A610" s="2" t="s">
        <v>14</v>
      </c>
      <c r="B610" s="3">
        <v>4</v>
      </c>
      <c r="C610" s="4" t="s">
        <v>59</v>
      </c>
      <c r="D610" s="2" t="s">
        <v>38</v>
      </c>
      <c r="E610" s="2" t="s">
        <v>42</v>
      </c>
      <c r="F610" s="5">
        <v>1</v>
      </c>
      <c r="G610" s="1">
        <v>19000000</v>
      </c>
      <c r="H610" s="2">
        <v>1</v>
      </c>
      <c r="I610" s="6">
        <v>2.1990740740740742E-3</v>
      </c>
      <c r="J610" s="2" t="s">
        <v>46</v>
      </c>
      <c r="K610" s="2" t="s">
        <v>56</v>
      </c>
      <c r="L610" s="2" t="s">
        <v>33</v>
      </c>
      <c r="M610" s="2" t="s">
        <v>77</v>
      </c>
      <c r="N610" s="2" t="s">
        <v>34</v>
      </c>
    </row>
    <row r="611" spans="1:14" x14ac:dyDescent="0.5">
      <c r="A611" s="2" t="s">
        <v>14</v>
      </c>
      <c r="B611" s="3">
        <v>17</v>
      </c>
      <c r="C611" s="4" t="s">
        <v>22</v>
      </c>
      <c r="D611" s="2" t="s">
        <v>16</v>
      </c>
      <c r="E611" s="2" t="s">
        <v>42</v>
      </c>
      <c r="F611" s="5">
        <v>3</v>
      </c>
      <c r="G611" s="1">
        <v>15000000</v>
      </c>
      <c r="H611" s="2">
        <v>2</v>
      </c>
      <c r="I611" s="6">
        <v>2.1990740740740742E-3</v>
      </c>
      <c r="J611" s="2" t="s">
        <v>18</v>
      </c>
      <c r="K611" s="2" t="s">
        <v>39</v>
      </c>
      <c r="L611" s="2" t="s">
        <v>43</v>
      </c>
      <c r="M611" s="2" t="s">
        <v>76</v>
      </c>
      <c r="N611" s="2" t="s">
        <v>75</v>
      </c>
    </row>
    <row r="612" spans="1:14" x14ac:dyDescent="0.5">
      <c r="A612" s="2" t="s">
        <v>14</v>
      </c>
      <c r="B612" s="3">
        <v>30</v>
      </c>
      <c r="C612" s="4" t="s">
        <v>27</v>
      </c>
      <c r="D612" s="2" t="s">
        <v>16</v>
      </c>
      <c r="E612" s="2" t="s">
        <v>17</v>
      </c>
      <c r="F612" s="5">
        <v>1</v>
      </c>
      <c r="G612" s="1">
        <v>7000000</v>
      </c>
      <c r="H612" s="2">
        <v>2</v>
      </c>
      <c r="I612" s="6">
        <v>2.1990740740740742E-3</v>
      </c>
      <c r="J612" s="2" t="s">
        <v>18</v>
      </c>
      <c r="K612" s="2" t="s">
        <v>19</v>
      </c>
      <c r="L612" s="2" t="s">
        <v>40</v>
      </c>
      <c r="M612" s="2" t="s">
        <v>66</v>
      </c>
      <c r="N612" s="2" t="s">
        <v>36</v>
      </c>
    </row>
    <row r="613" spans="1:14" x14ac:dyDescent="0.5">
      <c r="A613" s="2" t="s">
        <v>14</v>
      </c>
      <c r="B613" s="3">
        <v>18</v>
      </c>
      <c r="C613" s="4" t="s">
        <v>27</v>
      </c>
      <c r="D613" s="2" t="s">
        <v>16</v>
      </c>
      <c r="E613" s="2" t="s">
        <v>42</v>
      </c>
      <c r="F613" s="5">
        <v>2</v>
      </c>
      <c r="G613" s="1">
        <v>12000000</v>
      </c>
      <c r="H613" s="2">
        <v>2</v>
      </c>
      <c r="I613" s="6">
        <v>2.1990740740740742E-3</v>
      </c>
      <c r="J613" s="2" t="s">
        <v>18</v>
      </c>
      <c r="K613" s="2" t="s">
        <v>39</v>
      </c>
      <c r="L613" s="2" t="s">
        <v>20</v>
      </c>
      <c r="M613" s="2" t="s">
        <v>76</v>
      </c>
      <c r="N613" s="2" t="s">
        <v>52</v>
      </c>
    </row>
    <row r="614" spans="1:14" x14ac:dyDescent="0.5">
      <c r="A614" s="2" t="s">
        <v>14</v>
      </c>
      <c r="B614" s="3">
        <v>27</v>
      </c>
      <c r="C614" s="4" t="s">
        <v>27</v>
      </c>
      <c r="D614" s="2" t="s">
        <v>38</v>
      </c>
      <c r="E614" s="2" t="s">
        <v>42</v>
      </c>
      <c r="F614" s="5">
        <v>3</v>
      </c>
      <c r="G614" s="1">
        <v>11000000</v>
      </c>
      <c r="H614" s="2">
        <v>4</v>
      </c>
      <c r="I614" s="6">
        <v>2.1990740740740742E-3</v>
      </c>
      <c r="J614" s="2" t="s">
        <v>18</v>
      </c>
      <c r="K614" s="2" t="s">
        <v>56</v>
      </c>
      <c r="L614" s="2" t="s">
        <v>43</v>
      </c>
      <c r="M614" s="2" t="s">
        <v>78</v>
      </c>
      <c r="N614" s="2" t="s">
        <v>53</v>
      </c>
    </row>
    <row r="615" spans="1:14" x14ac:dyDescent="0.5">
      <c r="A615" s="2" t="s">
        <v>14</v>
      </c>
      <c r="B615" s="3">
        <v>12</v>
      </c>
      <c r="C615" s="4" t="s">
        <v>37</v>
      </c>
      <c r="D615" s="2" t="s">
        <v>32</v>
      </c>
      <c r="E615" s="2" t="s">
        <v>17</v>
      </c>
      <c r="F615" s="5">
        <v>2</v>
      </c>
      <c r="G615" s="1">
        <v>38000000</v>
      </c>
      <c r="H615" s="2">
        <v>4</v>
      </c>
      <c r="I615" s="6">
        <v>2.1990740740740742E-3</v>
      </c>
      <c r="J615" s="2" t="s">
        <v>46</v>
      </c>
      <c r="K615" s="2" t="s">
        <v>29</v>
      </c>
      <c r="L615" s="2" t="s">
        <v>48</v>
      </c>
      <c r="M615" s="2" t="s">
        <v>76</v>
      </c>
      <c r="N615" s="2" t="s">
        <v>71</v>
      </c>
    </row>
    <row r="616" spans="1:14" x14ac:dyDescent="0.5">
      <c r="A616" s="2" t="s">
        <v>14</v>
      </c>
      <c r="B616" s="3">
        <v>8</v>
      </c>
      <c r="C616" s="4" t="s">
        <v>37</v>
      </c>
      <c r="D616" s="2" t="s">
        <v>16</v>
      </c>
      <c r="E616" s="2" t="s">
        <v>23</v>
      </c>
      <c r="F616" s="5">
        <v>2</v>
      </c>
      <c r="G616" s="1">
        <v>12000000</v>
      </c>
      <c r="H616" s="2">
        <v>2</v>
      </c>
      <c r="I616" s="6">
        <v>2.1990740740740742E-3</v>
      </c>
      <c r="J616" s="2" t="s">
        <v>18</v>
      </c>
      <c r="K616" s="2" t="s">
        <v>56</v>
      </c>
      <c r="L616" s="2" t="s">
        <v>25</v>
      </c>
      <c r="M616" s="2" t="s">
        <v>78</v>
      </c>
      <c r="N616" s="2" t="s">
        <v>66</v>
      </c>
    </row>
    <row r="617" spans="1:14" x14ac:dyDescent="0.5">
      <c r="A617" s="2" t="s">
        <v>14</v>
      </c>
      <c r="B617" s="3">
        <v>11</v>
      </c>
      <c r="C617" s="4" t="s">
        <v>44</v>
      </c>
      <c r="D617" s="2" t="s">
        <v>49</v>
      </c>
      <c r="E617" s="2" t="s">
        <v>42</v>
      </c>
      <c r="F617" s="5">
        <v>5</v>
      </c>
      <c r="G617" s="1">
        <v>20000000</v>
      </c>
      <c r="H617" s="2">
        <v>4</v>
      </c>
      <c r="I617" s="6">
        <v>2.1990740740740742E-3</v>
      </c>
      <c r="J617" s="2" t="s">
        <v>18</v>
      </c>
      <c r="K617" s="2" t="s">
        <v>64</v>
      </c>
      <c r="L617" s="2" t="s">
        <v>48</v>
      </c>
      <c r="M617" s="2" t="s">
        <v>77</v>
      </c>
      <c r="N617" s="2" t="s">
        <v>54</v>
      </c>
    </row>
    <row r="618" spans="1:14" x14ac:dyDescent="0.5">
      <c r="A618" s="2" t="s">
        <v>14</v>
      </c>
      <c r="B618" s="3">
        <v>2</v>
      </c>
      <c r="C618" s="4" t="s">
        <v>69</v>
      </c>
      <c r="D618" s="2" t="s">
        <v>16</v>
      </c>
      <c r="E618" s="2" t="s">
        <v>17</v>
      </c>
      <c r="F618" s="5">
        <v>4</v>
      </c>
      <c r="G618" s="1">
        <v>15000000</v>
      </c>
      <c r="H618" s="2">
        <v>1</v>
      </c>
      <c r="I618" s="6">
        <v>2.1990740740740742E-3</v>
      </c>
      <c r="J618" s="2" t="s">
        <v>18</v>
      </c>
      <c r="K618" s="2" t="s">
        <v>19</v>
      </c>
      <c r="L618" s="2" t="s">
        <v>25</v>
      </c>
      <c r="M618" s="2" t="s">
        <v>76</v>
      </c>
      <c r="N618" s="2" t="s">
        <v>31</v>
      </c>
    </row>
    <row r="619" spans="1:14" x14ac:dyDescent="0.5">
      <c r="A619" s="2" t="s">
        <v>14</v>
      </c>
      <c r="B619" s="3">
        <v>4</v>
      </c>
      <c r="C619" s="4" t="s">
        <v>59</v>
      </c>
      <c r="D619" s="2" t="s">
        <v>38</v>
      </c>
      <c r="E619" s="2" t="s">
        <v>42</v>
      </c>
      <c r="F619" s="5">
        <v>1</v>
      </c>
      <c r="G619" s="1">
        <v>19000000</v>
      </c>
      <c r="H619" s="2">
        <v>1</v>
      </c>
      <c r="I619" s="6">
        <v>2.1990740740740742E-3</v>
      </c>
      <c r="J619" s="2" t="s">
        <v>46</v>
      </c>
      <c r="K619" s="2" t="s">
        <v>56</v>
      </c>
      <c r="L619" s="2" t="s">
        <v>33</v>
      </c>
      <c r="M619" s="2" t="s">
        <v>77</v>
      </c>
      <c r="N619" s="2" t="s">
        <v>34</v>
      </c>
    </row>
    <row r="620" spans="1:14" x14ac:dyDescent="0.5">
      <c r="A620" s="2" t="s">
        <v>14</v>
      </c>
      <c r="B620" s="3">
        <v>17</v>
      </c>
      <c r="C620" s="4" t="s">
        <v>22</v>
      </c>
      <c r="D620" s="2" t="s">
        <v>16</v>
      </c>
      <c r="E620" s="2" t="s">
        <v>42</v>
      </c>
      <c r="F620" s="5">
        <v>3</v>
      </c>
      <c r="G620" s="1">
        <v>15000000</v>
      </c>
      <c r="H620" s="2">
        <v>2</v>
      </c>
      <c r="I620" s="6">
        <v>2.1990740740740742E-3</v>
      </c>
      <c r="J620" s="2" t="s">
        <v>18</v>
      </c>
      <c r="K620" s="2" t="s">
        <v>39</v>
      </c>
      <c r="L620" s="2" t="s">
        <v>43</v>
      </c>
      <c r="M620" s="2" t="s">
        <v>76</v>
      </c>
      <c r="N620" s="2" t="s">
        <v>75</v>
      </c>
    </row>
    <row r="621" spans="1:14" x14ac:dyDescent="0.5">
      <c r="A621" s="2" t="s">
        <v>70</v>
      </c>
      <c r="B621" s="3">
        <v>13</v>
      </c>
      <c r="C621" s="4" t="s">
        <v>15</v>
      </c>
      <c r="D621" s="2" t="s">
        <v>28</v>
      </c>
      <c r="E621" s="2" t="s">
        <v>42</v>
      </c>
      <c r="F621" s="5">
        <v>0</v>
      </c>
      <c r="G621" s="1">
        <v>0</v>
      </c>
      <c r="H621" s="2">
        <v>4</v>
      </c>
      <c r="I621" s="6">
        <v>2.1990740740740742E-3</v>
      </c>
      <c r="J621" s="2"/>
      <c r="K621" s="2"/>
      <c r="L621" s="2" t="s">
        <v>48</v>
      </c>
      <c r="M621" s="2" t="s">
        <v>78</v>
      </c>
      <c r="N621" s="2" t="s">
        <v>66</v>
      </c>
    </row>
    <row r="622" spans="1:14" x14ac:dyDescent="0.5">
      <c r="A622" s="2" t="s">
        <v>70</v>
      </c>
      <c r="B622" s="3">
        <v>27</v>
      </c>
      <c r="C622" s="4" t="s">
        <v>37</v>
      </c>
      <c r="D622" s="2" t="s">
        <v>28</v>
      </c>
      <c r="E622" s="2" t="s">
        <v>42</v>
      </c>
      <c r="F622" s="5">
        <v>0</v>
      </c>
      <c r="G622" s="1">
        <v>0</v>
      </c>
      <c r="H622" s="2">
        <v>2</v>
      </c>
      <c r="I622" s="6">
        <v>2.1990740740740742E-3</v>
      </c>
      <c r="J622" s="2"/>
      <c r="K622" s="2"/>
      <c r="L622" s="2" t="s">
        <v>43</v>
      </c>
      <c r="M622" s="2" t="s">
        <v>78</v>
      </c>
      <c r="N622" s="2" t="s">
        <v>62</v>
      </c>
    </row>
    <row r="623" spans="1:14" x14ac:dyDescent="0.5">
      <c r="A623" s="2" t="s">
        <v>70</v>
      </c>
      <c r="B623" s="3">
        <v>20</v>
      </c>
      <c r="C623" s="4" t="s">
        <v>37</v>
      </c>
      <c r="D623" s="2" t="s">
        <v>49</v>
      </c>
      <c r="E623" s="2" t="s">
        <v>42</v>
      </c>
      <c r="F623" s="5">
        <v>0</v>
      </c>
      <c r="G623" s="1">
        <v>0</v>
      </c>
      <c r="H623" s="2">
        <v>1</v>
      </c>
      <c r="I623" s="6">
        <v>2.1990740740740742E-3</v>
      </c>
      <c r="J623" s="2"/>
      <c r="K623" s="2"/>
      <c r="L623" s="2" t="s">
        <v>33</v>
      </c>
      <c r="M623" s="2" t="s">
        <v>66</v>
      </c>
      <c r="N623" s="2" t="s">
        <v>67</v>
      </c>
    </row>
    <row r="624" spans="1:14" x14ac:dyDescent="0.5">
      <c r="A624" s="2" t="s">
        <v>70</v>
      </c>
      <c r="B624" s="3">
        <v>18</v>
      </c>
      <c r="C624" s="4" t="s">
        <v>44</v>
      </c>
      <c r="D624" s="2" t="s">
        <v>32</v>
      </c>
      <c r="E624" s="2" t="s">
        <v>42</v>
      </c>
      <c r="F624" s="5">
        <v>0</v>
      </c>
      <c r="G624" s="1">
        <v>0</v>
      </c>
      <c r="H624" s="2">
        <v>5</v>
      </c>
      <c r="I624" s="6">
        <v>2.1990740740740742E-3</v>
      </c>
      <c r="J624" s="2"/>
      <c r="K624" s="2"/>
      <c r="L624" s="2" t="s">
        <v>51</v>
      </c>
      <c r="M624" s="2" t="s">
        <v>78</v>
      </c>
      <c r="N624" s="2" t="s">
        <v>62</v>
      </c>
    </row>
    <row r="625" spans="1:14" x14ac:dyDescent="0.5">
      <c r="A625" s="2" t="s">
        <v>70</v>
      </c>
      <c r="B625" s="3">
        <v>13</v>
      </c>
      <c r="C625" s="4" t="s">
        <v>15</v>
      </c>
      <c r="D625" s="2" t="s">
        <v>28</v>
      </c>
      <c r="E625" s="2" t="s">
        <v>42</v>
      </c>
      <c r="F625" s="5">
        <v>0</v>
      </c>
      <c r="G625" s="1">
        <v>0</v>
      </c>
      <c r="H625" s="2">
        <v>4</v>
      </c>
      <c r="I625" s="6">
        <v>2.1990740740740742E-3</v>
      </c>
      <c r="J625" s="2"/>
      <c r="K625" s="2"/>
      <c r="L625" s="2" t="s">
        <v>48</v>
      </c>
      <c r="M625" s="2" t="s">
        <v>78</v>
      </c>
      <c r="N625" s="2" t="s">
        <v>66</v>
      </c>
    </row>
    <row r="626" spans="1:14" x14ac:dyDescent="0.5">
      <c r="A626" s="2" t="s">
        <v>14</v>
      </c>
      <c r="B626" s="3">
        <v>17</v>
      </c>
      <c r="C626" s="4" t="s">
        <v>55</v>
      </c>
      <c r="D626" s="2" t="s">
        <v>49</v>
      </c>
      <c r="E626" s="2" t="s">
        <v>68</v>
      </c>
      <c r="F626" s="5">
        <v>3</v>
      </c>
      <c r="G626" s="1">
        <v>15000000</v>
      </c>
      <c r="H626" s="2">
        <v>1</v>
      </c>
      <c r="I626" s="6">
        <v>2.2222222222222222E-3</v>
      </c>
      <c r="J626" s="2" t="s">
        <v>18</v>
      </c>
      <c r="K626" s="2" t="s">
        <v>24</v>
      </c>
      <c r="L626" s="2" t="s">
        <v>30</v>
      </c>
      <c r="M626" s="2" t="s">
        <v>66</v>
      </c>
      <c r="N626" s="2" t="s">
        <v>67</v>
      </c>
    </row>
    <row r="627" spans="1:14" x14ac:dyDescent="0.5">
      <c r="A627" s="2" t="s">
        <v>14</v>
      </c>
      <c r="B627" s="3">
        <v>11</v>
      </c>
      <c r="C627" s="4" t="s">
        <v>57</v>
      </c>
      <c r="D627" s="2" t="s">
        <v>16</v>
      </c>
      <c r="E627" s="2" t="s">
        <v>42</v>
      </c>
      <c r="F627" s="5">
        <v>3</v>
      </c>
      <c r="G627" s="1">
        <v>15000000</v>
      </c>
      <c r="H627" s="2">
        <v>5</v>
      </c>
      <c r="I627" s="6">
        <v>2.2222222222222222E-3</v>
      </c>
      <c r="J627" s="2" t="s">
        <v>18</v>
      </c>
      <c r="K627" s="2" t="s">
        <v>19</v>
      </c>
      <c r="L627" s="2" t="s">
        <v>51</v>
      </c>
      <c r="M627" s="2" t="s">
        <v>66</v>
      </c>
      <c r="N627" s="2" t="s">
        <v>36</v>
      </c>
    </row>
    <row r="628" spans="1:14" x14ac:dyDescent="0.5">
      <c r="A628" s="2" t="s">
        <v>14</v>
      </c>
      <c r="B628" s="3">
        <v>1</v>
      </c>
      <c r="C628" s="4" t="s">
        <v>59</v>
      </c>
      <c r="D628" s="2" t="s">
        <v>49</v>
      </c>
      <c r="E628" s="2" t="s">
        <v>42</v>
      </c>
      <c r="F628" s="5">
        <v>4</v>
      </c>
      <c r="G628" s="1">
        <v>20000000</v>
      </c>
      <c r="H628" s="2">
        <v>3</v>
      </c>
      <c r="I628" s="6">
        <v>2.2222222222222222E-3</v>
      </c>
      <c r="J628" s="2" t="s">
        <v>18</v>
      </c>
      <c r="K628" s="2" t="s">
        <v>56</v>
      </c>
      <c r="L628" s="2" t="s">
        <v>33</v>
      </c>
      <c r="M628" s="2" t="s">
        <v>76</v>
      </c>
      <c r="N628" s="2" t="s">
        <v>52</v>
      </c>
    </row>
    <row r="629" spans="1:14" x14ac:dyDescent="0.5">
      <c r="A629" s="2" t="s">
        <v>14</v>
      </c>
      <c r="B629" s="3">
        <v>10</v>
      </c>
      <c r="C629" s="4" t="s">
        <v>72</v>
      </c>
      <c r="D629" s="2" t="s">
        <v>32</v>
      </c>
      <c r="E629" s="2" t="s">
        <v>42</v>
      </c>
      <c r="F629" s="5">
        <v>1</v>
      </c>
      <c r="G629" s="1">
        <v>7000000</v>
      </c>
      <c r="H629" s="2">
        <v>4</v>
      </c>
      <c r="I629" s="6">
        <v>2.2222222222222222E-3</v>
      </c>
      <c r="J629" s="2" t="s">
        <v>18</v>
      </c>
      <c r="K629" s="2" t="s">
        <v>19</v>
      </c>
      <c r="L629" s="2" t="s">
        <v>51</v>
      </c>
      <c r="M629" s="2" t="s">
        <v>78</v>
      </c>
      <c r="N629" s="2" t="s">
        <v>53</v>
      </c>
    </row>
    <row r="630" spans="1:14" x14ac:dyDescent="0.5">
      <c r="A630" s="2" t="s">
        <v>14</v>
      </c>
      <c r="B630" s="3">
        <v>30</v>
      </c>
      <c r="C630" s="4" t="s">
        <v>27</v>
      </c>
      <c r="D630" s="2" t="s">
        <v>16</v>
      </c>
      <c r="E630" s="2" t="s">
        <v>42</v>
      </c>
      <c r="F630" s="5">
        <v>1</v>
      </c>
      <c r="G630" s="1">
        <v>19000000</v>
      </c>
      <c r="H630" s="2">
        <v>1</v>
      </c>
      <c r="I630" s="6">
        <v>2.2222222222222222E-3</v>
      </c>
      <c r="J630" s="2" t="s">
        <v>46</v>
      </c>
      <c r="K630" s="2" t="s">
        <v>29</v>
      </c>
      <c r="L630" s="2" t="s">
        <v>20</v>
      </c>
      <c r="M630" s="2" t="s">
        <v>76</v>
      </c>
      <c r="N630" s="2" t="s">
        <v>31</v>
      </c>
    </row>
    <row r="631" spans="1:14" x14ac:dyDescent="0.5">
      <c r="A631" s="2" t="s">
        <v>14</v>
      </c>
      <c r="B631" s="3">
        <v>28</v>
      </c>
      <c r="C631" s="4" t="s">
        <v>27</v>
      </c>
      <c r="D631" s="2" t="s">
        <v>49</v>
      </c>
      <c r="E631" s="2" t="s">
        <v>45</v>
      </c>
      <c r="F631" s="5">
        <v>4</v>
      </c>
      <c r="G631" s="1">
        <v>11000000</v>
      </c>
      <c r="H631" s="2">
        <v>2</v>
      </c>
      <c r="I631" s="6">
        <v>2.2222222222222222E-3</v>
      </c>
      <c r="J631" s="2" t="s">
        <v>61</v>
      </c>
      <c r="K631" s="2" t="s">
        <v>56</v>
      </c>
      <c r="L631" s="2" t="s">
        <v>20</v>
      </c>
      <c r="M631" s="2" t="s">
        <v>76</v>
      </c>
      <c r="N631" s="2" t="s">
        <v>26</v>
      </c>
    </row>
    <row r="632" spans="1:14" x14ac:dyDescent="0.5">
      <c r="A632" s="2" t="s">
        <v>14</v>
      </c>
      <c r="B632" s="3">
        <v>22</v>
      </c>
      <c r="C632" s="4" t="s">
        <v>27</v>
      </c>
      <c r="D632" s="2" t="s">
        <v>16</v>
      </c>
      <c r="E632" s="2" t="s">
        <v>42</v>
      </c>
      <c r="F632" s="5">
        <v>5</v>
      </c>
      <c r="G632" s="1">
        <v>25000000</v>
      </c>
      <c r="H632" s="2">
        <v>3</v>
      </c>
      <c r="I632" s="6">
        <v>2.2222222222222222E-3</v>
      </c>
      <c r="J632" s="2" t="s">
        <v>18</v>
      </c>
      <c r="K632" s="2" t="s">
        <v>19</v>
      </c>
      <c r="L632" s="2" t="s">
        <v>43</v>
      </c>
      <c r="M632" s="2" t="s">
        <v>77</v>
      </c>
      <c r="N632" s="2" t="s">
        <v>65</v>
      </c>
    </row>
    <row r="633" spans="1:14" x14ac:dyDescent="0.5">
      <c r="A633" s="2" t="s">
        <v>14</v>
      </c>
      <c r="B633" s="3">
        <v>11</v>
      </c>
      <c r="C633" s="4" t="s">
        <v>27</v>
      </c>
      <c r="D633" s="2" t="s">
        <v>16</v>
      </c>
      <c r="E633" s="2" t="s">
        <v>17</v>
      </c>
      <c r="F633" s="5">
        <v>2</v>
      </c>
      <c r="G633" s="1">
        <v>12000000</v>
      </c>
      <c r="H633" s="2">
        <v>3</v>
      </c>
      <c r="I633" s="6">
        <v>2.2222222222222222E-3</v>
      </c>
      <c r="J633" s="2" t="s">
        <v>18</v>
      </c>
      <c r="K633" s="2" t="s">
        <v>19</v>
      </c>
      <c r="L633" s="2" t="s">
        <v>51</v>
      </c>
      <c r="M633" s="2" t="s">
        <v>76</v>
      </c>
      <c r="N633" s="2" t="s">
        <v>71</v>
      </c>
    </row>
    <row r="634" spans="1:14" x14ac:dyDescent="0.5">
      <c r="A634" s="2" t="s">
        <v>14</v>
      </c>
      <c r="B634" s="3">
        <v>30</v>
      </c>
      <c r="C634" s="4" t="s">
        <v>27</v>
      </c>
      <c r="D634" s="2" t="s">
        <v>38</v>
      </c>
      <c r="E634" s="2" t="s">
        <v>23</v>
      </c>
      <c r="F634" s="5">
        <v>3</v>
      </c>
      <c r="G634" s="1">
        <v>15000000</v>
      </c>
      <c r="H634" s="2">
        <v>5</v>
      </c>
      <c r="I634" s="6">
        <v>2.2222222222222222E-3</v>
      </c>
      <c r="J634" s="2" t="s">
        <v>18</v>
      </c>
      <c r="K634" s="2" t="s">
        <v>29</v>
      </c>
      <c r="L634" s="2" t="s">
        <v>51</v>
      </c>
      <c r="M634" s="2" t="s">
        <v>76</v>
      </c>
      <c r="N634" s="2" t="s">
        <v>52</v>
      </c>
    </row>
    <row r="635" spans="1:14" x14ac:dyDescent="0.5">
      <c r="A635" s="2" t="s">
        <v>14</v>
      </c>
      <c r="B635" s="3">
        <v>2</v>
      </c>
      <c r="C635" s="4" t="s">
        <v>37</v>
      </c>
      <c r="D635" s="2" t="s">
        <v>49</v>
      </c>
      <c r="E635" s="2" t="s">
        <v>42</v>
      </c>
      <c r="F635" s="5">
        <v>5</v>
      </c>
      <c r="G635" s="1">
        <v>21000000</v>
      </c>
      <c r="H635" s="2">
        <v>1</v>
      </c>
      <c r="I635" s="6">
        <v>2.2222222222222222E-3</v>
      </c>
      <c r="J635" s="2" t="s">
        <v>18</v>
      </c>
      <c r="K635" s="2" t="s">
        <v>47</v>
      </c>
      <c r="L635" s="2" t="s">
        <v>30</v>
      </c>
      <c r="M635" s="2" t="s">
        <v>77</v>
      </c>
      <c r="N635" s="2" t="s">
        <v>54</v>
      </c>
    </row>
    <row r="636" spans="1:14" x14ac:dyDescent="0.5">
      <c r="A636" s="2" t="s">
        <v>14</v>
      </c>
      <c r="B636" s="3">
        <v>25</v>
      </c>
      <c r="C636" s="4" t="s">
        <v>37</v>
      </c>
      <c r="D636" s="2" t="s">
        <v>32</v>
      </c>
      <c r="E636" s="2" t="s">
        <v>17</v>
      </c>
      <c r="F636" s="5">
        <v>5</v>
      </c>
      <c r="G636" s="1">
        <v>25000000</v>
      </c>
      <c r="H636" s="2">
        <v>2</v>
      </c>
      <c r="I636" s="6">
        <v>2.2222222222222222E-3</v>
      </c>
      <c r="J636" s="2" t="s">
        <v>18</v>
      </c>
      <c r="K636" s="2" t="s">
        <v>39</v>
      </c>
      <c r="L636" s="2" t="s">
        <v>30</v>
      </c>
      <c r="M636" s="2" t="s">
        <v>78</v>
      </c>
      <c r="N636" s="2" t="s">
        <v>63</v>
      </c>
    </row>
    <row r="637" spans="1:14" x14ac:dyDescent="0.5">
      <c r="A637" s="2" t="s">
        <v>14</v>
      </c>
      <c r="B637" s="3">
        <v>28</v>
      </c>
      <c r="C637" s="4" t="s">
        <v>37</v>
      </c>
      <c r="D637" s="2" t="s">
        <v>73</v>
      </c>
      <c r="E637" s="2" t="s">
        <v>23</v>
      </c>
      <c r="F637" s="5">
        <v>1</v>
      </c>
      <c r="G637" s="1">
        <v>7000000</v>
      </c>
      <c r="H637" s="2">
        <v>2</v>
      </c>
      <c r="I637" s="6">
        <v>2.2222222222222222E-3</v>
      </c>
      <c r="J637" s="2" t="s">
        <v>18</v>
      </c>
      <c r="K637" s="2" t="s">
        <v>24</v>
      </c>
      <c r="L637" s="2" t="s">
        <v>51</v>
      </c>
      <c r="M637" s="2" t="s">
        <v>76</v>
      </c>
      <c r="N637" s="2" t="s">
        <v>26</v>
      </c>
    </row>
    <row r="638" spans="1:14" x14ac:dyDescent="0.5">
      <c r="A638" s="2" t="s">
        <v>14</v>
      </c>
      <c r="B638" s="3">
        <v>22</v>
      </c>
      <c r="C638" s="4" t="s">
        <v>37</v>
      </c>
      <c r="D638" s="2" t="s">
        <v>32</v>
      </c>
      <c r="E638" s="2" t="s">
        <v>23</v>
      </c>
      <c r="F638" s="5">
        <v>3</v>
      </c>
      <c r="G638" s="1">
        <v>15000000</v>
      </c>
      <c r="H638" s="2">
        <v>2</v>
      </c>
      <c r="I638" s="6">
        <v>2.2222222222222222E-3</v>
      </c>
      <c r="J638" s="2" t="s">
        <v>18</v>
      </c>
      <c r="K638" s="2" t="s">
        <v>29</v>
      </c>
      <c r="L638" s="2" t="s">
        <v>48</v>
      </c>
      <c r="M638" s="2" t="s">
        <v>77</v>
      </c>
      <c r="N638" s="2" t="s">
        <v>54</v>
      </c>
    </row>
    <row r="639" spans="1:14" x14ac:dyDescent="0.5">
      <c r="A639" s="2" t="s">
        <v>14</v>
      </c>
      <c r="B639" s="3">
        <v>25</v>
      </c>
      <c r="C639" s="4" t="s">
        <v>37</v>
      </c>
      <c r="D639" s="2" t="s">
        <v>49</v>
      </c>
      <c r="E639" s="2" t="s">
        <v>42</v>
      </c>
      <c r="F639" s="5">
        <v>2</v>
      </c>
      <c r="G639" s="1">
        <v>12000000</v>
      </c>
      <c r="H639" s="2">
        <v>1</v>
      </c>
      <c r="I639" s="6">
        <v>2.2222222222222222E-3</v>
      </c>
      <c r="J639" s="2" t="s">
        <v>18</v>
      </c>
      <c r="K639" s="2" t="s">
        <v>29</v>
      </c>
      <c r="L639" s="2" t="s">
        <v>48</v>
      </c>
      <c r="M639" s="2" t="s">
        <v>77</v>
      </c>
      <c r="N639" s="2" t="s">
        <v>65</v>
      </c>
    </row>
    <row r="640" spans="1:14" x14ac:dyDescent="0.5">
      <c r="A640" s="2" t="s">
        <v>14</v>
      </c>
      <c r="B640" s="3">
        <v>29</v>
      </c>
      <c r="C640" s="4" t="s">
        <v>37</v>
      </c>
      <c r="D640" s="2" t="s">
        <v>49</v>
      </c>
      <c r="E640" s="2" t="s">
        <v>42</v>
      </c>
      <c r="F640" s="5">
        <v>2</v>
      </c>
      <c r="G640" s="1">
        <v>12000000</v>
      </c>
      <c r="H640" s="2">
        <v>1</v>
      </c>
      <c r="I640" s="6">
        <v>2.2222222222222222E-3</v>
      </c>
      <c r="J640" s="2" t="s">
        <v>18</v>
      </c>
      <c r="K640" s="2" t="s">
        <v>24</v>
      </c>
      <c r="L640" s="2" t="s">
        <v>51</v>
      </c>
      <c r="M640" s="2" t="s">
        <v>76</v>
      </c>
      <c r="N640" s="2" t="s">
        <v>26</v>
      </c>
    </row>
    <row r="641" spans="1:14" x14ac:dyDescent="0.5">
      <c r="A641" s="2" t="s">
        <v>14</v>
      </c>
      <c r="B641" s="3">
        <v>20</v>
      </c>
      <c r="C641" s="4" t="s">
        <v>44</v>
      </c>
      <c r="D641" s="2" t="s">
        <v>38</v>
      </c>
      <c r="E641" s="2" t="s">
        <v>42</v>
      </c>
      <c r="F641" s="5">
        <v>2</v>
      </c>
      <c r="G641" s="1">
        <v>38000000</v>
      </c>
      <c r="H641" s="2">
        <v>4</v>
      </c>
      <c r="I641" s="6">
        <v>2.2222222222222222E-3</v>
      </c>
      <c r="J641" s="2" t="s">
        <v>74</v>
      </c>
      <c r="K641" s="2" t="s">
        <v>19</v>
      </c>
      <c r="L641" s="2" t="s">
        <v>43</v>
      </c>
      <c r="M641" s="2" t="s">
        <v>66</v>
      </c>
      <c r="N641" s="2" t="s">
        <v>67</v>
      </c>
    </row>
    <row r="642" spans="1:14" x14ac:dyDescent="0.5">
      <c r="A642" s="2" t="s">
        <v>14</v>
      </c>
      <c r="B642" s="3">
        <v>9</v>
      </c>
      <c r="C642" s="4" t="s">
        <v>44</v>
      </c>
      <c r="D642" s="2" t="s">
        <v>32</v>
      </c>
      <c r="E642" s="2" t="s">
        <v>42</v>
      </c>
      <c r="F642" s="5">
        <v>5</v>
      </c>
      <c r="G642" s="1">
        <v>25000000</v>
      </c>
      <c r="H642" s="2">
        <v>2</v>
      </c>
      <c r="I642" s="6">
        <v>2.2222222222222222E-3</v>
      </c>
      <c r="J642" s="2" t="s">
        <v>18</v>
      </c>
      <c r="K642" s="2" t="s">
        <v>35</v>
      </c>
      <c r="L642" s="2" t="s">
        <v>33</v>
      </c>
      <c r="M642" s="2" t="s">
        <v>66</v>
      </c>
      <c r="N642" s="2" t="s">
        <v>36</v>
      </c>
    </row>
    <row r="643" spans="1:14" x14ac:dyDescent="0.5">
      <c r="A643" s="2" t="s">
        <v>14</v>
      </c>
      <c r="B643" s="3">
        <v>17</v>
      </c>
      <c r="C643" s="4" t="s">
        <v>69</v>
      </c>
      <c r="D643" s="2" t="s">
        <v>16</v>
      </c>
      <c r="E643" s="2" t="s">
        <v>23</v>
      </c>
      <c r="F643" s="5">
        <v>4</v>
      </c>
      <c r="G643" s="1">
        <v>11000000</v>
      </c>
      <c r="H643" s="2">
        <v>1</v>
      </c>
      <c r="I643" s="6">
        <v>2.2222222222222222E-3</v>
      </c>
      <c r="J643" s="2" t="s">
        <v>61</v>
      </c>
      <c r="K643" s="2" t="s">
        <v>64</v>
      </c>
      <c r="L643" s="2" t="s">
        <v>20</v>
      </c>
      <c r="M643" s="2" t="s">
        <v>76</v>
      </c>
      <c r="N643" s="2" t="s">
        <v>26</v>
      </c>
    </row>
    <row r="644" spans="1:14" x14ac:dyDescent="0.5">
      <c r="A644" s="2" t="s">
        <v>14</v>
      </c>
      <c r="B644" s="3">
        <v>10</v>
      </c>
      <c r="C644" s="4" t="s">
        <v>69</v>
      </c>
      <c r="D644" s="2" t="s">
        <v>49</v>
      </c>
      <c r="E644" s="2" t="s">
        <v>42</v>
      </c>
      <c r="F644" s="5">
        <v>2</v>
      </c>
      <c r="G644" s="1">
        <v>12000000</v>
      </c>
      <c r="H644" s="2">
        <v>4</v>
      </c>
      <c r="I644" s="6">
        <v>2.2222222222222222E-3</v>
      </c>
      <c r="J644" s="2" t="s">
        <v>18</v>
      </c>
      <c r="K644" s="2" t="s">
        <v>39</v>
      </c>
      <c r="L644" s="2" t="s">
        <v>20</v>
      </c>
      <c r="M644" s="2" t="s">
        <v>76</v>
      </c>
      <c r="N644" s="2" t="s">
        <v>52</v>
      </c>
    </row>
    <row r="645" spans="1:14" x14ac:dyDescent="0.5">
      <c r="A645" s="2" t="s">
        <v>14</v>
      </c>
      <c r="B645" s="3">
        <v>24</v>
      </c>
      <c r="C645" s="4" t="s">
        <v>69</v>
      </c>
      <c r="D645" s="2" t="s">
        <v>49</v>
      </c>
      <c r="E645" s="2" t="s">
        <v>42</v>
      </c>
      <c r="F645" s="5">
        <v>2</v>
      </c>
      <c r="G645" s="1">
        <v>12000000</v>
      </c>
      <c r="H645" s="2">
        <v>2</v>
      </c>
      <c r="I645" s="6">
        <v>2.2222222222222222E-3</v>
      </c>
      <c r="J645" s="2" t="s">
        <v>18</v>
      </c>
      <c r="K645" s="2" t="s">
        <v>29</v>
      </c>
      <c r="L645" s="2" t="s">
        <v>43</v>
      </c>
      <c r="M645" s="2" t="s">
        <v>77</v>
      </c>
      <c r="N645" s="2" t="s">
        <v>54</v>
      </c>
    </row>
    <row r="646" spans="1:14" x14ac:dyDescent="0.5">
      <c r="A646" s="2" t="s">
        <v>14</v>
      </c>
      <c r="B646" s="3">
        <v>20</v>
      </c>
      <c r="C646" s="4" t="s">
        <v>69</v>
      </c>
      <c r="D646" s="2" t="s">
        <v>38</v>
      </c>
      <c r="E646" s="2" t="s">
        <v>23</v>
      </c>
      <c r="F646" s="5">
        <v>4</v>
      </c>
      <c r="G646" s="1">
        <v>20000000</v>
      </c>
      <c r="H646" s="2">
        <v>4</v>
      </c>
      <c r="I646" s="6">
        <v>2.2222222222222222E-3</v>
      </c>
      <c r="J646" s="2" t="s">
        <v>18</v>
      </c>
      <c r="K646" s="2" t="s">
        <v>39</v>
      </c>
      <c r="L646" s="2" t="s">
        <v>48</v>
      </c>
      <c r="M646" s="2" t="s">
        <v>77</v>
      </c>
      <c r="N646" s="2" t="s">
        <v>65</v>
      </c>
    </row>
    <row r="647" spans="1:14" x14ac:dyDescent="0.5">
      <c r="A647" s="2" t="s">
        <v>14</v>
      </c>
      <c r="B647" s="3">
        <v>17</v>
      </c>
      <c r="C647" s="4" t="s">
        <v>55</v>
      </c>
      <c r="D647" s="2" t="s">
        <v>49</v>
      </c>
      <c r="E647" s="2" t="s">
        <v>68</v>
      </c>
      <c r="F647" s="5">
        <v>3</v>
      </c>
      <c r="G647" s="1">
        <v>15000000</v>
      </c>
      <c r="H647" s="2">
        <v>1</v>
      </c>
      <c r="I647" s="6">
        <v>2.2222222222222222E-3</v>
      </c>
      <c r="J647" s="2" t="s">
        <v>18</v>
      </c>
      <c r="K647" s="2" t="s">
        <v>24</v>
      </c>
      <c r="L647" s="2" t="s">
        <v>30</v>
      </c>
      <c r="M647" s="2" t="s">
        <v>66</v>
      </c>
      <c r="N647" s="2" t="s">
        <v>67</v>
      </c>
    </row>
    <row r="648" spans="1:14" x14ac:dyDescent="0.5">
      <c r="A648" s="2" t="s">
        <v>14</v>
      </c>
      <c r="B648" s="3">
        <v>11</v>
      </c>
      <c r="C648" s="4" t="s">
        <v>57</v>
      </c>
      <c r="D648" s="2" t="s">
        <v>16</v>
      </c>
      <c r="E648" s="2" t="s">
        <v>42</v>
      </c>
      <c r="F648" s="5">
        <v>3</v>
      </c>
      <c r="G648" s="1">
        <v>15000000</v>
      </c>
      <c r="H648" s="2">
        <v>5</v>
      </c>
      <c r="I648" s="6">
        <v>2.2222222222222222E-3</v>
      </c>
      <c r="J648" s="2" t="s">
        <v>18</v>
      </c>
      <c r="K648" s="2" t="s">
        <v>19</v>
      </c>
      <c r="L648" s="2" t="s">
        <v>51</v>
      </c>
      <c r="M648" s="2" t="s">
        <v>66</v>
      </c>
      <c r="N648" s="2" t="s">
        <v>36</v>
      </c>
    </row>
    <row r="649" spans="1:14" x14ac:dyDescent="0.5">
      <c r="A649" s="2" t="s">
        <v>14</v>
      </c>
      <c r="B649" s="3">
        <v>1</v>
      </c>
      <c r="C649" s="4" t="s">
        <v>59</v>
      </c>
      <c r="D649" s="2" t="s">
        <v>49</v>
      </c>
      <c r="E649" s="2" t="s">
        <v>42</v>
      </c>
      <c r="F649" s="5">
        <v>4</v>
      </c>
      <c r="G649" s="1">
        <v>20000000</v>
      </c>
      <c r="H649" s="2">
        <v>3</v>
      </c>
      <c r="I649" s="6">
        <v>2.2222222222222222E-3</v>
      </c>
      <c r="J649" s="2" t="s">
        <v>18</v>
      </c>
      <c r="K649" s="2" t="s">
        <v>56</v>
      </c>
      <c r="L649" s="2" t="s">
        <v>33</v>
      </c>
      <c r="M649" s="2" t="s">
        <v>76</v>
      </c>
      <c r="N649" s="2" t="s">
        <v>52</v>
      </c>
    </row>
    <row r="650" spans="1:14" x14ac:dyDescent="0.5">
      <c r="A650" s="2" t="s">
        <v>14</v>
      </c>
      <c r="B650" s="3">
        <v>10</v>
      </c>
      <c r="C650" s="4" t="s">
        <v>72</v>
      </c>
      <c r="D650" s="2" t="s">
        <v>32</v>
      </c>
      <c r="E650" s="2" t="s">
        <v>42</v>
      </c>
      <c r="F650" s="5">
        <v>1</v>
      </c>
      <c r="G650" s="1">
        <v>7000000</v>
      </c>
      <c r="H650" s="2">
        <v>4</v>
      </c>
      <c r="I650" s="6">
        <v>2.2222222222222222E-3</v>
      </c>
      <c r="J650" s="2" t="s">
        <v>18</v>
      </c>
      <c r="K650" s="2" t="s">
        <v>19</v>
      </c>
      <c r="L650" s="2" t="s">
        <v>51</v>
      </c>
      <c r="M650" s="2" t="s">
        <v>78</v>
      </c>
      <c r="N650" s="2" t="s">
        <v>53</v>
      </c>
    </row>
    <row r="651" spans="1:14" x14ac:dyDescent="0.5">
      <c r="A651" s="2" t="s">
        <v>70</v>
      </c>
      <c r="B651" s="3">
        <v>21</v>
      </c>
      <c r="C651" s="4" t="s">
        <v>57</v>
      </c>
      <c r="D651" s="2" t="s">
        <v>73</v>
      </c>
      <c r="E651" s="2" t="s">
        <v>42</v>
      </c>
      <c r="F651" s="5">
        <v>0</v>
      </c>
      <c r="G651" s="1">
        <v>0</v>
      </c>
      <c r="H651" s="2">
        <v>2</v>
      </c>
      <c r="I651" s="6">
        <v>2.2222222222222222E-3</v>
      </c>
      <c r="J651" s="2"/>
      <c r="K651" s="2"/>
      <c r="L651" s="2" t="s">
        <v>43</v>
      </c>
      <c r="M651" s="2" t="s">
        <v>78</v>
      </c>
      <c r="N651" s="2" t="s">
        <v>53</v>
      </c>
    </row>
    <row r="652" spans="1:14" x14ac:dyDescent="0.5">
      <c r="A652" s="2" t="s">
        <v>70</v>
      </c>
      <c r="B652" s="3">
        <v>16</v>
      </c>
      <c r="C652" s="4" t="s">
        <v>58</v>
      </c>
      <c r="D652" s="2" t="s">
        <v>28</v>
      </c>
      <c r="E652" s="2" t="s">
        <v>17</v>
      </c>
      <c r="F652" s="5">
        <v>0</v>
      </c>
      <c r="G652" s="1">
        <v>0</v>
      </c>
      <c r="H652" s="2">
        <v>5</v>
      </c>
      <c r="I652" s="6">
        <v>2.2222222222222222E-3</v>
      </c>
      <c r="J652" s="2"/>
      <c r="K652" s="2"/>
      <c r="L652" s="2" t="s">
        <v>40</v>
      </c>
      <c r="M652" s="2" t="s">
        <v>78</v>
      </c>
      <c r="N652" s="2" t="s">
        <v>53</v>
      </c>
    </row>
    <row r="653" spans="1:14" x14ac:dyDescent="0.5">
      <c r="A653" s="2" t="s">
        <v>70</v>
      </c>
      <c r="B653" s="3">
        <v>25</v>
      </c>
      <c r="C653" s="4" t="s">
        <v>27</v>
      </c>
      <c r="D653" s="2" t="s">
        <v>28</v>
      </c>
      <c r="E653" s="2" t="s">
        <v>42</v>
      </c>
      <c r="F653" s="5">
        <v>0</v>
      </c>
      <c r="G653" s="1">
        <v>0</v>
      </c>
      <c r="H653" s="2">
        <v>1</v>
      </c>
      <c r="I653" s="6">
        <v>2.2222222222222222E-3</v>
      </c>
      <c r="J653" s="2"/>
      <c r="K653" s="2"/>
      <c r="L653" s="2" t="s">
        <v>30</v>
      </c>
      <c r="M653" s="2" t="s">
        <v>78</v>
      </c>
      <c r="N653" s="2" t="s">
        <v>63</v>
      </c>
    </row>
    <row r="654" spans="1:14" x14ac:dyDescent="0.5">
      <c r="A654" s="2" t="s">
        <v>70</v>
      </c>
      <c r="B654" s="3">
        <v>7</v>
      </c>
      <c r="C654" s="4" t="s">
        <v>69</v>
      </c>
      <c r="D654" s="2" t="s">
        <v>16</v>
      </c>
      <c r="E654" s="2" t="s">
        <v>17</v>
      </c>
      <c r="F654" s="5">
        <v>0</v>
      </c>
      <c r="G654" s="1">
        <v>0</v>
      </c>
      <c r="H654" s="2">
        <v>1</v>
      </c>
      <c r="I654" s="6">
        <v>2.2222222222222222E-3</v>
      </c>
      <c r="J654" s="2"/>
      <c r="K654" s="2"/>
      <c r="L654" s="2" t="s">
        <v>33</v>
      </c>
      <c r="M654" s="2" t="s">
        <v>78</v>
      </c>
      <c r="N654" s="2" t="s">
        <v>41</v>
      </c>
    </row>
    <row r="655" spans="1:14" x14ac:dyDescent="0.5">
      <c r="A655" s="2" t="s">
        <v>70</v>
      </c>
      <c r="B655" s="3">
        <v>23</v>
      </c>
      <c r="C655" s="4" t="s">
        <v>69</v>
      </c>
      <c r="D655" s="2" t="s">
        <v>32</v>
      </c>
      <c r="E655" s="2" t="s">
        <v>42</v>
      </c>
      <c r="F655" s="5">
        <v>0</v>
      </c>
      <c r="G655" s="1">
        <v>0</v>
      </c>
      <c r="H655" s="2">
        <v>5</v>
      </c>
      <c r="I655" s="6">
        <v>2.2222222222222222E-3</v>
      </c>
      <c r="J655" s="2"/>
      <c r="K655" s="2"/>
      <c r="L655" s="2" t="s">
        <v>25</v>
      </c>
      <c r="M655" s="2" t="s">
        <v>76</v>
      </c>
      <c r="N655" s="2" t="s">
        <v>31</v>
      </c>
    </row>
    <row r="656" spans="1:14" x14ac:dyDescent="0.5">
      <c r="A656" s="2" t="s">
        <v>70</v>
      </c>
      <c r="B656" s="3">
        <v>21</v>
      </c>
      <c r="C656" s="4" t="s">
        <v>57</v>
      </c>
      <c r="D656" s="2" t="s">
        <v>73</v>
      </c>
      <c r="E656" s="2" t="s">
        <v>42</v>
      </c>
      <c r="F656" s="5">
        <v>0</v>
      </c>
      <c r="G656" s="1">
        <v>0</v>
      </c>
      <c r="H656" s="2">
        <v>2</v>
      </c>
      <c r="I656" s="6">
        <v>2.2222222222222222E-3</v>
      </c>
      <c r="J656" s="2"/>
      <c r="K656" s="2"/>
      <c r="L656" s="2" t="s">
        <v>43</v>
      </c>
      <c r="M656" s="2" t="s">
        <v>78</v>
      </c>
      <c r="N656" s="2" t="s">
        <v>53</v>
      </c>
    </row>
    <row r="657" spans="1:14" x14ac:dyDescent="0.5">
      <c r="A657" s="2" t="s">
        <v>70</v>
      </c>
      <c r="B657" s="3">
        <v>16</v>
      </c>
      <c r="C657" s="4" t="s">
        <v>58</v>
      </c>
      <c r="D657" s="2" t="s">
        <v>28</v>
      </c>
      <c r="E657" s="2" t="s">
        <v>17</v>
      </c>
      <c r="F657" s="5">
        <v>0</v>
      </c>
      <c r="G657" s="1">
        <v>0</v>
      </c>
      <c r="H657" s="2">
        <v>5</v>
      </c>
      <c r="I657" s="6">
        <v>2.2222222222222222E-3</v>
      </c>
      <c r="J657" s="2"/>
      <c r="K657" s="2"/>
      <c r="L657" s="2" t="s">
        <v>40</v>
      </c>
      <c r="M657" s="2" t="s">
        <v>78</v>
      </c>
      <c r="N657" s="2" t="s">
        <v>53</v>
      </c>
    </row>
    <row r="658" spans="1:14" x14ac:dyDescent="0.5">
      <c r="A658" s="2" t="s">
        <v>14</v>
      </c>
      <c r="B658" s="3">
        <v>30</v>
      </c>
      <c r="C658" s="4" t="s">
        <v>22</v>
      </c>
      <c r="D658" s="2" t="s">
        <v>28</v>
      </c>
      <c r="E658" s="2" t="s">
        <v>23</v>
      </c>
      <c r="F658" s="5">
        <v>5</v>
      </c>
      <c r="G658" s="1">
        <v>25000000</v>
      </c>
      <c r="H658" s="2">
        <v>1</v>
      </c>
      <c r="I658" s="6">
        <v>2.2453703703703702E-3</v>
      </c>
      <c r="J658" s="2" t="s">
        <v>18</v>
      </c>
      <c r="K658" s="2" t="s">
        <v>64</v>
      </c>
      <c r="L658" s="2" t="s">
        <v>25</v>
      </c>
      <c r="M658" s="2" t="s">
        <v>76</v>
      </c>
      <c r="N658" s="2" t="s">
        <v>26</v>
      </c>
    </row>
    <row r="659" spans="1:14" x14ac:dyDescent="0.5">
      <c r="A659" s="2" t="s">
        <v>14</v>
      </c>
      <c r="B659" s="3">
        <v>25</v>
      </c>
      <c r="C659" s="4" t="s">
        <v>27</v>
      </c>
      <c r="D659" s="2" t="s">
        <v>16</v>
      </c>
      <c r="E659" s="2" t="s">
        <v>23</v>
      </c>
      <c r="F659" s="5">
        <v>4</v>
      </c>
      <c r="G659" s="1">
        <v>20000000</v>
      </c>
      <c r="H659" s="2">
        <v>2</v>
      </c>
      <c r="I659" s="6">
        <v>2.2453703703703702E-3</v>
      </c>
      <c r="J659" s="2" t="s">
        <v>61</v>
      </c>
      <c r="K659" s="2" t="s">
        <v>19</v>
      </c>
      <c r="L659" s="2" t="s">
        <v>51</v>
      </c>
      <c r="M659" s="2" t="s">
        <v>78</v>
      </c>
      <c r="N659" s="2" t="s">
        <v>63</v>
      </c>
    </row>
    <row r="660" spans="1:14" x14ac:dyDescent="0.5">
      <c r="A660" s="2" t="s">
        <v>14</v>
      </c>
      <c r="B660" s="3">
        <v>9</v>
      </c>
      <c r="C660" s="4" t="s">
        <v>27</v>
      </c>
      <c r="D660" s="2" t="s">
        <v>28</v>
      </c>
      <c r="E660" s="2" t="s">
        <v>23</v>
      </c>
      <c r="F660" s="5">
        <v>1</v>
      </c>
      <c r="G660" s="1">
        <v>7000000</v>
      </c>
      <c r="H660" s="2">
        <v>2</v>
      </c>
      <c r="I660" s="6">
        <v>2.2453703703703702E-3</v>
      </c>
      <c r="J660" s="2" t="s">
        <v>18</v>
      </c>
      <c r="K660" s="2" t="s">
        <v>29</v>
      </c>
      <c r="L660" s="2" t="s">
        <v>43</v>
      </c>
      <c r="M660" s="2" t="s">
        <v>76</v>
      </c>
      <c r="N660" s="2" t="s">
        <v>26</v>
      </c>
    </row>
    <row r="661" spans="1:14" x14ac:dyDescent="0.5">
      <c r="A661" s="2" t="s">
        <v>14</v>
      </c>
      <c r="B661" s="3">
        <v>29</v>
      </c>
      <c r="C661" s="4" t="s">
        <v>37</v>
      </c>
      <c r="D661" s="2" t="s">
        <v>49</v>
      </c>
      <c r="E661" s="2" t="s">
        <v>42</v>
      </c>
      <c r="F661" s="5">
        <v>2</v>
      </c>
      <c r="G661" s="1">
        <v>12000000</v>
      </c>
      <c r="H661" s="2">
        <v>1</v>
      </c>
      <c r="I661" s="6">
        <v>2.2453703703703702E-3</v>
      </c>
      <c r="J661" s="2" t="s">
        <v>18</v>
      </c>
      <c r="K661" s="2" t="s">
        <v>56</v>
      </c>
      <c r="L661" s="2" t="s">
        <v>30</v>
      </c>
      <c r="M661" s="2" t="s">
        <v>77</v>
      </c>
      <c r="N661" s="2" t="s">
        <v>34</v>
      </c>
    </row>
    <row r="662" spans="1:14" x14ac:dyDescent="0.5">
      <c r="A662" s="2" t="s">
        <v>14</v>
      </c>
      <c r="B662" s="3">
        <v>13</v>
      </c>
      <c r="C662" s="4" t="s">
        <v>37</v>
      </c>
      <c r="D662" s="2" t="s">
        <v>28</v>
      </c>
      <c r="E662" s="2" t="s">
        <v>23</v>
      </c>
      <c r="F662" s="5">
        <v>2</v>
      </c>
      <c r="G662" s="1">
        <v>12000000</v>
      </c>
      <c r="H662" s="2">
        <v>2</v>
      </c>
      <c r="I662" s="6">
        <v>2.2453703703703702E-3</v>
      </c>
      <c r="J662" s="2" t="s">
        <v>18</v>
      </c>
      <c r="K662" s="2" t="s">
        <v>19</v>
      </c>
      <c r="L662" s="2" t="s">
        <v>33</v>
      </c>
      <c r="M662" s="2" t="s">
        <v>66</v>
      </c>
      <c r="N662" s="2" t="s">
        <v>36</v>
      </c>
    </row>
    <row r="663" spans="1:14" x14ac:dyDescent="0.5">
      <c r="A663" s="2" t="s">
        <v>14</v>
      </c>
      <c r="B663" s="3">
        <v>29</v>
      </c>
      <c r="C663" s="4" t="s">
        <v>37</v>
      </c>
      <c r="D663" s="2" t="s">
        <v>32</v>
      </c>
      <c r="E663" s="2" t="s">
        <v>68</v>
      </c>
      <c r="F663" s="5">
        <v>2</v>
      </c>
      <c r="G663" s="1">
        <v>12000000</v>
      </c>
      <c r="H663" s="2">
        <v>1</v>
      </c>
      <c r="I663" s="6">
        <v>2.2453703703703702E-3</v>
      </c>
      <c r="J663" s="2" t="s">
        <v>18</v>
      </c>
      <c r="K663" s="2" t="s">
        <v>47</v>
      </c>
      <c r="L663" s="2" t="s">
        <v>48</v>
      </c>
      <c r="M663" s="2" t="s">
        <v>77</v>
      </c>
      <c r="N663" s="2" t="s">
        <v>54</v>
      </c>
    </row>
    <row r="664" spans="1:14" x14ac:dyDescent="0.5">
      <c r="A664" s="2" t="s">
        <v>14</v>
      </c>
      <c r="B664" s="3">
        <v>1</v>
      </c>
      <c r="C664" s="4" t="s">
        <v>44</v>
      </c>
      <c r="D664" s="2" t="s">
        <v>28</v>
      </c>
      <c r="E664" s="2" t="s">
        <v>23</v>
      </c>
      <c r="F664" s="5">
        <v>2</v>
      </c>
      <c r="G664" s="1">
        <v>38000000</v>
      </c>
      <c r="H664" s="2">
        <v>4</v>
      </c>
      <c r="I664" s="6">
        <v>2.2453703703703702E-3</v>
      </c>
      <c r="J664" s="2" t="s">
        <v>46</v>
      </c>
      <c r="K664" s="2" t="s">
        <v>19</v>
      </c>
      <c r="L664" s="2" t="s">
        <v>30</v>
      </c>
      <c r="M664" s="2" t="s">
        <v>78</v>
      </c>
      <c r="N664" s="2" t="s">
        <v>41</v>
      </c>
    </row>
    <row r="665" spans="1:14" x14ac:dyDescent="0.5">
      <c r="A665" s="2" t="s">
        <v>14</v>
      </c>
      <c r="B665" s="3">
        <v>22</v>
      </c>
      <c r="C665" s="4" t="s">
        <v>44</v>
      </c>
      <c r="D665" s="2" t="s">
        <v>16</v>
      </c>
      <c r="E665" s="2" t="s">
        <v>45</v>
      </c>
      <c r="F665" s="5">
        <v>4</v>
      </c>
      <c r="G665" s="1">
        <v>20000000</v>
      </c>
      <c r="H665" s="2">
        <v>5</v>
      </c>
      <c r="I665" s="6">
        <v>2.2453703703703702E-3</v>
      </c>
      <c r="J665" s="2" t="s">
        <v>18</v>
      </c>
      <c r="K665" s="2" t="s">
        <v>39</v>
      </c>
      <c r="L665" s="2" t="s">
        <v>43</v>
      </c>
      <c r="M665" s="2" t="s">
        <v>78</v>
      </c>
      <c r="N665" s="2" t="s">
        <v>53</v>
      </c>
    </row>
    <row r="666" spans="1:14" x14ac:dyDescent="0.5">
      <c r="A666" s="2" t="s">
        <v>14</v>
      </c>
      <c r="B666" s="3">
        <v>1</v>
      </c>
      <c r="C666" s="4" t="s">
        <v>69</v>
      </c>
      <c r="D666" s="2" t="s">
        <v>16</v>
      </c>
      <c r="E666" s="2" t="s">
        <v>23</v>
      </c>
      <c r="F666" s="5">
        <v>5</v>
      </c>
      <c r="G666" s="1">
        <v>21000000</v>
      </c>
      <c r="H666" s="2">
        <v>2</v>
      </c>
      <c r="I666" s="6">
        <v>2.2453703703703702E-3</v>
      </c>
      <c r="J666" s="2" t="s">
        <v>18</v>
      </c>
      <c r="K666" s="2" t="s">
        <v>47</v>
      </c>
      <c r="L666" s="2" t="s">
        <v>40</v>
      </c>
      <c r="M666" s="2" t="s">
        <v>78</v>
      </c>
      <c r="N666" s="2" t="s">
        <v>66</v>
      </c>
    </row>
    <row r="667" spans="1:14" x14ac:dyDescent="0.5">
      <c r="A667" s="2" t="s">
        <v>14</v>
      </c>
      <c r="B667" s="3">
        <v>15</v>
      </c>
      <c r="C667" s="4" t="s">
        <v>69</v>
      </c>
      <c r="D667" s="2" t="s">
        <v>28</v>
      </c>
      <c r="E667" s="2" t="s">
        <v>42</v>
      </c>
      <c r="F667" s="5">
        <v>3</v>
      </c>
      <c r="G667" s="1">
        <v>15000000</v>
      </c>
      <c r="H667" s="2">
        <v>2</v>
      </c>
      <c r="I667" s="6">
        <v>2.2453703703703702E-3</v>
      </c>
      <c r="J667" s="2" t="s">
        <v>18</v>
      </c>
      <c r="K667" s="2" t="s">
        <v>29</v>
      </c>
      <c r="L667" s="2" t="s">
        <v>20</v>
      </c>
      <c r="M667" s="2" t="s">
        <v>78</v>
      </c>
      <c r="N667" s="2" t="s">
        <v>62</v>
      </c>
    </row>
    <row r="668" spans="1:14" x14ac:dyDescent="0.5">
      <c r="A668" s="2" t="s">
        <v>70</v>
      </c>
      <c r="B668" s="3">
        <v>20</v>
      </c>
      <c r="C668" s="4" t="s">
        <v>58</v>
      </c>
      <c r="D668" s="2" t="s">
        <v>16</v>
      </c>
      <c r="E668" s="2" t="s">
        <v>23</v>
      </c>
      <c r="F668" s="5">
        <v>0</v>
      </c>
      <c r="G668" s="1">
        <v>0</v>
      </c>
      <c r="H668" s="2">
        <v>2</v>
      </c>
      <c r="I668" s="6">
        <v>2.2453703703703702E-3</v>
      </c>
      <c r="J668" s="2"/>
      <c r="K668" s="2"/>
      <c r="L668" s="2" t="s">
        <v>51</v>
      </c>
      <c r="M668" s="2" t="s">
        <v>66</v>
      </c>
      <c r="N668" s="2" t="s">
        <v>36</v>
      </c>
    </row>
    <row r="669" spans="1:14" x14ac:dyDescent="0.5">
      <c r="A669" s="2" t="s">
        <v>70</v>
      </c>
      <c r="B669" s="3">
        <v>10</v>
      </c>
      <c r="C669" s="4" t="s">
        <v>69</v>
      </c>
      <c r="D669" s="2" t="s">
        <v>28</v>
      </c>
      <c r="E669" s="2" t="s">
        <v>42</v>
      </c>
      <c r="F669" s="5">
        <v>0</v>
      </c>
      <c r="G669" s="1">
        <v>0</v>
      </c>
      <c r="H669" s="2">
        <v>4</v>
      </c>
      <c r="I669" s="6">
        <v>2.2453703703703702E-3</v>
      </c>
      <c r="J669" s="2"/>
      <c r="K669" s="2"/>
      <c r="L669" s="2" t="s">
        <v>43</v>
      </c>
      <c r="M669" s="2" t="s">
        <v>78</v>
      </c>
      <c r="N669" s="2" t="s">
        <v>66</v>
      </c>
    </row>
    <row r="670" spans="1:14" x14ac:dyDescent="0.5">
      <c r="A670" s="2" t="s">
        <v>70</v>
      </c>
      <c r="B670" s="3">
        <v>20</v>
      </c>
      <c r="C670" s="4" t="s">
        <v>69</v>
      </c>
      <c r="D670" s="2" t="s">
        <v>16</v>
      </c>
      <c r="E670" s="2" t="s">
        <v>23</v>
      </c>
      <c r="F670" s="5">
        <v>0</v>
      </c>
      <c r="G670" s="1">
        <v>0</v>
      </c>
      <c r="H670" s="2">
        <v>1</v>
      </c>
      <c r="I670" s="6">
        <v>2.2453703703703702E-3</v>
      </c>
      <c r="J670" s="2"/>
      <c r="K670" s="2"/>
      <c r="L670" s="2" t="s">
        <v>33</v>
      </c>
      <c r="M670" s="2" t="s">
        <v>76</v>
      </c>
      <c r="N670" s="2" t="s">
        <v>71</v>
      </c>
    </row>
    <row r="671" spans="1:14" x14ac:dyDescent="0.5">
      <c r="A671" s="2" t="s">
        <v>70</v>
      </c>
      <c r="B671" s="3">
        <v>20</v>
      </c>
      <c r="C671" s="4" t="s">
        <v>58</v>
      </c>
      <c r="D671" s="2" t="s">
        <v>16</v>
      </c>
      <c r="E671" s="2" t="s">
        <v>23</v>
      </c>
      <c r="F671" s="5">
        <v>0</v>
      </c>
      <c r="G671" s="1">
        <v>0</v>
      </c>
      <c r="H671" s="2">
        <v>2</v>
      </c>
      <c r="I671" s="6">
        <v>2.2453703703703702E-3</v>
      </c>
      <c r="J671" s="2"/>
      <c r="K671" s="2"/>
      <c r="L671" s="2" t="s">
        <v>51</v>
      </c>
      <c r="M671" s="2" t="s">
        <v>66</v>
      </c>
      <c r="N671" s="2" t="s">
        <v>36</v>
      </c>
    </row>
    <row r="672" spans="1:14" x14ac:dyDescent="0.5">
      <c r="A672" s="2" t="s">
        <v>14</v>
      </c>
      <c r="B672" s="3">
        <v>12</v>
      </c>
      <c r="C672" s="4" t="s">
        <v>55</v>
      </c>
      <c r="D672" s="2" t="s">
        <v>16</v>
      </c>
      <c r="E672" s="2" t="s">
        <v>23</v>
      </c>
      <c r="F672" s="5">
        <v>5</v>
      </c>
      <c r="G672" s="1">
        <v>25000000</v>
      </c>
      <c r="H672" s="2">
        <v>1</v>
      </c>
      <c r="I672" s="6">
        <v>2.2685185185185182E-3</v>
      </c>
      <c r="J672" s="2" t="s">
        <v>18</v>
      </c>
      <c r="K672" s="2" t="s">
        <v>24</v>
      </c>
      <c r="L672" s="2" t="s">
        <v>30</v>
      </c>
      <c r="M672" s="2" t="s">
        <v>76</v>
      </c>
      <c r="N672" s="2" t="s">
        <v>52</v>
      </c>
    </row>
    <row r="673" spans="1:14" x14ac:dyDescent="0.5">
      <c r="A673" s="2" t="s">
        <v>14</v>
      </c>
      <c r="B673" s="3">
        <v>1</v>
      </c>
      <c r="C673" s="4" t="s">
        <v>60</v>
      </c>
      <c r="D673" s="2" t="s">
        <v>16</v>
      </c>
      <c r="E673" s="2" t="s">
        <v>23</v>
      </c>
      <c r="F673" s="5">
        <v>4</v>
      </c>
      <c r="G673" s="1">
        <v>20000000</v>
      </c>
      <c r="H673" s="2">
        <v>4</v>
      </c>
      <c r="I673" s="6">
        <v>2.2685185185185182E-3</v>
      </c>
      <c r="J673" s="2" t="s">
        <v>61</v>
      </c>
      <c r="K673" s="2" t="s">
        <v>39</v>
      </c>
      <c r="L673" s="2" t="s">
        <v>33</v>
      </c>
      <c r="M673" s="2" t="s">
        <v>66</v>
      </c>
      <c r="N673" s="2" t="s">
        <v>67</v>
      </c>
    </row>
    <row r="674" spans="1:14" x14ac:dyDescent="0.5">
      <c r="A674" s="2" t="s">
        <v>14</v>
      </c>
      <c r="B674" s="3">
        <v>28</v>
      </c>
      <c r="C674" s="4" t="s">
        <v>60</v>
      </c>
      <c r="D674" s="2" t="s">
        <v>49</v>
      </c>
      <c r="E674" s="2" t="s">
        <v>17</v>
      </c>
      <c r="F674" s="5">
        <v>4</v>
      </c>
      <c r="G674" s="1">
        <v>15000000</v>
      </c>
      <c r="H674" s="2">
        <v>2</v>
      </c>
      <c r="I674" s="6">
        <v>2.2685185185185182E-3</v>
      </c>
      <c r="J674" s="2" t="s">
        <v>18</v>
      </c>
      <c r="K674" s="2" t="s">
        <v>29</v>
      </c>
      <c r="L674" s="2" t="s">
        <v>48</v>
      </c>
      <c r="M674" s="2" t="s">
        <v>66</v>
      </c>
      <c r="N674" s="2" t="s">
        <v>67</v>
      </c>
    </row>
    <row r="675" spans="1:14" x14ac:dyDescent="0.5">
      <c r="A675" s="2" t="s">
        <v>14</v>
      </c>
      <c r="B675" s="3">
        <v>3</v>
      </c>
      <c r="C675" s="4" t="s">
        <v>27</v>
      </c>
      <c r="D675" s="2" t="s">
        <v>16</v>
      </c>
      <c r="E675" s="2" t="s">
        <v>17</v>
      </c>
      <c r="F675" s="5">
        <v>3</v>
      </c>
      <c r="G675" s="1">
        <v>12000000</v>
      </c>
      <c r="H675" s="2">
        <v>1</v>
      </c>
      <c r="I675" s="6">
        <v>2.2685185185185182E-3</v>
      </c>
      <c r="J675" s="2" t="s">
        <v>18</v>
      </c>
      <c r="K675" s="2" t="s">
        <v>29</v>
      </c>
      <c r="L675" s="2" t="s">
        <v>30</v>
      </c>
      <c r="M675" s="2" t="s">
        <v>76</v>
      </c>
      <c r="N675" s="2" t="s">
        <v>26</v>
      </c>
    </row>
    <row r="676" spans="1:14" x14ac:dyDescent="0.5">
      <c r="A676" s="2" t="s">
        <v>14</v>
      </c>
      <c r="B676" s="3">
        <v>28</v>
      </c>
      <c r="C676" s="4" t="s">
        <v>37</v>
      </c>
      <c r="D676" s="2" t="s">
        <v>38</v>
      </c>
      <c r="E676" s="2" t="s">
        <v>45</v>
      </c>
      <c r="F676" s="5">
        <v>2</v>
      </c>
      <c r="G676" s="1">
        <v>38000000</v>
      </c>
      <c r="H676" s="2">
        <v>2</v>
      </c>
      <c r="I676" s="6">
        <v>2.2685185185185182E-3</v>
      </c>
      <c r="J676" s="2" t="s">
        <v>46</v>
      </c>
      <c r="K676" s="2" t="s">
        <v>29</v>
      </c>
      <c r="L676" s="2" t="s">
        <v>25</v>
      </c>
      <c r="M676" s="2" t="s">
        <v>78</v>
      </c>
      <c r="N676" s="2" t="s">
        <v>62</v>
      </c>
    </row>
    <row r="677" spans="1:14" x14ac:dyDescent="0.5">
      <c r="A677" s="2" t="s">
        <v>14</v>
      </c>
      <c r="B677" s="3">
        <v>28</v>
      </c>
      <c r="C677" s="4" t="s">
        <v>37</v>
      </c>
      <c r="D677" s="2" t="s">
        <v>16</v>
      </c>
      <c r="E677" s="2" t="s">
        <v>17</v>
      </c>
      <c r="F677" s="5">
        <v>1</v>
      </c>
      <c r="G677" s="1">
        <v>19000000</v>
      </c>
      <c r="H677" s="2">
        <v>1</v>
      </c>
      <c r="I677" s="6">
        <v>2.2685185185185182E-3</v>
      </c>
      <c r="J677" s="2" t="s">
        <v>46</v>
      </c>
      <c r="K677" s="2" t="s">
        <v>19</v>
      </c>
      <c r="L677" s="2" t="s">
        <v>48</v>
      </c>
      <c r="M677" s="2" t="s">
        <v>78</v>
      </c>
      <c r="N677" s="2" t="s">
        <v>53</v>
      </c>
    </row>
    <row r="678" spans="1:14" x14ac:dyDescent="0.5">
      <c r="A678" s="2" t="s">
        <v>14</v>
      </c>
      <c r="B678" s="3">
        <v>23</v>
      </c>
      <c r="C678" s="4" t="s">
        <v>37</v>
      </c>
      <c r="D678" s="2" t="s">
        <v>49</v>
      </c>
      <c r="E678" s="2" t="s">
        <v>42</v>
      </c>
      <c r="F678" s="5">
        <v>2</v>
      </c>
      <c r="G678" s="1">
        <v>10000000</v>
      </c>
      <c r="H678" s="2">
        <v>2</v>
      </c>
      <c r="I678" s="6">
        <v>2.2685185185185182E-3</v>
      </c>
      <c r="J678" s="2" t="s">
        <v>18</v>
      </c>
      <c r="K678" s="2" t="s">
        <v>19</v>
      </c>
      <c r="L678" s="2" t="s">
        <v>25</v>
      </c>
      <c r="M678" s="2" t="s">
        <v>78</v>
      </c>
      <c r="N678" s="2" t="s">
        <v>53</v>
      </c>
    </row>
    <row r="679" spans="1:14" x14ac:dyDescent="0.5">
      <c r="A679" s="2" t="s">
        <v>14</v>
      </c>
      <c r="B679" s="3">
        <v>26</v>
      </c>
      <c r="C679" s="4" t="s">
        <v>37</v>
      </c>
      <c r="D679" s="2" t="s">
        <v>32</v>
      </c>
      <c r="E679" s="2" t="s">
        <v>23</v>
      </c>
      <c r="F679" s="5">
        <v>1</v>
      </c>
      <c r="G679" s="1">
        <v>7000000</v>
      </c>
      <c r="H679" s="2">
        <v>2</v>
      </c>
      <c r="I679" s="6">
        <v>2.2685185185185182E-3</v>
      </c>
      <c r="J679" s="2" t="s">
        <v>18</v>
      </c>
      <c r="K679" s="2" t="s">
        <v>29</v>
      </c>
      <c r="L679" s="2" t="s">
        <v>33</v>
      </c>
      <c r="M679" s="2" t="s">
        <v>76</v>
      </c>
      <c r="N679" s="2" t="s">
        <v>31</v>
      </c>
    </row>
    <row r="680" spans="1:14" x14ac:dyDescent="0.5">
      <c r="A680" s="2" t="s">
        <v>14</v>
      </c>
      <c r="B680" s="3">
        <v>1</v>
      </c>
      <c r="C680" s="4" t="s">
        <v>37</v>
      </c>
      <c r="D680" s="2" t="s">
        <v>38</v>
      </c>
      <c r="E680" s="2" t="s">
        <v>68</v>
      </c>
      <c r="F680" s="5">
        <v>3</v>
      </c>
      <c r="G680" s="1">
        <v>11000000</v>
      </c>
      <c r="H680" s="2">
        <v>3</v>
      </c>
      <c r="I680" s="6">
        <v>2.2685185185185182E-3</v>
      </c>
      <c r="J680" s="2" t="s">
        <v>18</v>
      </c>
      <c r="K680" s="2" t="s">
        <v>19</v>
      </c>
      <c r="L680" s="2" t="s">
        <v>40</v>
      </c>
      <c r="M680" s="2" t="s">
        <v>77</v>
      </c>
      <c r="N680" s="2" t="s">
        <v>65</v>
      </c>
    </row>
    <row r="681" spans="1:14" x14ac:dyDescent="0.5">
      <c r="A681" s="2" t="s">
        <v>14</v>
      </c>
      <c r="B681" s="3">
        <v>12</v>
      </c>
      <c r="C681" s="4" t="s">
        <v>44</v>
      </c>
      <c r="D681" s="2" t="s">
        <v>49</v>
      </c>
      <c r="E681" s="2" t="s">
        <v>17</v>
      </c>
      <c r="F681" s="5">
        <v>5</v>
      </c>
      <c r="G681" s="1">
        <v>25000000</v>
      </c>
      <c r="H681" s="2">
        <v>4</v>
      </c>
      <c r="I681" s="6">
        <v>2.2685185185185182E-3</v>
      </c>
      <c r="J681" s="2" t="s">
        <v>18</v>
      </c>
      <c r="K681" s="2" t="s">
        <v>24</v>
      </c>
      <c r="L681" s="2" t="s">
        <v>43</v>
      </c>
      <c r="M681" s="2" t="s">
        <v>76</v>
      </c>
      <c r="N681" s="2" t="s">
        <v>31</v>
      </c>
    </row>
    <row r="682" spans="1:14" x14ac:dyDescent="0.5">
      <c r="A682" s="2" t="s">
        <v>14</v>
      </c>
      <c r="B682" s="3">
        <v>12</v>
      </c>
      <c r="C682" s="4" t="s">
        <v>55</v>
      </c>
      <c r="D682" s="2" t="s">
        <v>16</v>
      </c>
      <c r="E682" s="2" t="s">
        <v>23</v>
      </c>
      <c r="F682" s="5">
        <v>5</v>
      </c>
      <c r="G682" s="1">
        <v>25000000</v>
      </c>
      <c r="H682" s="2">
        <v>1</v>
      </c>
      <c r="I682" s="6">
        <v>2.2685185185185182E-3</v>
      </c>
      <c r="J682" s="2" t="s">
        <v>18</v>
      </c>
      <c r="K682" s="2" t="s">
        <v>24</v>
      </c>
      <c r="L682" s="2" t="s">
        <v>30</v>
      </c>
      <c r="M682" s="2" t="s">
        <v>76</v>
      </c>
      <c r="N682" s="2" t="s">
        <v>52</v>
      </c>
    </row>
    <row r="683" spans="1:14" x14ac:dyDescent="0.5">
      <c r="A683" s="2" t="s">
        <v>14</v>
      </c>
      <c r="B683" s="3">
        <v>1</v>
      </c>
      <c r="C683" s="4" t="s">
        <v>60</v>
      </c>
      <c r="D683" s="2" t="s">
        <v>16</v>
      </c>
      <c r="E683" s="2" t="s">
        <v>23</v>
      </c>
      <c r="F683" s="5">
        <v>4</v>
      </c>
      <c r="G683" s="1">
        <v>20000000</v>
      </c>
      <c r="H683" s="2">
        <v>4</v>
      </c>
      <c r="I683" s="6">
        <v>2.2685185185185182E-3</v>
      </c>
      <c r="J683" s="2" t="s">
        <v>61</v>
      </c>
      <c r="K683" s="2" t="s">
        <v>39</v>
      </c>
      <c r="L683" s="2" t="s">
        <v>33</v>
      </c>
      <c r="M683" s="2" t="s">
        <v>66</v>
      </c>
      <c r="N683" s="2" t="s">
        <v>67</v>
      </c>
    </row>
    <row r="684" spans="1:14" x14ac:dyDescent="0.5">
      <c r="A684" s="2" t="s">
        <v>14</v>
      </c>
      <c r="B684" s="3">
        <v>28</v>
      </c>
      <c r="C684" s="4" t="s">
        <v>60</v>
      </c>
      <c r="D684" s="2" t="s">
        <v>49</v>
      </c>
      <c r="E684" s="2" t="s">
        <v>17</v>
      </c>
      <c r="F684" s="5">
        <v>4</v>
      </c>
      <c r="G684" s="1">
        <v>15000000</v>
      </c>
      <c r="H684" s="2">
        <v>2</v>
      </c>
      <c r="I684" s="6">
        <v>2.2685185185185182E-3</v>
      </c>
      <c r="J684" s="2" t="s">
        <v>18</v>
      </c>
      <c r="K684" s="2" t="s">
        <v>29</v>
      </c>
      <c r="L684" s="2" t="s">
        <v>48</v>
      </c>
      <c r="M684" s="2" t="s">
        <v>66</v>
      </c>
      <c r="N684" s="2" t="s">
        <v>67</v>
      </c>
    </row>
    <row r="685" spans="1:14" x14ac:dyDescent="0.5">
      <c r="A685" s="2" t="s">
        <v>70</v>
      </c>
      <c r="B685" s="3">
        <v>9</v>
      </c>
      <c r="C685" s="4" t="s">
        <v>60</v>
      </c>
      <c r="D685" s="2" t="s">
        <v>16</v>
      </c>
      <c r="E685" s="2" t="s">
        <v>17</v>
      </c>
      <c r="F685" s="5">
        <v>0</v>
      </c>
      <c r="G685" s="1">
        <v>0</v>
      </c>
      <c r="H685" s="2">
        <v>3</v>
      </c>
      <c r="I685" s="6">
        <v>2.2685185185185182E-3</v>
      </c>
      <c r="J685" s="2"/>
      <c r="K685" s="2"/>
      <c r="L685" s="2" t="s">
        <v>43</v>
      </c>
      <c r="M685" s="2" t="s">
        <v>78</v>
      </c>
      <c r="N685" s="2" t="s">
        <v>66</v>
      </c>
    </row>
    <row r="686" spans="1:14" x14ac:dyDescent="0.5">
      <c r="A686" s="2" t="s">
        <v>70</v>
      </c>
      <c r="B686" s="3">
        <v>17</v>
      </c>
      <c r="C686" s="4" t="s">
        <v>27</v>
      </c>
      <c r="D686" s="2" t="s">
        <v>28</v>
      </c>
      <c r="E686" s="2" t="s">
        <v>17</v>
      </c>
      <c r="F686" s="5">
        <v>0</v>
      </c>
      <c r="G686" s="1">
        <v>0</v>
      </c>
      <c r="H686" s="2">
        <v>2</v>
      </c>
      <c r="I686" s="6">
        <v>2.2685185185185182E-3</v>
      </c>
      <c r="J686" s="2"/>
      <c r="K686" s="2"/>
      <c r="L686" s="2" t="s">
        <v>51</v>
      </c>
      <c r="M686" s="2" t="s">
        <v>77</v>
      </c>
      <c r="N686" s="2" t="s">
        <v>54</v>
      </c>
    </row>
    <row r="687" spans="1:14" x14ac:dyDescent="0.5">
      <c r="A687" s="2" t="s">
        <v>70</v>
      </c>
      <c r="B687" s="3">
        <v>11</v>
      </c>
      <c r="C687" s="4" t="s">
        <v>44</v>
      </c>
      <c r="D687" s="2" t="s">
        <v>73</v>
      </c>
      <c r="E687" s="2" t="s">
        <v>42</v>
      </c>
      <c r="F687" s="5">
        <v>0</v>
      </c>
      <c r="G687" s="1">
        <v>0</v>
      </c>
      <c r="H687" s="2">
        <v>3</v>
      </c>
      <c r="I687" s="6">
        <v>2.2685185185185182E-3</v>
      </c>
      <c r="J687" s="2"/>
      <c r="K687" s="2"/>
      <c r="L687" s="2" t="s">
        <v>40</v>
      </c>
      <c r="M687" s="2" t="s">
        <v>76</v>
      </c>
      <c r="N687" s="2" t="s">
        <v>26</v>
      </c>
    </row>
    <row r="688" spans="1:14" x14ac:dyDescent="0.5">
      <c r="A688" s="2" t="s">
        <v>70</v>
      </c>
      <c r="B688" s="3">
        <v>9</v>
      </c>
      <c r="C688" s="4" t="s">
        <v>60</v>
      </c>
      <c r="D688" s="2" t="s">
        <v>16</v>
      </c>
      <c r="E688" s="2" t="s">
        <v>17</v>
      </c>
      <c r="F688" s="5">
        <v>0</v>
      </c>
      <c r="G688" s="1">
        <v>0</v>
      </c>
      <c r="H688" s="2">
        <v>3</v>
      </c>
      <c r="I688" s="6">
        <v>2.2685185185185182E-3</v>
      </c>
      <c r="J688" s="2"/>
      <c r="K688" s="2"/>
      <c r="L688" s="2" t="s">
        <v>43</v>
      </c>
      <c r="M688" s="2" t="s">
        <v>78</v>
      </c>
      <c r="N688" s="2" t="s">
        <v>66</v>
      </c>
    </row>
    <row r="689" spans="1:14" x14ac:dyDescent="0.5">
      <c r="A689" s="2" t="s">
        <v>14</v>
      </c>
      <c r="B689" s="3">
        <v>3</v>
      </c>
      <c r="C689" s="4" t="s">
        <v>22</v>
      </c>
      <c r="D689" s="2" t="s">
        <v>32</v>
      </c>
      <c r="E689" s="2" t="s">
        <v>42</v>
      </c>
      <c r="F689" s="5">
        <v>1</v>
      </c>
      <c r="G689" s="1">
        <v>19000000</v>
      </c>
      <c r="H689" s="2">
        <v>2</v>
      </c>
      <c r="I689" s="6">
        <v>2.2800925925925927E-3</v>
      </c>
      <c r="J689" s="2" t="s">
        <v>46</v>
      </c>
      <c r="K689" s="2" t="s">
        <v>35</v>
      </c>
      <c r="L689" s="2" t="s">
        <v>43</v>
      </c>
      <c r="M689" s="2" t="s">
        <v>66</v>
      </c>
      <c r="N689" s="2" t="s">
        <v>36</v>
      </c>
    </row>
    <row r="690" spans="1:14" x14ac:dyDescent="0.5">
      <c r="A690" s="2" t="s">
        <v>14</v>
      </c>
      <c r="B690" s="3">
        <v>30</v>
      </c>
      <c r="C690" s="4" t="s">
        <v>22</v>
      </c>
      <c r="D690" s="2" t="s">
        <v>32</v>
      </c>
      <c r="E690" s="2" t="s">
        <v>23</v>
      </c>
      <c r="F690" s="5">
        <v>2</v>
      </c>
      <c r="G690" s="1">
        <v>12000000</v>
      </c>
      <c r="H690" s="2">
        <v>2</v>
      </c>
      <c r="I690" s="6">
        <v>2.2800925925925927E-3</v>
      </c>
      <c r="J690" s="2" t="s">
        <v>18</v>
      </c>
      <c r="K690" s="2" t="s">
        <v>29</v>
      </c>
      <c r="L690" s="2" t="s">
        <v>30</v>
      </c>
      <c r="M690" s="2" t="s">
        <v>76</v>
      </c>
      <c r="N690" s="2" t="s">
        <v>31</v>
      </c>
    </row>
    <row r="691" spans="1:14" x14ac:dyDescent="0.5">
      <c r="A691" s="2" t="s">
        <v>14</v>
      </c>
      <c r="B691" s="3">
        <v>21</v>
      </c>
      <c r="C691" s="4" t="s">
        <v>27</v>
      </c>
      <c r="D691" s="2" t="s">
        <v>16</v>
      </c>
      <c r="E691" s="2" t="s">
        <v>45</v>
      </c>
      <c r="F691" s="5">
        <v>3</v>
      </c>
      <c r="G691" s="1">
        <v>15000000</v>
      </c>
      <c r="H691" s="2">
        <v>1</v>
      </c>
      <c r="I691" s="6">
        <v>2.2800925925925927E-3</v>
      </c>
      <c r="J691" s="2" t="s">
        <v>18</v>
      </c>
      <c r="K691" s="2" t="s">
        <v>29</v>
      </c>
      <c r="L691" s="2" t="s">
        <v>33</v>
      </c>
      <c r="M691" s="2" t="s">
        <v>77</v>
      </c>
      <c r="N691" s="2" t="s">
        <v>65</v>
      </c>
    </row>
    <row r="692" spans="1:14" x14ac:dyDescent="0.5">
      <c r="A692" s="2" t="s">
        <v>14</v>
      </c>
      <c r="B692" s="3">
        <v>31</v>
      </c>
      <c r="C692" s="4" t="s">
        <v>37</v>
      </c>
      <c r="D692" s="2" t="s">
        <v>38</v>
      </c>
      <c r="E692" s="2" t="s">
        <v>23</v>
      </c>
      <c r="F692" s="5">
        <v>3</v>
      </c>
      <c r="G692" s="1">
        <v>15000000</v>
      </c>
      <c r="H692" s="2">
        <v>2</v>
      </c>
      <c r="I692" s="6">
        <v>2.2800925925925927E-3</v>
      </c>
      <c r="J692" s="2" t="s">
        <v>18</v>
      </c>
      <c r="K692" s="2" t="s">
        <v>19</v>
      </c>
      <c r="L692" s="2" t="s">
        <v>20</v>
      </c>
      <c r="M692" s="2" t="s">
        <v>66</v>
      </c>
      <c r="N692" s="2" t="s">
        <v>67</v>
      </c>
    </row>
    <row r="693" spans="1:14" x14ac:dyDescent="0.5">
      <c r="A693" s="2" t="s">
        <v>14</v>
      </c>
      <c r="B693" s="3">
        <v>27</v>
      </c>
      <c r="C693" s="4" t="s">
        <v>37</v>
      </c>
      <c r="D693" s="2" t="s">
        <v>16</v>
      </c>
      <c r="E693" s="2" t="s">
        <v>23</v>
      </c>
      <c r="F693" s="5">
        <v>2</v>
      </c>
      <c r="G693" s="1">
        <v>12000000</v>
      </c>
      <c r="H693" s="2">
        <v>5</v>
      </c>
      <c r="I693" s="6">
        <v>2.2800925925925927E-3</v>
      </c>
      <c r="J693" s="2" t="s">
        <v>18</v>
      </c>
      <c r="K693" s="2" t="s">
        <v>24</v>
      </c>
      <c r="L693" s="2" t="s">
        <v>48</v>
      </c>
      <c r="M693" s="2" t="s">
        <v>78</v>
      </c>
      <c r="N693" s="2" t="s">
        <v>21</v>
      </c>
    </row>
    <row r="694" spans="1:14" x14ac:dyDescent="0.5">
      <c r="A694" s="2" t="s">
        <v>14</v>
      </c>
      <c r="B694" s="3">
        <v>30</v>
      </c>
      <c r="C694" s="4" t="s">
        <v>44</v>
      </c>
      <c r="D694" s="2" t="s">
        <v>16</v>
      </c>
      <c r="E694" s="2" t="s">
        <v>23</v>
      </c>
      <c r="F694" s="5">
        <v>5</v>
      </c>
      <c r="G694" s="1">
        <v>20000000</v>
      </c>
      <c r="H694" s="2">
        <v>2</v>
      </c>
      <c r="I694" s="6">
        <v>2.2800925925925927E-3</v>
      </c>
      <c r="J694" s="2" t="s">
        <v>18</v>
      </c>
      <c r="K694" s="2" t="s">
        <v>19</v>
      </c>
      <c r="L694" s="2" t="s">
        <v>40</v>
      </c>
      <c r="M694" s="2" t="s">
        <v>66</v>
      </c>
      <c r="N694" s="2" t="s">
        <v>36</v>
      </c>
    </row>
    <row r="695" spans="1:14" x14ac:dyDescent="0.5">
      <c r="A695" s="2" t="s">
        <v>14</v>
      </c>
      <c r="B695" s="3">
        <v>20</v>
      </c>
      <c r="C695" s="4" t="s">
        <v>44</v>
      </c>
      <c r="D695" s="2" t="s">
        <v>16</v>
      </c>
      <c r="E695" s="2" t="s">
        <v>17</v>
      </c>
      <c r="F695" s="5">
        <v>3</v>
      </c>
      <c r="G695" s="1">
        <v>15000000</v>
      </c>
      <c r="H695" s="2">
        <v>5</v>
      </c>
      <c r="I695" s="6">
        <v>2.2800925925925927E-3</v>
      </c>
      <c r="J695" s="2" t="s">
        <v>18</v>
      </c>
      <c r="K695" s="2" t="s">
        <v>29</v>
      </c>
      <c r="L695" s="2" t="s">
        <v>43</v>
      </c>
      <c r="M695" s="2" t="s">
        <v>78</v>
      </c>
      <c r="N695" s="2" t="s">
        <v>63</v>
      </c>
    </row>
    <row r="696" spans="1:14" x14ac:dyDescent="0.5">
      <c r="A696" s="2" t="s">
        <v>14</v>
      </c>
      <c r="B696" s="3">
        <v>4</v>
      </c>
      <c r="C696" s="4" t="s">
        <v>44</v>
      </c>
      <c r="D696" s="2" t="s">
        <v>38</v>
      </c>
      <c r="E696" s="2" t="s">
        <v>23</v>
      </c>
      <c r="F696" s="5">
        <v>1</v>
      </c>
      <c r="G696" s="1">
        <v>7000000</v>
      </c>
      <c r="H696" s="2">
        <v>2</v>
      </c>
      <c r="I696" s="6">
        <v>2.2800925925925927E-3</v>
      </c>
      <c r="J696" s="2" t="s">
        <v>18</v>
      </c>
      <c r="K696" s="2" t="s">
        <v>39</v>
      </c>
      <c r="L696" s="2" t="s">
        <v>25</v>
      </c>
      <c r="M696" s="2" t="s">
        <v>76</v>
      </c>
      <c r="N696" s="2" t="s">
        <v>26</v>
      </c>
    </row>
    <row r="697" spans="1:14" x14ac:dyDescent="0.5">
      <c r="A697" s="2" t="s">
        <v>14</v>
      </c>
      <c r="B697" s="3">
        <v>3</v>
      </c>
      <c r="C697" s="4" t="s">
        <v>22</v>
      </c>
      <c r="D697" s="2" t="s">
        <v>32</v>
      </c>
      <c r="E697" s="2" t="s">
        <v>42</v>
      </c>
      <c r="F697" s="5">
        <v>1</v>
      </c>
      <c r="G697" s="1">
        <v>19000000</v>
      </c>
      <c r="H697" s="2">
        <v>2</v>
      </c>
      <c r="I697" s="6">
        <v>2.2800925925925927E-3</v>
      </c>
      <c r="J697" s="2" t="s">
        <v>46</v>
      </c>
      <c r="K697" s="2" t="s">
        <v>35</v>
      </c>
      <c r="L697" s="2" t="s">
        <v>43</v>
      </c>
      <c r="M697" s="2" t="s">
        <v>66</v>
      </c>
      <c r="N697" s="2" t="s">
        <v>36</v>
      </c>
    </row>
    <row r="698" spans="1:14" x14ac:dyDescent="0.5">
      <c r="A698" s="2" t="s">
        <v>14</v>
      </c>
      <c r="B698" s="3">
        <v>30</v>
      </c>
      <c r="C698" s="4" t="s">
        <v>22</v>
      </c>
      <c r="D698" s="2" t="s">
        <v>32</v>
      </c>
      <c r="E698" s="2" t="s">
        <v>23</v>
      </c>
      <c r="F698" s="5">
        <v>2</v>
      </c>
      <c r="G698" s="1">
        <v>12000000</v>
      </c>
      <c r="H698" s="2">
        <v>2</v>
      </c>
      <c r="I698" s="6">
        <v>2.2800925925925927E-3</v>
      </c>
      <c r="J698" s="2" t="s">
        <v>18</v>
      </c>
      <c r="K698" s="2" t="s">
        <v>29</v>
      </c>
      <c r="L698" s="2" t="s">
        <v>30</v>
      </c>
      <c r="M698" s="2" t="s">
        <v>76</v>
      </c>
      <c r="N698" s="2" t="s">
        <v>31</v>
      </c>
    </row>
    <row r="699" spans="1:14" x14ac:dyDescent="0.5">
      <c r="A699" s="2" t="s">
        <v>70</v>
      </c>
      <c r="B699" s="3">
        <v>14</v>
      </c>
      <c r="C699" s="4" t="s">
        <v>37</v>
      </c>
      <c r="D699" s="2" t="s">
        <v>49</v>
      </c>
      <c r="E699" s="2" t="s">
        <v>42</v>
      </c>
      <c r="F699" s="5">
        <v>0</v>
      </c>
      <c r="G699" s="1">
        <v>0</v>
      </c>
      <c r="H699" s="2">
        <v>4</v>
      </c>
      <c r="I699" s="6">
        <v>2.2800925925925927E-3</v>
      </c>
      <c r="J699" s="2"/>
      <c r="K699" s="2"/>
      <c r="L699" s="2" t="s">
        <v>25</v>
      </c>
      <c r="M699" s="2" t="s">
        <v>78</v>
      </c>
      <c r="N699" s="2" t="s">
        <v>53</v>
      </c>
    </row>
    <row r="700" spans="1:14" x14ac:dyDescent="0.5">
      <c r="A700" s="2" t="s">
        <v>70</v>
      </c>
      <c r="B700" s="3">
        <v>5</v>
      </c>
      <c r="C700" s="4" t="s">
        <v>37</v>
      </c>
      <c r="D700" s="2" t="s">
        <v>28</v>
      </c>
      <c r="E700" s="2" t="s">
        <v>23</v>
      </c>
      <c r="F700" s="5">
        <v>0</v>
      </c>
      <c r="G700" s="1">
        <v>0</v>
      </c>
      <c r="H700" s="2">
        <v>1</v>
      </c>
      <c r="I700" s="6">
        <v>2.2800925925925927E-3</v>
      </c>
      <c r="J700" s="2"/>
      <c r="K700" s="2"/>
      <c r="L700" s="2" t="s">
        <v>51</v>
      </c>
      <c r="M700" s="2" t="s">
        <v>76</v>
      </c>
      <c r="N700" s="2" t="s">
        <v>71</v>
      </c>
    </row>
    <row r="701" spans="1:14" x14ac:dyDescent="0.5">
      <c r="A701" s="2" t="s">
        <v>70</v>
      </c>
      <c r="B701" s="3">
        <v>2</v>
      </c>
      <c r="C701" s="4" t="s">
        <v>69</v>
      </c>
      <c r="D701" s="2" t="s">
        <v>49</v>
      </c>
      <c r="E701" s="2" t="s">
        <v>42</v>
      </c>
      <c r="F701" s="5">
        <v>0</v>
      </c>
      <c r="G701" s="1">
        <v>0</v>
      </c>
      <c r="H701" s="2">
        <v>3</v>
      </c>
      <c r="I701" s="6">
        <v>2.2800925925925927E-3</v>
      </c>
      <c r="J701" s="2"/>
      <c r="K701" s="2"/>
      <c r="L701" s="2" t="s">
        <v>30</v>
      </c>
      <c r="M701" s="2" t="s">
        <v>78</v>
      </c>
      <c r="N701" s="2" t="s">
        <v>53</v>
      </c>
    </row>
    <row r="702" spans="1:14" x14ac:dyDescent="0.5">
      <c r="A702" s="2" t="s">
        <v>70</v>
      </c>
      <c r="B702" s="3">
        <v>30</v>
      </c>
      <c r="C702" s="4" t="s">
        <v>69</v>
      </c>
      <c r="D702" s="2" t="s">
        <v>38</v>
      </c>
      <c r="E702" s="2" t="s">
        <v>23</v>
      </c>
      <c r="F702" s="5">
        <v>0</v>
      </c>
      <c r="G702" s="1">
        <v>0</v>
      </c>
      <c r="H702" s="2">
        <v>2</v>
      </c>
      <c r="I702" s="6">
        <v>2.2800925925925927E-3</v>
      </c>
      <c r="J702" s="2"/>
      <c r="K702" s="2"/>
      <c r="L702" s="2" t="s">
        <v>30</v>
      </c>
      <c r="M702" s="2" t="s">
        <v>77</v>
      </c>
      <c r="N702" s="2" t="s">
        <v>54</v>
      </c>
    </row>
    <row r="703" spans="1:14" x14ac:dyDescent="0.5">
      <c r="A703" s="2" t="s">
        <v>70</v>
      </c>
      <c r="B703" s="3">
        <v>10</v>
      </c>
      <c r="C703" s="4" t="s">
        <v>69</v>
      </c>
      <c r="D703" s="2" t="s">
        <v>28</v>
      </c>
      <c r="E703" s="2" t="s">
        <v>42</v>
      </c>
      <c r="F703" s="5">
        <v>0</v>
      </c>
      <c r="G703" s="1">
        <v>0</v>
      </c>
      <c r="H703" s="2">
        <v>1</v>
      </c>
      <c r="I703" s="6">
        <v>2.2800925925925927E-3</v>
      </c>
      <c r="J703" s="2"/>
      <c r="K703" s="2"/>
      <c r="L703" s="2" t="s">
        <v>33</v>
      </c>
      <c r="M703" s="2" t="s">
        <v>77</v>
      </c>
      <c r="N703" s="2" t="s">
        <v>34</v>
      </c>
    </row>
    <row r="704" spans="1:14" x14ac:dyDescent="0.5">
      <c r="A704" s="2" t="s">
        <v>14</v>
      </c>
      <c r="B704" s="3">
        <v>1</v>
      </c>
      <c r="C704" s="4" t="s">
        <v>55</v>
      </c>
      <c r="D704" s="2" t="s">
        <v>49</v>
      </c>
      <c r="E704" s="2" t="s">
        <v>23</v>
      </c>
      <c r="F704" s="5">
        <v>1</v>
      </c>
      <c r="G704" s="1">
        <v>7000000</v>
      </c>
      <c r="H704" s="2">
        <v>3</v>
      </c>
      <c r="I704" s="6">
        <v>2.4305555555555556E-3</v>
      </c>
      <c r="J704" s="2" t="s">
        <v>18</v>
      </c>
      <c r="K704" s="2" t="s">
        <v>50</v>
      </c>
      <c r="L704" s="2" t="s">
        <v>48</v>
      </c>
      <c r="M704" s="2" t="s">
        <v>78</v>
      </c>
      <c r="N704" s="2" t="s">
        <v>41</v>
      </c>
    </row>
    <row r="705" spans="1:14" x14ac:dyDescent="0.5">
      <c r="A705" s="2" t="s">
        <v>14</v>
      </c>
      <c r="B705" s="3">
        <v>11</v>
      </c>
      <c r="C705" s="4" t="s">
        <v>57</v>
      </c>
      <c r="D705" s="2" t="s">
        <v>38</v>
      </c>
      <c r="E705" s="2" t="s">
        <v>23</v>
      </c>
      <c r="F705" s="5">
        <v>4</v>
      </c>
      <c r="G705" s="1">
        <v>20000000</v>
      </c>
      <c r="H705" s="2">
        <v>2</v>
      </c>
      <c r="I705" s="6">
        <v>2.4305555555555556E-3</v>
      </c>
      <c r="J705" s="2" t="s">
        <v>61</v>
      </c>
      <c r="K705" s="2" t="s">
        <v>29</v>
      </c>
      <c r="L705" s="2" t="s">
        <v>51</v>
      </c>
      <c r="M705" s="2" t="s">
        <v>76</v>
      </c>
      <c r="N705" s="2" t="s">
        <v>71</v>
      </c>
    </row>
    <row r="706" spans="1:14" x14ac:dyDescent="0.5">
      <c r="A706" s="2" t="s">
        <v>14</v>
      </c>
      <c r="B706" s="3">
        <v>25</v>
      </c>
      <c r="C706" s="4" t="s">
        <v>22</v>
      </c>
      <c r="D706" s="2" t="s">
        <v>16</v>
      </c>
      <c r="E706" s="2" t="s">
        <v>17</v>
      </c>
      <c r="F706" s="5">
        <v>3</v>
      </c>
      <c r="G706" s="1">
        <v>15000000</v>
      </c>
      <c r="H706" s="2">
        <v>1</v>
      </c>
      <c r="I706" s="6">
        <v>2.4305555555555556E-3</v>
      </c>
      <c r="J706" s="2" t="s">
        <v>18</v>
      </c>
      <c r="K706" s="2" t="s">
        <v>19</v>
      </c>
      <c r="L706" s="2" t="s">
        <v>25</v>
      </c>
      <c r="M706" s="2" t="s">
        <v>66</v>
      </c>
      <c r="N706" s="2" t="s">
        <v>67</v>
      </c>
    </row>
    <row r="707" spans="1:14" x14ac:dyDescent="0.5">
      <c r="A707" s="2" t="s">
        <v>14</v>
      </c>
      <c r="B707" s="3">
        <v>17</v>
      </c>
      <c r="C707" s="4" t="s">
        <v>27</v>
      </c>
      <c r="D707" s="2" t="s">
        <v>73</v>
      </c>
      <c r="E707" s="2" t="s">
        <v>17</v>
      </c>
      <c r="F707" s="5">
        <v>3</v>
      </c>
      <c r="G707" s="1">
        <v>11000000</v>
      </c>
      <c r="H707" s="2">
        <v>4</v>
      </c>
      <c r="I707" s="6">
        <v>2.4305555555555556E-3</v>
      </c>
      <c r="J707" s="2" t="s">
        <v>18</v>
      </c>
      <c r="K707" s="2" t="s">
        <v>19</v>
      </c>
      <c r="L707" s="2" t="s">
        <v>25</v>
      </c>
      <c r="M707" s="2" t="s">
        <v>66</v>
      </c>
      <c r="N707" s="2" t="s">
        <v>67</v>
      </c>
    </row>
    <row r="708" spans="1:14" x14ac:dyDescent="0.5">
      <c r="A708" s="2" t="s">
        <v>14</v>
      </c>
      <c r="B708" s="3">
        <v>30</v>
      </c>
      <c r="C708" s="4" t="s">
        <v>27</v>
      </c>
      <c r="D708" s="2" t="s">
        <v>16</v>
      </c>
      <c r="E708" s="2" t="s">
        <v>23</v>
      </c>
      <c r="F708" s="5">
        <v>5</v>
      </c>
      <c r="G708" s="1">
        <v>25000000</v>
      </c>
      <c r="H708" s="2">
        <v>3</v>
      </c>
      <c r="I708" s="6">
        <v>2.4305555555555556E-3</v>
      </c>
      <c r="J708" s="2" t="s">
        <v>18</v>
      </c>
      <c r="K708" s="2" t="s">
        <v>19</v>
      </c>
      <c r="L708" s="2" t="s">
        <v>33</v>
      </c>
      <c r="M708" s="2" t="s">
        <v>78</v>
      </c>
      <c r="N708" s="2" t="s">
        <v>41</v>
      </c>
    </row>
    <row r="709" spans="1:14" x14ac:dyDescent="0.5">
      <c r="A709" s="2" t="s">
        <v>14</v>
      </c>
      <c r="B709" s="3">
        <v>22</v>
      </c>
      <c r="C709" s="4" t="s">
        <v>37</v>
      </c>
      <c r="D709" s="2" t="s">
        <v>16</v>
      </c>
      <c r="E709" s="2" t="s">
        <v>42</v>
      </c>
      <c r="F709" s="5">
        <v>2</v>
      </c>
      <c r="G709" s="1">
        <v>38000000</v>
      </c>
      <c r="H709" s="2">
        <v>6</v>
      </c>
      <c r="I709" s="6">
        <v>2.4305555555555556E-3</v>
      </c>
      <c r="J709" s="2" t="s">
        <v>46</v>
      </c>
      <c r="K709" s="2" t="s">
        <v>29</v>
      </c>
      <c r="L709" s="2" t="s">
        <v>43</v>
      </c>
      <c r="M709" s="2" t="s">
        <v>78</v>
      </c>
      <c r="N709" s="2" t="s">
        <v>66</v>
      </c>
    </row>
    <row r="710" spans="1:14" x14ac:dyDescent="0.5">
      <c r="A710" s="2" t="s">
        <v>14</v>
      </c>
      <c r="B710" s="3">
        <v>7</v>
      </c>
      <c r="C710" s="4" t="s">
        <v>37</v>
      </c>
      <c r="D710" s="2" t="s">
        <v>16</v>
      </c>
      <c r="E710" s="2" t="s">
        <v>42</v>
      </c>
      <c r="F710" s="5">
        <v>2</v>
      </c>
      <c r="G710" s="1">
        <v>10000000</v>
      </c>
      <c r="H710" s="2">
        <v>5</v>
      </c>
      <c r="I710" s="6">
        <v>2.4305555555555556E-3</v>
      </c>
      <c r="J710" s="2" t="s">
        <v>18</v>
      </c>
      <c r="K710" s="2" t="s">
        <v>29</v>
      </c>
      <c r="L710" s="2" t="s">
        <v>30</v>
      </c>
      <c r="M710" s="2" t="s">
        <v>76</v>
      </c>
      <c r="N710" s="2" t="s">
        <v>31</v>
      </c>
    </row>
    <row r="711" spans="1:14" x14ac:dyDescent="0.5">
      <c r="A711" s="2" t="s">
        <v>14</v>
      </c>
      <c r="B711" s="3">
        <v>8</v>
      </c>
      <c r="C711" s="4" t="s">
        <v>37</v>
      </c>
      <c r="D711" s="2" t="s">
        <v>16</v>
      </c>
      <c r="E711" s="2" t="s">
        <v>42</v>
      </c>
      <c r="F711" s="5">
        <v>3</v>
      </c>
      <c r="G711" s="1">
        <v>12000000</v>
      </c>
      <c r="H711" s="2">
        <v>3</v>
      </c>
      <c r="I711" s="6">
        <v>2.4305555555555556E-3</v>
      </c>
      <c r="J711" s="2" t="s">
        <v>18</v>
      </c>
      <c r="K711" s="2" t="s">
        <v>56</v>
      </c>
      <c r="L711" s="2" t="s">
        <v>30</v>
      </c>
      <c r="M711" s="2" t="s">
        <v>77</v>
      </c>
      <c r="N711" s="2" t="s">
        <v>54</v>
      </c>
    </row>
    <row r="712" spans="1:14" x14ac:dyDescent="0.5">
      <c r="A712" s="2" t="s">
        <v>14</v>
      </c>
      <c r="B712" s="3">
        <v>19</v>
      </c>
      <c r="C712" s="4" t="s">
        <v>37</v>
      </c>
      <c r="D712" s="2" t="s">
        <v>28</v>
      </c>
      <c r="E712" s="2" t="s">
        <v>68</v>
      </c>
      <c r="F712" s="5">
        <v>4</v>
      </c>
      <c r="G712" s="1">
        <v>20000000</v>
      </c>
      <c r="H712" s="2">
        <v>1</v>
      </c>
      <c r="I712" s="6">
        <v>2.4305555555555556E-3</v>
      </c>
      <c r="J712" s="2" t="s">
        <v>18</v>
      </c>
      <c r="K712" s="2" t="s">
        <v>56</v>
      </c>
      <c r="L712" s="2" t="s">
        <v>40</v>
      </c>
      <c r="M712" s="2" t="s">
        <v>76</v>
      </c>
      <c r="N712" s="2" t="s">
        <v>75</v>
      </c>
    </row>
    <row r="713" spans="1:14" x14ac:dyDescent="0.5">
      <c r="A713" s="2" t="s">
        <v>14</v>
      </c>
      <c r="B713" s="3">
        <v>28</v>
      </c>
      <c r="C713" s="4" t="s">
        <v>37</v>
      </c>
      <c r="D713" s="2" t="s">
        <v>38</v>
      </c>
      <c r="E713" s="2" t="s">
        <v>42</v>
      </c>
      <c r="F713" s="5">
        <v>2</v>
      </c>
      <c r="G713" s="1">
        <v>12000000</v>
      </c>
      <c r="H713" s="2">
        <v>3</v>
      </c>
      <c r="I713" s="6">
        <v>2.4305555555555556E-3</v>
      </c>
      <c r="J713" s="2" t="s">
        <v>18</v>
      </c>
      <c r="K713" s="2" t="s">
        <v>47</v>
      </c>
      <c r="L713" s="2" t="s">
        <v>43</v>
      </c>
      <c r="M713" s="2" t="s">
        <v>77</v>
      </c>
      <c r="N713" s="2" t="s">
        <v>65</v>
      </c>
    </row>
    <row r="714" spans="1:14" x14ac:dyDescent="0.5">
      <c r="A714" s="2" t="s">
        <v>14</v>
      </c>
      <c r="B714" s="3">
        <v>5</v>
      </c>
      <c r="C714" s="4" t="s">
        <v>44</v>
      </c>
      <c r="D714" s="2" t="s">
        <v>16</v>
      </c>
      <c r="E714" s="2" t="s">
        <v>42</v>
      </c>
      <c r="F714" s="5">
        <v>1</v>
      </c>
      <c r="G714" s="1">
        <v>19000000</v>
      </c>
      <c r="H714" s="2">
        <v>2</v>
      </c>
      <c r="I714" s="6">
        <v>2.4305555555555556E-3</v>
      </c>
      <c r="J714" s="2" t="s">
        <v>46</v>
      </c>
      <c r="K714" s="2" t="s">
        <v>24</v>
      </c>
      <c r="L714" s="2" t="s">
        <v>25</v>
      </c>
      <c r="M714" s="2" t="s">
        <v>76</v>
      </c>
      <c r="N714" s="2" t="s">
        <v>26</v>
      </c>
    </row>
    <row r="715" spans="1:14" x14ac:dyDescent="0.5">
      <c r="A715" s="2" t="s">
        <v>14</v>
      </c>
      <c r="B715" s="3">
        <v>1</v>
      </c>
      <c r="C715" s="4" t="s">
        <v>55</v>
      </c>
      <c r="D715" s="2" t="s">
        <v>49</v>
      </c>
      <c r="E715" s="2" t="s">
        <v>23</v>
      </c>
      <c r="F715" s="5">
        <v>1</v>
      </c>
      <c r="G715" s="1">
        <v>7000000</v>
      </c>
      <c r="H715" s="2">
        <v>3</v>
      </c>
      <c r="I715" s="6">
        <v>2.4305555555555556E-3</v>
      </c>
      <c r="J715" s="2" t="s">
        <v>18</v>
      </c>
      <c r="K715" s="2" t="s">
        <v>50</v>
      </c>
      <c r="L715" s="2" t="s">
        <v>48</v>
      </c>
      <c r="M715" s="2" t="s">
        <v>78</v>
      </c>
      <c r="N715" s="2" t="s">
        <v>41</v>
      </c>
    </row>
    <row r="716" spans="1:14" x14ac:dyDescent="0.5">
      <c r="A716" s="2" t="s">
        <v>14</v>
      </c>
      <c r="B716" s="3">
        <v>11</v>
      </c>
      <c r="C716" s="4" t="s">
        <v>57</v>
      </c>
      <c r="D716" s="2" t="s">
        <v>38</v>
      </c>
      <c r="E716" s="2" t="s">
        <v>23</v>
      </c>
      <c r="F716" s="5">
        <v>4</v>
      </c>
      <c r="G716" s="1">
        <v>20000000</v>
      </c>
      <c r="H716" s="2">
        <v>2</v>
      </c>
      <c r="I716" s="6">
        <v>2.4305555555555556E-3</v>
      </c>
      <c r="J716" s="2" t="s">
        <v>61</v>
      </c>
      <c r="K716" s="2" t="s">
        <v>29</v>
      </c>
      <c r="L716" s="2" t="s">
        <v>51</v>
      </c>
      <c r="M716" s="2" t="s">
        <v>76</v>
      </c>
      <c r="N716" s="2" t="s">
        <v>71</v>
      </c>
    </row>
    <row r="717" spans="1:14" x14ac:dyDescent="0.5">
      <c r="A717" s="2" t="s">
        <v>14</v>
      </c>
      <c r="B717" s="3">
        <v>25</v>
      </c>
      <c r="C717" s="4" t="s">
        <v>22</v>
      </c>
      <c r="D717" s="2" t="s">
        <v>16</v>
      </c>
      <c r="E717" s="2" t="s">
        <v>17</v>
      </c>
      <c r="F717" s="5">
        <v>3</v>
      </c>
      <c r="G717" s="1">
        <v>15000000</v>
      </c>
      <c r="H717" s="2">
        <v>1</v>
      </c>
      <c r="I717" s="6">
        <v>2.4305555555555556E-3</v>
      </c>
      <c r="J717" s="2" t="s">
        <v>18</v>
      </c>
      <c r="K717" s="2" t="s">
        <v>19</v>
      </c>
      <c r="L717" s="2" t="s">
        <v>25</v>
      </c>
      <c r="M717" s="2" t="s">
        <v>66</v>
      </c>
      <c r="N717" s="2" t="s">
        <v>67</v>
      </c>
    </row>
    <row r="718" spans="1:14" x14ac:dyDescent="0.5">
      <c r="A718" s="2" t="s">
        <v>70</v>
      </c>
      <c r="B718" s="3">
        <v>12</v>
      </c>
      <c r="C718" s="4" t="s">
        <v>27</v>
      </c>
      <c r="D718" s="2" t="s">
        <v>32</v>
      </c>
      <c r="E718" s="2" t="s">
        <v>42</v>
      </c>
      <c r="F718" s="5">
        <v>0</v>
      </c>
      <c r="G718" s="1">
        <v>0</v>
      </c>
      <c r="H718" s="2">
        <v>1</v>
      </c>
      <c r="I718" s="6">
        <v>2.4305555555555556E-3</v>
      </c>
      <c r="J718" s="2"/>
      <c r="K718" s="2"/>
      <c r="L718" s="2" t="s">
        <v>30</v>
      </c>
      <c r="M718" s="2" t="s">
        <v>78</v>
      </c>
      <c r="N718" s="2" t="s">
        <v>62</v>
      </c>
    </row>
    <row r="719" spans="1:14" x14ac:dyDescent="0.5">
      <c r="A719" s="2" t="s">
        <v>70</v>
      </c>
      <c r="B719" s="3">
        <v>14</v>
      </c>
      <c r="C719" s="4" t="s">
        <v>69</v>
      </c>
      <c r="D719" s="2" t="s">
        <v>28</v>
      </c>
      <c r="E719" s="2" t="s">
        <v>23</v>
      </c>
      <c r="F719" s="5">
        <v>0</v>
      </c>
      <c r="G719" s="1">
        <v>0</v>
      </c>
      <c r="H719" s="2">
        <v>4</v>
      </c>
      <c r="I719" s="6">
        <v>2.4305555555555556E-3</v>
      </c>
      <c r="J719" s="2"/>
      <c r="K719" s="2"/>
      <c r="L719" s="2" t="s">
        <v>30</v>
      </c>
      <c r="M719" s="2" t="s">
        <v>76</v>
      </c>
      <c r="N719" s="2" t="s">
        <v>31</v>
      </c>
    </row>
    <row r="720" spans="1:14" x14ac:dyDescent="0.5">
      <c r="A720" s="2" t="s">
        <v>14</v>
      </c>
      <c r="B720" s="3">
        <v>11</v>
      </c>
      <c r="C720" s="4" t="s">
        <v>57</v>
      </c>
      <c r="D720" s="2" t="s">
        <v>16</v>
      </c>
      <c r="E720" s="2" t="s">
        <v>68</v>
      </c>
      <c r="F720" s="5">
        <v>3</v>
      </c>
      <c r="G720" s="1">
        <v>15000000</v>
      </c>
      <c r="H720" s="2">
        <v>1</v>
      </c>
      <c r="I720" s="6">
        <v>2.5462962962962961E-3</v>
      </c>
      <c r="J720" s="2" t="s">
        <v>18</v>
      </c>
      <c r="K720" s="2" t="s">
        <v>19</v>
      </c>
      <c r="L720" s="2" t="s">
        <v>33</v>
      </c>
      <c r="M720" s="2" t="s">
        <v>66</v>
      </c>
      <c r="N720" s="2" t="s">
        <v>67</v>
      </c>
    </row>
    <row r="721" spans="1:14" x14ac:dyDescent="0.5">
      <c r="A721" s="2" t="s">
        <v>14</v>
      </c>
      <c r="B721" s="3">
        <v>13</v>
      </c>
      <c r="C721" s="4" t="s">
        <v>72</v>
      </c>
      <c r="D721" s="2" t="s">
        <v>38</v>
      </c>
      <c r="E721" s="2" t="s">
        <v>23</v>
      </c>
      <c r="F721" s="5">
        <v>3</v>
      </c>
      <c r="G721" s="1">
        <v>15000000</v>
      </c>
      <c r="H721" s="2">
        <v>5</v>
      </c>
      <c r="I721" s="6">
        <v>2.5462962962962961E-3</v>
      </c>
      <c r="J721" s="2" t="s">
        <v>18</v>
      </c>
      <c r="K721" s="2" t="s">
        <v>47</v>
      </c>
      <c r="L721" s="2" t="s">
        <v>51</v>
      </c>
      <c r="M721" s="2" t="s">
        <v>77</v>
      </c>
      <c r="N721" s="2" t="s">
        <v>65</v>
      </c>
    </row>
    <row r="722" spans="1:14" x14ac:dyDescent="0.5">
      <c r="A722" s="2" t="s">
        <v>14</v>
      </c>
      <c r="B722" s="3">
        <v>10</v>
      </c>
      <c r="C722" s="4" t="s">
        <v>22</v>
      </c>
      <c r="D722" s="2" t="s">
        <v>16</v>
      </c>
      <c r="E722" s="2" t="s">
        <v>23</v>
      </c>
      <c r="F722" s="5">
        <v>2</v>
      </c>
      <c r="G722" s="1">
        <v>12000000</v>
      </c>
      <c r="H722" s="2">
        <v>2</v>
      </c>
      <c r="I722" s="6">
        <v>2.5462962962962961E-3</v>
      </c>
      <c r="J722" s="2" t="s">
        <v>18</v>
      </c>
      <c r="K722" s="2" t="s">
        <v>29</v>
      </c>
      <c r="L722" s="2" t="s">
        <v>48</v>
      </c>
      <c r="M722" s="2" t="s">
        <v>76</v>
      </c>
      <c r="N722" s="2" t="s">
        <v>52</v>
      </c>
    </row>
    <row r="723" spans="1:14" x14ac:dyDescent="0.5">
      <c r="A723" s="2" t="s">
        <v>14</v>
      </c>
      <c r="B723" s="3">
        <v>19</v>
      </c>
      <c r="C723" s="4" t="s">
        <v>22</v>
      </c>
      <c r="D723" s="2" t="s">
        <v>49</v>
      </c>
      <c r="E723" s="2" t="s">
        <v>42</v>
      </c>
      <c r="F723" s="5">
        <v>3</v>
      </c>
      <c r="G723" s="1">
        <v>15000000</v>
      </c>
      <c r="H723" s="2">
        <v>2</v>
      </c>
      <c r="I723" s="6">
        <v>2.5462962962962961E-3</v>
      </c>
      <c r="J723" s="2" t="s">
        <v>18</v>
      </c>
      <c r="K723" s="2" t="s">
        <v>19</v>
      </c>
      <c r="L723" s="2" t="s">
        <v>40</v>
      </c>
      <c r="M723" s="2" t="s">
        <v>77</v>
      </c>
      <c r="N723" s="2" t="s">
        <v>65</v>
      </c>
    </row>
    <row r="724" spans="1:14" x14ac:dyDescent="0.5">
      <c r="A724" s="2" t="s">
        <v>14</v>
      </c>
      <c r="B724" s="3">
        <v>11</v>
      </c>
      <c r="C724" s="4" t="s">
        <v>27</v>
      </c>
      <c r="D724" s="2" t="s">
        <v>16</v>
      </c>
      <c r="E724" s="2" t="s">
        <v>23</v>
      </c>
      <c r="F724" s="5">
        <v>5</v>
      </c>
      <c r="G724" s="1">
        <v>21000000</v>
      </c>
      <c r="H724" s="2">
        <v>5</v>
      </c>
      <c r="I724" s="6">
        <v>2.5462962962962961E-3</v>
      </c>
      <c r="J724" s="2" t="s">
        <v>18</v>
      </c>
      <c r="K724" s="2" t="s">
        <v>56</v>
      </c>
      <c r="L724" s="2" t="s">
        <v>40</v>
      </c>
      <c r="M724" s="2" t="s">
        <v>76</v>
      </c>
      <c r="N724" s="2" t="s">
        <v>75</v>
      </c>
    </row>
    <row r="725" spans="1:14" x14ac:dyDescent="0.5">
      <c r="A725" s="2" t="s">
        <v>14</v>
      </c>
      <c r="B725" s="3">
        <v>30</v>
      </c>
      <c r="C725" s="4" t="s">
        <v>27</v>
      </c>
      <c r="D725" s="2" t="s">
        <v>32</v>
      </c>
      <c r="E725" s="2" t="s">
        <v>17</v>
      </c>
      <c r="F725" s="5">
        <v>4</v>
      </c>
      <c r="G725" s="1">
        <v>20000000</v>
      </c>
      <c r="H725" s="2">
        <v>4</v>
      </c>
      <c r="I725" s="6">
        <v>2.5462962962962961E-3</v>
      </c>
      <c r="J725" s="2" t="s">
        <v>18</v>
      </c>
      <c r="K725" s="2" t="s">
        <v>50</v>
      </c>
      <c r="L725" s="2" t="s">
        <v>43</v>
      </c>
      <c r="M725" s="2" t="s">
        <v>76</v>
      </c>
      <c r="N725" s="2" t="s">
        <v>26</v>
      </c>
    </row>
    <row r="726" spans="1:14" x14ac:dyDescent="0.5">
      <c r="A726" s="2" t="s">
        <v>14</v>
      </c>
      <c r="B726" s="3">
        <v>30</v>
      </c>
      <c r="C726" s="4" t="s">
        <v>37</v>
      </c>
      <c r="D726" s="2" t="s">
        <v>28</v>
      </c>
      <c r="E726" s="2" t="s">
        <v>42</v>
      </c>
      <c r="F726" s="5">
        <v>2</v>
      </c>
      <c r="G726" s="1">
        <v>12000000</v>
      </c>
      <c r="H726" s="2">
        <v>1</v>
      </c>
      <c r="I726" s="6">
        <v>2.5462962962962961E-3</v>
      </c>
      <c r="J726" s="2" t="s">
        <v>18</v>
      </c>
      <c r="K726" s="2" t="s">
        <v>56</v>
      </c>
      <c r="L726" s="2" t="s">
        <v>48</v>
      </c>
      <c r="M726" s="2" t="s">
        <v>77</v>
      </c>
      <c r="N726" s="2" t="s">
        <v>65</v>
      </c>
    </row>
    <row r="727" spans="1:14" x14ac:dyDescent="0.5">
      <c r="A727" s="2" t="s">
        <v>14</v>
      </c>
      <c r="B727" s="3">
        <v>17</v>
      </c>
      <c r="C727" s="4" t="s">
        <v>44</v>
      </c>
      <c r="D727" s="2" t="s">
        <v>32</v>
      </c>
      <c r="E727" s="2" t="s">
        <v>17</v>
      </c>
      <c r="F727" s="5">
        <v>4</v>
      </c>
      <c r="G727" s="1">
        <v>11000000</v>
      </c>
      <c r="H727" s="2">
        <v>1</v>
      </c>
      <c r="I727" s="6">
        <v>2.5462962962962961E-3</v>
      </c>
      <c r="J727" s="2" t="s">
        <v>61</v>
      </c>
      <c r="K727" s="2" t="s">
        <v>29</v>
      </c>
      <c r="L727" s="2" t="s">
        <v>40</v>
      </c>
      <c r="M727" s="2" t="s">
        <v>66</v>
      </c>
      <c r="N727" s="2" t="s">
        <v>67</v>
      </c>
    </row>
    <row r="728" spans="1:14" x14ac:dyDescent="0.5">
      <c r="A728" s="2" t="s">
        <v>14</v>
      </c>
      <c r="B728" s="3">
        <v>16</v>
      </c>
      <c r="C728" s="4" t="s">
        <v>44</v>
      </c>
      <c r="D728" s="2" t="s">
        <v>38</v>
      </c>
      <c r="E728" s="2" t="s">
        <v>68</v>
      </c>
      <c r="F728" s="5">
        <v>5</v>
      </c>
      <c r="G728" s="1">
        <v>25000000</v>
      </c>
      <c r="H728" s="2">
        <v>1</v>
      </c>
      <c r="I728" s="6">
        <v>2.5462962962962961E-3</v>
      </c>
      <c r="J728" s="2" t="s">
        <v>18</v>
      </c>
      <c r="K728" s="2" t="s">
        <v>29</v>
      </c>
      <c r="L728" s="2" t="s">
        <v>25</v>
      </c>
      <c r="M728" s="2" t="s">
        <v>76</v>
      </c>
      <c r="N728" s="2" t="s">
        <v>52</v>
      </c>
    </row>
    <row r="729" spans="1:14" x14ac:dyDescent="0.5">
      <c r="A729" s="2" t="s">
        <v>14</v>
      </c>
      <c r="B729" s="3">
        <v>27</v>
      </c>
      <c r="C729" s="4" t="s">
        <v>69</v>
      </c>
      <c r="D729" s="2" t="s">
        <v>32</v>
      </c>
      <c r="E729" s="2" t="s">
        <v>42</v>
      </c>
      <c r="F729" s="5">
        <v>2</v>
      </c>
      <c r="G729" s="1">
        <v>38000000</v>
      </c>
      <c r="H729" s="2">
        <v>1</v>
      </c>
      <c r="I729" s="6">
        <v>2.5462962962962961E-3</v>
      </c>
      <c r="J729" s="2" t="s">
        <v>46</v>
      </c>
      <c r="K729" s="2" t="s">
        <v>19</v>
      </c>
      <c r="L729" s="2" t="s">
        <v>30</v>
      </c>
      <c r="M729" s="2" t="s">
        <v>78</v>
      </c>
      <c r="N729" s="2" t="s">
        <v>63</v>
      </c>
    </row>
    <row r="730" spans="1:14" x14ac:dyDescent="0.5">
      <c r="A730" s="2" t="s">
        <v>14</v>
      </c>
      <c r="B730" s="3">
        <v>11</v>
      </c>
      <c r="C730" s="4" t="s">
        <v>57</v>
      </c>
      <c r="D730" s="2" t="s">
        <v>16</v>
      </c>
      <c r="E730" s="2" t="s">
        <v>68</v>
      </c>
      <c r="F730" s="5">
        <v>3</v>
      </c>
      <c r="G730" s="1">
        <v>15000000</v>
      </c>
      <c r="H730" s="2">
        <v>1</v>
      </c>
      <c r="I730" s="6">
        <v>2.5462962962962961E-3</v>
      </c>
      <c r="J730" s="2" t="s">
        <v>18</v>
      </c>
      <c r="K730" s="2" t="s">
        <v>19</v>
      </c>
      <c r="L730" s="2" t="s">
        <v>33</v>
      </c>
      <c r="M730" s="2" t="s">
        <v>66</v>
      </c>
      <c r="N730" s="2" t="s">
        <v>67</v>
      </c>
    </row>
    <row r="731" spans="1:14" x14ac:dyDescent="0.5">
      <c r="A731" s="2" t="s">
        <v>14</v>
      </c>
      <c r="B731" s="3">
        <v>13</v>
      </c>
      <c r="C731" s="4" t="s">
        <v>72</v>
      </c>
      <c r="D731" s="2" t="s">
        <v>38</v>
      </c>
      <c r="E731" s="2" t="s">
        <v>23</v>
      </c>
      <c r="F731" s="5">
        <v>3</v>
      </c>
      <c r="G731" s="1">
        <v>15000000</v>
      </c>
      <c r="H731" s="2">
        <v>5</v>
      </c>
      <c r="I731" s="6">
        <v>2.5462962962962961E-3</v>
      </c>
      <c r="J731" s="2" t="s">
        <v>18</v>
      </c>
      <c r="K731" s="2" t="s">
        <v>47</v>
      </c>
      <c r="L731" s="2" t="s">
        <v>51</v>
      </c>
      <c r="M731" s="2" t="s">
        <v>77</v>
      </c>
      <c r="N731" s="2" t="s">
        <v>65</v>
      </c>
    </row>
    <row r="732" spans="1:14" x14ac:dyDescent="0.5">
      <c r="A732" s="2" t="s">
        <v>14</v>
      </c>
      <c r="B732" s="3">
        <v>10</v>
      </c>
      <c r="C732" s="4" t="s">
        <v>22</v>
      </c>
      <c r="D732" s="2" t="s">
        <v>16</v>
      </c>
      <c r="E732" s="2" t="s">
        <v>23</v>
      </c>
      <c r="F732" s="5">
        <v>2</v>
      </c>
      <c r="G732" s="1">
        <v>12000000</v>
      </c>
      <c r="H732" s="2">
        <v>2</v>
      </c>
      <c r="I732" s="6">
        <v>2.5462962962962961E-3</v>
      </c>
      <c r="J732" s="2" t="s">
        <v>18</v>
      </c>
      <c r="K732" s="2" t="s">
        <v>29</v>
      </c>
      <c r="L732" s="2" t="s">
        <v>48</v>
      </c>
      <c r="M732" s="2" t="s">
        <v>76</v>
      </c>
      <c r="N732" s="2" t="s">
        <v>52</v>
      </c>
    </row>
    <row r="733" spans="1:14" x14ac:dyDescent="0.5">
      <c r="A733" s="2" t="s">
        <v>14</v>
      </c>
      <c r="B733" s="3">
        <v>19</v>
      </c>
      <c r="C733" s="4" t="s">
        <v>22</v>
      </c>
      <c r="D733" s="2" t="s">
        <v>49</v>
      </c>
      <c r="E733" s="2" t="s">
        <v>42</v>
      </c>
      <c r="F733" s="5">
        <v>3</v>
      </c>
      <c r="G733" s="1">
        <v>15000000</v>
      </c>
      <c r="H733" s="2">
        <v>2</v>
      </c>
      <c r="I733" s="6">
        <v>2.5462962962962961E-3</v>
      </c>
      <c r="J733" s="2" t="s">
        <v>18</v>
      </c>
      <c r="K733" s="2" t="s">
        <v>19</v>
      </c>
      <c r="L733" s="2" t="s">
        <v>40</v>
      </c>
      <c r="M733" s="2" t="s">
        <v>77</v>
      </c>
      <c r="N733" s="2" t="s">
        <v>65</v>
      </c>
    </row>
    <row r="734" spans="1:14" x14ac:dyDescent="0.5">
      <c r="A734" s="2" t="s">
        <v>70</v>
      </c>
      <c r="B734" s="3">
        <v>23</v>
      </c>
      <c r="C734" s="4" t="s">
        <v>27</v>
      </c>
      <c r="D734" s="2" t="s">
        <v>32</v>
      </c>
      <c r="E734" s="2" t="s">
        <v>42</v>
      </c>
      <c r="F734" s="5">
        <v>0</v>
      </c>
      <c r="G734" s="1">
        <v>0</v>
      </c>
      <c r="H734" s="2">
        <v>1</v>
      </c>
      <c r="I734" s="6">
        <v>2.5462962962962961E-3</v>
      </c>
      <c r="J734" s="2"/>
      <c r="K734" s="2"/>
      <c r="L734" s="2" t="s">
        <v>40</v>
      </c>
      <c r="M734" s="2" t="s">
        <v>76</v>
      </c>
      <c r="N734" s="2" t="s">
        <v>26</v>
      </c>
    </row>
    <row r="735" spans="1:14" x14ac:dyDescent="0.5">
      <c r="A735" s="2" t="s">
        <v>70</v>
      </c>
      <c r="B735" s="3">
        <v>19</v>
      </c>
      <c r="C735" s="4" t="s">
        <v>37</v>
      </c>
      <c r="D735" s="2" t="s">
        <v>32</v>
      </c>
      <c r="E735" s="2" t="s">
        <v>42</v>
      </c>
      <c r="F735" s="5">
        <v>0</v>
      </c>
      <c r="G735" s="1">
        <v>0</v>
      </c>
      <c r="H735" s="2">
        <v>4</v>
      </c>
      <c r="I735" s="6">
        <v>2.5462962962962961E-3</v>
      </c>
      <c r="J735" s="2"/>
      <c r="K735" s="2"/>
      <c r="L735" s="2" t="s">
        <v>43</v>
      </c>
      <c r="M735" s="2" t="s">
        <v>78</v>
      </c>
      <c r="N735" s="2" t="s">
        <v>63</v>
      </c>
    </row>
    <row r="736" spans="1:14" x14ac:dyDescent="0.5">
      <c r="A736" s="2" t="s">
        <v>70</v>
      </c>
      <c r="B736" s="3">
        <v>27</v>
      </c>
      <c r="C736" s="4" t="s">
        <v>44</v>
      </c>
      <c r="D736" s="2" t="s">
        <v>16</v>
      </c>
      <c r="E736" s="2" t="s">
        <v>42</v>
      </c>
      <c r="F736" s="5">
        <v>0</v>
      </c>
      <c r="G736" s="1">
        <v>0</v>
      </c>
      <c r="H736" s="2">
        <v>1</v>
      </c>
      <c r="I736" s="6">
        <v>2.5462962962962961E-3</v>
      </c>
      <c r="J736" s="2"/>
      <c r="K736" s="2"/>
      <c r="L736" s="2" t="s">
        <v>30</v>
      </c>
      <c r="M736" s="2" t="s">
        <v>78</v>
      </c>
      <c r="N736" s="2" t="s">
        <v>62</v>
      </c>
    </row>
    <row r="737" spans="1:14" x14ac:dyDescent="0.5">
      <c r="A737" s="2" t="s">
        <v>14</v>
      </c>
      <c r="B737" s="3">
        <v>15</v>
      </c>
      <c r="C737" s="4" t="s">
        <v>57</v>
      </c>
      <c r="D737" s="2" t="s">
        <v>49</v>
      </c>
      <c r="E737" s="2" t="s">
        <v>23</v>
      </c>
      <c r="F737" s="5">
        <v>3</v>
      </c>
      <c r="G737" s="1">
        <v>12000000</v>
      </c>
      <c r="H737" s="2">
        <v>4</v>
      </c>
      <c r="I737" s="6">
        <v>2.7777777777777779E-3</v>
      </c>
      <c r="J737" s="2" t="s">
        <v>18</v>
      </c>
      <c r="K737" s="2" t="s">
        <v>29</v>
      </c>
      <c r="L737" s="2" t="s">
        <v>30</v>
      </c>
      <c r="M737" s="2" t="s">
        <v>78</v>
      </c>
      <c r="N737" s="2" t="s">
        <v>53</v>
      </c>
    </row>
    <row r="738" spans="1:14" x14ac:dyDescent="0.5">
      <c r="A738" s="2" t="s">
        <v>14</v>
      </c>
      <c r="B738" s="3">
        <v>4</v>
      </c>
      <c r="C738" s="4" t="s">
        <v>72</v>
      </c>
      <c r="D738" s="2" t="s">
        <v>28</v>
      </c>
      <c r="E738" s="2" t="s">
        <v>23</v>
      </c>
      <c r="F738" s="5">
        <v>1</v>
      </c>
      <c r="G738" s="1">
        <v>19000000</v>
      </c>
      <c r="H738" s="2">
        <v>2</v>
      </c>
      <c r="I738" s="6">
        <v>2.7777777777777779E-3</v>
      </c>
      <c r="J738" s="2" t="s">
        <v>46</v>
      </c>
      <c r="K738" s="2" t="s">
        <v>47</v>
      </c>
      <c r="L738" s="2" t="s">
        <v>25</v>
      </c>
      <c r="M738" s="2" t="s">
        <v>77</v>
      </c>
      <c r="N738" s="2" t="s">
        <v>34</v>
      </c>
    </row>
    <row r="739" spans="1:14" x14ac:dyDescent="0.5">
      <c r="A739" s="2" t="s">
        <v>14</v>
      </c>
      <c r="B739" s="3">
        <v>11</v>
      </c>
      <c r="C739" s="4" t="s">
        <v>27</v>
      </c>
      <c r="D739" s="2" t="s">
        <v>16</v>
      </c>
      <c r="E739" s="2" t="s">
        <v>17</v>
      </c>
      <c r="F739" s="5">
        <v>2</v>
      </c>
      <c r="G739" s="1">
        <v>38000000</v>
      </c>
      <c r="H739" s="2">
        <v>1</v>
      </c>
      <c r="I739" s="6">
        <v>2.7777777777777779E-3</v>
      </c>
      <c r="J739" s="2" t="s">
        <v>74</v>
      </c>
      <c r="K739" s="2" t="s">
        <v>39</v>
      </c>
      <c r="L739" s="2" t="s">
        <v>40</v>
      </c>
      <c r="M739" s="2" t="s">
        <v>76</v>
      </c>
      <c r="N739" s="2" t="s">
        <v>75</v>
      </c>
    </row>
    <row r="740" spans="1:14" x14ac:dyDescent="0.5">
      <c r="A740" s="2" t="s">
        <v>14</v>
      </c>
      <c r="B740" s="3">
        <v>23</v>
      </c>
      <c r="C740" s="4" t="s">
        <v>27</v>
      </c>
      <c r="D740" s="2" t="s">
        <v>32</v>
      </c>
      <c r="E740" s="2" t="s">
        <v>17</v>
      </c>
      <c r="F740" s="5">
        <v>1</v>
      </c>
      <c r="G740" s="1">
        <v>7000000</v>
      </c>
      <c r="H740" s="2">
        <v>3</v>
      </c>
      <c r="I740" s="6">
        <v>2.7777777777777779E-3</v>
      </c>
      <c r="J740" s="2" t="s">
        <v>18</v>
      </c>
      <c r="K740" s="2" t="s">
        <v>19</v>
      </c>
      <c r="L740" s="2" t="s">
        <v>43</v>
      </c>
      <c r="M740" s="2" t="s">
        <v>66</v>
      </c>
      <c r="N740" s="2" t="s">
        <v>36</v>
      </c>
    </row>
    <row r="741" spans="1:14" x14ac:dyDescent="0.5">
      <c r="A741" s="2" t="s">
        <v>14</v>
      </c>
      <c r="B741" s="3">
        <v>8</v>
      </c>
      <c r="C741" s="4" t="s">
        <v>37</v>
      </c>
      <c r="D741" s="2" t="s">
        <v>28</v>
      </c>
      <c r="E741" s="2" t="s">
        <v>23</v>
      </c>
      <c r="F741" s="5">
        <v>4</v>
      </c>
      <c r="G741" s="1">
        <v>20000000</v>
      </c>
      <c r="H741" s="2">
        <v>4</v>
      </c>
      <c r="I741" s="6">
        <v>2.7777777777777779E-3</v>
      </c>
      <c r="J741" s="2" t="s">
        <v>61</v>
      </c>
      <c r="K741" s="2" t="s">
        <v>19</v>
      </c>
      <c r="L741" s="2" t="s">
        <v>20</v>
      </c>
      <c r="M741" s="2" t="s">
        <v>76</v>
      </c>
      <c r="N741" s="2" t="s">
        <v>31</v>
      </c>
    </row>
    <row r="742" spans="1:14" x14ac:dyDescent="0.5">
      <c r="A742" s="2" t="s">
        <v>14</v>
      </c>
      <c r="B742" s="3">
        <v>8</v>
      </c>
      <c r="C742" s="4" t="s">
        <v>37</v>
      </c>
      <c r="D742" s="2" t="s">
        <v>28</v>
      </c>
      <c r="E742" s="2" t="s">
        <v>17</v>
      </c>
      <c r="F742" s="5">
        <v>3</v>
      </c>
      <c r="G742" s="1">
        <v>15000000</v>
      </c>
      <c r="H742" s="2">
        <v>1</v>
      </c>
      <c r="I742" s="6">
        <v>2.7777777777777779E-3</v>
      </c>
      <c r="J742" s="2" t="s">
        <v>18</v>
      </c>
      <c r="K742" s="2" t="s">
        <v>47</v>
      </c>
      <c r="L742" s="2" t="s">
        <v>33</v>
      </c>
      <c r="M742" s="2" t="s">
        <v>78</v>
      </c>
      <c r="N742" s="2" t="s">
        <v>66</v>
      </c>
    </row>
    <row r="743" spans="1:14" x14ac:dyDescent="0.5">
      <c r="A743" s="2" t="s">
        <v>14</v>
      </c>
      <c r="B743" s="3">
        <v>29</v>
      </c>
      <c r="C743" s="4" t="s">
        <v>37</v>
      </c>
      <c r="D743" s="2" t="s">
        <v>16</v>
      </c>
      <c r="E743" s="2" t="s">
        <v>17</v>
      </c>
      <c r="F743" s="5">
        <v>2</v>
      </c>
      <c r="G743" s="1">
        <v>12000000</v>
      </c>
      <c r="H743" s="2">
        <v>1</v>
      </c>
      <c r="I743" s="6">
        <v>2.7777777777777779E-3</v>
      </c>
      <c r="J743" s="2" t="s">
        <v>18</v>
      </c>
      <c r="K743" s="2" t="s">
        <v>64</v>
      </c>
      <c r="L743" s="2" t="s">
        <v>48</v>
      </c>
      <c r="M743" s="2" t="s">
        <v>78</v>
      </c>
      <c r="N743" s="2" t="s">
        <v>62</v>
      </c>
    </row>
    <row r="744" spans="1:14" x14ac:dyDescent="0.5">
      <c r="A744" s="2" t="s">
        <v>14</v>
      </c>
      <c r="B744" s="3">
        <v>25</v>
      </c>
      <c r="C744" s="4" t="s">
        <v>37</v>
      </c>
      <c r="D744" s="2" t="s">
        <v>32</v>
      </c>
      <c r="E744" s="2" t="s">
        <v>23</v>
      </c>
      <c r="F744" s="5">
        <v>5</v>
      </c>
      <c r="G744" s="1">
        <v>25000000</v>
      </c>
      <c r="H744" s="2">
        <v>3</v>
      </c>
      <c r="I744" s="6">
        <v>2.7777777777777779E-3</v>
      </c>
      <c r="J744" s="2" t="s">
        <v>18</v>
      </c>
      <c r="K744" s="2" t="s">
        <v>29</v>
      </c>
      <c r="L744" s="2" t="s">
        <v>51</v>
      </c>
      <c r="M744" s="2" t="s">
        <v>77</v>
      </c>
      <c r="N744" s="2" t="s">
        <v>65</v>
      </c>
    </row>
    <row r="745" spans="1:14" x14ac:dyDescent="0.5">
      <c r="A745" s="2" t="s">
        <v>14</v>
      </c>
      <c r="B745" s="3">
        <v>22</v>
      </c>
      <c r="C745" s="4" t="s">
        <v>44</v>
      </c>
      <c r="D745" s="2" t="s">
        <v>28</v>
      </c>
      <c r="E745" s="2" t="s">
        <v>23</v>
      </c>
      <c r="F745" s="5">
        <v>2</v>
      </c>
      <c r="G745" s="1">
        <v>12000000</v>
      </c>
      <c r="H745" s="2">
        <v>4</v>
      </c>
      <c r="I745" s="6">
        <v>2.7777777777777779E-3</v>
      </c>
      <c r="J745" s="2" t="s">
        <v>18</v>
      </c>
      <c r="K745" s="2" t="s">
        <v>39</v>
      </c>
      <c r="L745" s="2" t="s">
        <v>25</v>
      </c>
      <c r="M745" s="2" t="s">
        <v>76</v>
      </c>
      <c r="N745" s="2" t="s">
        <v>52</v>
      </c>
    </row>
    <row r="746" spans="1:14" x14ac:dyDescent="0.5">
      <c r="A746" s="2" t="s">
        <v>14</v>
      </c>
      <c r="B746" s="3">
        <v>15</v>
      </c>
      <c r="C746" s="4" t="s">
        <v>57</v>
      </c>
      <c r="D746" s="2" t="s">
        <v>49</v>
      </c>
      <c r="E746" s="2" t="s">
        <v>23</v>
      </c>
      <c r="F746" s="5">
        <v>3</v>
      </c>
      <c r="G746" s="1">
        <v>12000000</v>
      </c>
      <c r="H746" s="2">
        <v>4</v>
      </c>
      <c r="I746" s="6">
        <v>2.7777777777777779E-3</v>
      </c>
      <c r="J746" s="2" t="s">
        <v>18</v>
      </c>
      <c r="K746" s="2" t="s">
        <v>29</v>
      </c>
      <c r="L746" s="2" t="s">
        <v>30</v>
      </c>
      <c r="M746" s="2" t="s">
        <v>78</v>
      </c>
      <c r="N746" s="2" t="s">
        <v>53</v>
      </c>
    </row>
    <row r="747" spans="1:14" x14ac:dyDescent="0.5">
      <c r="A747" s="2" t="s">
        <v>14</v>
      </c>
      <c r="B747" s="3">
        <v>4</v>
      </c>
      <c r="C747" s="4" t="s">
        <v>72</v>
      </c>
      <c r="D747" s="2" t="s">
        <v>28</v>
      </c>
      <c r="E747" s="2" t="s">
        <v>23</v>
      </c>
      <c r="F747" s="5">
        <v>1</v>
      </c>
      <c r="G747" s="1">
        <v>19000000</v>
      </c>
      <c r="H747" s="2">
        <v>2</v>
      </c>
      <c r="I747" s="6">
        <v>2.7777777777777779E-3</v>
      </c>
      <c r="J747" s="2" t="s">
        <v>46</v>
      </c>
      <c r="K747" s="2" t="s">
        <v>47</v>
      </c>
      <c r="L747" s="2" t="s">
        <v>25</v>
      </c>
      <c r="M747" s="2" t="s">
        <v>77</v>
      </c>
      <c r="N747" s="2" t="s">
        <v>34</v>
      </c>
    </row>
    <row r="748" spans="1:14" x14ac:dyDescent="0.5">
      <c r="A748" s="2" t="s">
        <v>70</v>
      </c>
      <c r="B748" s="3">
        <v>25</v>
      </c>
      <c r="C748" s="4" t="s">
        <v>37</v>
      </c>
      <c r="D748" s="2" t="s">
        <v>32</v>
      </c>
      <c r="E748" s="2" t="s">
        <v>42</v>
      </c>
      <c r="F748" s="5">
        <v>0</v>
      </c>
      <c r="G748" s="1">
        <v>0</v>
      </c>
      <c r="H748" s="2">
        <v>5</v>
      </c>
      <c r="I748" s="6">
        <v>2.7777777777777779E-3</v>
      </c>
      <c r="J748" s="2"/>
      <c r="K748" s="2"/>
      <c r="L748" s="2" t="s">
        <v>33</v>
      </c>
      <c r="M748" s="2" t="s">
        <v>77</v>
      </c>
      <c r="N748" s="2" t="s">
        <v>54</v>
      </c>
    </row>
    <row r="749" spans="1:14" x14ac:dyDescent="0.5">
      <c r="A749" s="2" t="s">
        <v>70</v>
      </c>
      <c r="B749" s="3">
        <v>26</v>
      </c>
      <c r="C749" s="4" t="s">
        <v>44</v>
      </c>
      <c r="D749" s="2" t="s">
        <v>16</v>
      </c>
      <c r="E749" s="2" t="s">
        <v>23</v>
      </c>
      <c r="F749" s="5">
        <v>0</v>
      </c>
      <c r="G749" s="1">
        <v>0</v>
      </c>
      <c r="H749" s="2">
        <v>2</v>
      </c>
      <c r="I749" s="6">
        <v>2.7777777777777779E-3</v>
      </c>
      <c r="J749" s="2"/>
      <c r="K749" s="2"/>
      <c r="L749" s="2" t="s">
        <v>43</v>
      </c>
      <c r="M749" s="2" t="s">
        <v>76</v>
      </c>
      <c r="N749" s="2" t="s">
        <v>26</v>
      </c>
    </row>
    <row r="750" spans="1:14" x14ac:dyDescent="0.5">
      <c r="A750" s="2" t="s">
        <v>70</v>
      </c>
      <c r="B750" s="3">
        <v>26</v>
      </c>
      <c r="C750" s="4" t="s">
        <v>44</v>
      </c>
      <c r="D750" s="2" t="s">
        <v>28</v>
      </c>
      <c r="E750" s="2" t="s">
        <v>23</v>
      </c>
      <c r="F750" s="5">
        <v>0</v>
      </c>
      <c r="G750" s="1">
        <v>0</v>
      </c>
      <c r="H750" s="2">
        <v>3</v>
      </c>
      <c r="I750" s="6">
        <v>2.7777777777777779E-3</v>
      </c>
      <c r="J750" s="2"/>
      <c r="K750" s="2"/>
      <c r="L750" s="2" t="s">
        <v>51</v>
      </c>
      <c r="M750" s="2" t="s">
        <v>76</v>
      </c>
      <c r="N750" s="2" t="s">
        <v>26</v>
      </c>
    </row>
    <row r="751" spans="1:14" x14ac:dyDescent="0.5">
      <c r="A751" s="2" t="s">
        <v>70</v>
      </c>
      <c r="B751" s="3">
        <v>10</v>
      </c>
      <c r="C751" s="4" t="s">
        <v>69</v>
      </c>
      <c r="D751" s="2" t="s">
        <v>32</v>
      </c>
      <c r="E751" s="2" t="s">
        <v>17</v>
      </c>
      <c r="F751" s="5">
        <v>0</v>
      </c>
      <c r="G751" s="1">
        <v>0</v>
      </c>
      <c r="H751" s="2">
        <v>3</v>
      </c>
      <c r="I751" s="6">
        <v>2.7777777777777779E-3</v>
      </c>
      <c r="J751" s="2"/>
      <c r="K751" s="2"/>
      <c r="L751" s="2" t="s">
        <v>43</v>
      </c>
      <c r="M751" s="2" t="s">
        <v>66</v>
      </c>
      <c r="N751" s="2" t="s">
        <v>36</v>
      </c>
    </row>
    <row r="752" spans="1:14" x14ac:dyDescent="0.5">
      <c r="A752" s="2" t="s">
        <v>14</v>
      </c>
      <c r="B752" s="3">
        <v>16</v>
      </c>
      <c r="C752" s="4" t="s">
        <v>55</v>
      </c>
      <c r="D752" s="2" t="s">
        <v>32</v>
      </c>
      <c r="E752" s="2" t="s">
        <v>23</v>
      </c>
      <c r="F752" s="5">
        <v>2</v>
      </c>
      <c r="G752" s="1">
        <v>12000000</v>
      </c>
      <c r="H752" s="2">
        <v>1</v>
      </c>
      <c r="I752" s="6">
        <v>3.2407407407407406E-3</v>
      </c>
      <c r="J752" s="2" t="s">
        <v>18</v>
      </c>
      <c r="K752" s="2" t="s">
        <v>29</v>
      </c>
      <c r="L752" s="2" t="s">
        <v>40</v>
      </c>
      <c r="M752" s="2" t="s">
        <v>76</v>
      </c>
      <c r="N752" s="2" t="s">
        <v>26</v>
      </c>
    </row>
    <row r="753" spans="1:14" x14ac:dyDescent="0.5">
      <c r="A753" s="2" t="s">
        <v>14</v>
      </c>
      <c r="B753" s="3">
        <v>11</v>
      </c>
      <c r="C753" s="4" t="s">
        <v>57</v>
      </c>
      <c r="D753" s="2" t="s">
        <v>16</v>
      </c>
      <c r="E753" s="2" t="s">
        <v>42</v>
      </c>
      <c r="F753" s="5">
        <v>2</v>
      </c>
      <c r="G753" s="1">
        <v>12000000</v>
      </c>
      <c r="H753" s="2">
        <v>4</v>
      </c>
      <c r="I753" s="6">
        <v>3.2407407407407406E-3</v>
      </c>
      <c r="J753" s="2" t="s">
        <v>18</v>
      </c>
      <c r="K753" s="2" t="s">
        <v>19</v>
      </c>
      <c r="L753" s="2" t="s">
        <v>43</v>
      </c>
      <c r="M753" s="2" t="s">
        <v>66</v>
      </c>
      <c r="N753" s="2" t="s">
        <v>36</v>
      </c>
    </row>
    <row r="754" spans="1:14" x14ac:dyDescent="0.5">
      <c r="A754" s="2" t="s">
        <v>14</v>
      </c>
      <c r="B754" s="3">
        <v>1</v>
      </c>
      <c r="C754" s="4" t="s">
        <v>59</v>
      </c>
      <c r="D754" s="2" t="s">
        <v>32</v>
      </c>
      <c r="E754" s="2" t="s">
        <v>23</v>
      </c>
      <c r="F754" s="5">
        <v>2</v>
      </c>
      <c r="G754" s="1">
        <v>12000000</v>
      </c>
      <c r="H754" s="2">
        <v>2</v>
      </c>
      <c r="I754" s="6">
        <v>3.2407407407407406E-3</v>
      </c>
      <c r="J754" s="2" t="s">
        <v>18</v>
      </c>
      <c r="K754" s="2" t="s">
        <v>29</v>
      </c>
      <c r="L754" s="2" t="s">
        <v>51</v>
      </c>
      <c r="M754" s="2" t="s">
        <v>66</v>
      </c>
      <c r="N754" s="2" t="s">
        <v>67</v>
      </c>
    </row>
    <row r="755" spans="1:14" x14ac:dyDescent="0.5">
      <c r="A755" s="2" t="s">
        <v>14</v>
      </c>
      <c r="B755" s="3">
        <v>9</v>
      </c>
      <c r="C755" s="4" t="s">
        <v>27</v>
      </c>
      <c r="D755" s="2" t="s">
        <v>32</v>
      </c>
      <c r="E755" s="2" t="s">
        <v>23</v>
      </c>
      <c r="F755" s="5">
        <v>2</v>
      </c>
      <c r="G755" s="1">
        <v>38000000</v>
      </c>
      <c r="H755" s="2">
        <v>5</v>
      </c>
      <c r="I755" s="6">
        <v>3.2407407407407406E-3</v>
      </c>
      <c r="J755" s="2" t="s">
        <v>46</v>
      </c>
      <c r="K755" s="2" t="s">
        <v>19</v>
      </c>
      <c r="L755" s="2" t="s">
        <v>48</v>
      </c>
      <c r="M755" s="2" t="s">
        <v>76</v>
      </c>
      <c r="N755" s="2" t="s">
        <v>31</v>
      </c>
    </row>
    <row r="756" spans="1:14" x14ac:dyDescent="0.5">
      <c r="A756" s="2" t="s">
        <v>14</v>
      </c>
      <c r="B756" s="3">
        <v>11</v>
      </c>
      <c r="C756" s="4" t="s">
        <v>27</v>
      </c>
      <c r="D756" s="2" t="s">
        <v>32</v>
      </c>
      <c r="E756" s="2" t="s">
        <v>42</v>
      </c>
      <c r="F756" s="5">
        <v>2</v>
      </c>
      <c r="G756" s="1">
        <v>12000000</v>
      </c>
      <c r="H756" s="2">
        <v>5</v>
      </c>
      <c r="I756" s="6">
        <v>3.2407407407407406E-3</v>
      </c>
      <c r="J756" s="2" t="s">
        <v>18</v>
      </c>
      <c r="K756" s="2" t="s">
        <v>50</v>
      </c>
      <c r="L756" s="2" t="s">
        <v>20</v>
      </c>
      <c r="M756" s="2" t="s">
        <v>78</v>
      </c>
      <c r="N756" s="2" t="s">
        <v>63</v>
      </c>
    </row>
    <row r="757" spans="1:14" x14ac:dyDescent="0.5">
      <c r="A757" s="2" t="s">
        <v>14</v>
      </c>
      <c r="B757" s="3">
        <v>22</v>
      </c>
      <c r="C757" s="4" t="s">
        <v>27</v>
      </c>
      <c r="D757" s="2" t="s">
        <v>49</v>
      </c>
      <c r="E757" s="2" t="s">
        <v>42</v>
      </c>
      <c r="F757" s="5">
        <v>3</v>
      </c>
      <c r="G757" s="1">
        <v>15000000</v>
      </c>
      <c r="H757" s="2">
        <v>4</v>
      </c>
      <c r="I757" s="6">
        <v>3.2407407407407406E-3</v>
      </c>
      <c r="J757" s="2" t="s">
        <v>18</v>
      </c>
      <c r="K757" s="2" t="s">
        <v>56</v>
      </c>
      <c r="L757" s="2" t="s">
        <v>30</v>
      </c>
      <c r="M757" s="2" t="s">
        <v>77</v>
      </c>
      <c r="N757" s="2" t="s">
        <v>65</v>
      </c>
    </row>
    <row r="758" spans="1:14" x14ac:dyDescent="0.5">
      <c r="A758" s="2" t="s">
        <v>14</v>
      </c>
      <c r="B758" s="3">
        <v>30</v>
      </c>
      <c r="C758" s="4" t="s">
        <v>27</v>
      </c>
      <c r="D758" s="2" t="s">
        <v>49</v>
      </c>
      <c r="E758" s="2" t="s">
        <v>23</v>
      </c>
      <c r="F758" s="5">
        <v>3</v>
      </c>
      <c r="G758" s="1">
        <v>15000000</v>
      </c>
      <c r="H758" s="2">
        <v>3</v>
      </c>
      <c r="I758" s="6">
        <v>3.2407407407407406E-3</v>
      </c>
      <c r="J758" s="2" t="s">
        <v>18</v>
      </c>
      <c r="K758" s="2" t="s">
        <v>29</v>
      </c>
      <c r="L758" s="2" t="s">
        <v>25</v>
      </c>
      <c r="M758" s="2" t="s">
        <v>76</v>
      </c>
      <c r="N758" s="2" t="s">
        <v>31</v>
      </c>
    </row>
    <row r="759" spans="1:14" x14ac:dyDescent="0.5">
      <c r="A759" s="2" t="s">
        <v>14</v>
      </c>
      <c r="B759" s="3">
        <v>10</v>
      </c>
      <c r="C759" s="4" t="s">
        <v>37</v>
      </c>
      <c r="D759" s="2" t="s">
        <v>28</v>
      </c>
      <c r="E759" s="2" t="s">
        <v>17</v>
      </c>
      <c r="F759" s="5">
        <v>4</v>
      </c>
      <c r="G759" s="1">
        <v>11000000</v>
      </c>
      <c r="H759" s="2">
        <v>2</v>
      </c>
      <c r="I759" s="6">
        <v>3.2407407407407406E-3</v>
      </c>
      <c r="J759" s="2" t="s">
        <v>61</v>
      </c>
      <c r="K759" s="2" t="s">
        <v>19</v>
      </c>
      <c r="L759" s="2" t="s">
        <v>30</v>
      </c>
      <c r="M759" s="2" t="s">
        <v>76</v>
      </c>
      <c r="N759" s="2" t="s">
        <v>75</v>
      </c>
    </row>
    <row r="760" spans="1:14" x14ac:dyDescent="0.5">
      <c r="A760" s="2" t="s">
        <v>14</v>
      </c>
      <c r="B760" s="3">
        <v>24</v>
      </c>
      <c r="C760" s="4" t="s">
        <v>37</v>
      </c>
      <c r="D760" s="2" t="s">
        <v>16</v>
      </c>
      <c r="E760" s="2" t="s">
        <v>42</v>
      </c>
      <c r="F760" s="5">
        <v>4</v>
      </c>
      <c r="G760" s="1">
        <v>20000000</v>
      </c>
      <c r="H760" s="2">
        <v>1</v>
      </c>
      <c r="I760" s="6">
        <v>3.2407407407407406E-3</v>
      </c>
      <c r="J760" s="2" t="s">
        <v>61</v>
      </c>
      <c r="K760" s="2" t="s">
        <v>19</v>
      </c>
      <c r="L760" s="2" t="s">
        <v>30</v>
      </c>
      <c r="M760" s="2" t="s">
        <v>66</v>
      </c>
      <c r="N760" s="2" t="s">
        <v>36</v>
      </c>
    </row>
    <row r="761" spans="1:14" x14ac:dyDescent="0.5">
      <c r="A761" s="2" t="s">
        <v>14</v>
      </c>
      <c r="B761" s="3">
        <v>26</v>
      </c>
      <c r="C761" s="4" t="s">
        <v>37</v>
      </c>
      <c r="D761" s="2" t="s">
        <v>28</v>
      </c>
      <c r="E761" s="2" t="s">
        <v>42</v>
      </c>
      <c r="F761" s="5">
        <v>5</v>
      </c>
      <c r="G761" s="1">
        <v>20000000</v>
      </c>
      <c r="H761" s="2">
        <v>2</v>
      </c>
      <c r="I761" s="6">
        <v>3.2407407407407406E-3</v>
      </c>
      <c r="J761" s="2" t="s">
        <v>18</v>
      </c>
      <c r="K761" s="2" t="s">
        <v>19</v>
      </c>
      <c r="L761" s="2" t="s">
        <v>30</v>
      </c>
      <c r="M761" s="2" t="s">
        <v>78</v>
      </c>
      <c r="N761" s="2" t="s">
        <v>41</v>
      </c>
    </row>
    <row r="762" spans="1:14" x14ac:dyDescent="0.5">
      <c r="A762" s="2" t="s">
        <v>14</v>
      </c>
      <c r="B762" s="3">
        <v>1</v>
      </c>
      <c r="C762" s="4" t="s">
        <v>37</v>
      </c>
      <c r="D762" s="2" t="s">
        <v>32</v>
      </c>
      <c r="E762" s="2" t="s">
        <v>45</v>
      </c>
      <c r="F762" s="5">
        <v>4</v>
      </c>
      <c r="G762" s="1">
        <v>20000000</v>
      </c>
      <c r="H762" s="2">
        <v>2</v>
      </c>
      <c r="I762" s="6">
        <v>3.2407407407407406E-3</v>
      </c>
      <c r="J762" s="2" t="s">
        <v>18</v>
      </c>
      <c r="K762" s="2" t="s">
        <v>39</v>
      </c>
      <c r="L762" s="2" t="s">
        <v>33</v>
      </c>
      <c r="M762" s="2" t="s">
        <v>78</v>
      </c>
      <c r="N762" s="2" t="s">
        <v>63</v>
      </c>
    </row>
    <row r="763" spans="1:14" x14ac:dyDescent="0.5">
      <c r="A763" s="2" t="s">
        <v>14</v>
      </c>
      <c r="B763" s="3">
        <v>30</v>
      </c>
      <c r="C763" s="4" t="s">
        <v>37</v>
      </c>
      <c r="D763" s="2" t="s">
        <v>49</v>
      </c>
      <c r="E763" s="2" t="s">
        <v>45</v>
      </c>
      <c r="F763" s="5">
        <v>1</v>
      </c>
      <c r="G763" s="1">
        <v>7000000</v>
      </c>
      <c r="H763" s="2">
        <v>3</v>
      </c>
      <c r="I763" s="6">
        <v>3.2407407407407406E-3</v>
      </c>
      <c r="J763" s="2" t="s">
        <v>18</v>
      </c>
      <c r="K763" s="2" t="s">
        <v>47</v>
      </c>
      <c r="L763" s="2" t="s">
        <v>33</v>
      </c>
      <c r="M763" s="2" t="s">
        <v>77</v>
      </c>
      <c r="N763" s="2" t="s">
        <v>54</v>
      </c>
    </row>
    <row r="764" spans="1:14" x14ac:dyDescent="0.5">
      <c r="A764" s="2" t="s">
        <v>14</v>
      </c>
      <c r="B764" s="3">
        <v>8</v>
      </c>
      <c r="C764" s="4" t="s">
        <v>37</v>
      </c>
      <c r="D764" s="2" t="s">
        <v>32</v>
      </c>
      <c r="E764" s="2" t="s">
        <v>23</v>
      </c>
      <c r="F764" s="5">
        <v>5</v>
      </c>
      <c r="G764" s="1">
        <v>25000000</v>
      </c>
      <c r="H764" s="2">
        <v>4</v>
      </c>
      <c r="I764" s="6">
        <v>3.2407407407407406E-3</v>
      </c>
      <c r="J764" s="2" t="s">
        <v>18</v>
      </c>
      <c r="K764" s="2" t="s">
        <v>24</v>
      </c>
      <c r="L764" s="2" t="s">
        <v>20</v>
      </c>
      <c r="M764" s="2" t="s">
        <v>77</v>
      </c>
      <c r="N764" s="2" t="s">
        <v>65</v>
      </c>
    </row>
    <row r="765" spans="1:14" x14ac:dyDescent="0.5">
      <c r="A765" s="2" t="s">
        <v>14</v>
      </c>
      <c r="B765" s="3">
        <v>11</v>
      </c>
      <c r="C765" s="4" t="s">
        <v>37</v>
      </c>
      <c r="D765" s="2" t="s">
        <v>16</v>
      </c>
      <c r="E765" s="2" t="s">
        <v>42</v>
      </c>
      <c r="F765" s="5">
        <v>3</v>
      </c>
      <c r="G765" s="1">
        <v>15000000</v>
      </c>
      <c r="H765" s="2">
        <v>3</v>
      </c>
      <c r="I765" s="6">
        <v>3.2407407407407406E-3</v>
      </c>
      <c r="J765" s="2" t="s">
        <v>18</v>
      </c>
      <c r="K765" s="2" t="s">
        <v>39</v>
      </c>
      <c r="L765" s="2" t="s">
        <v>25</v>
      </c>
      <c r="M765" s="2" t="s">
        <v>78</v>
      </c>
      <c r="N765" s="2" t="s">
        <v>63</v>
      </c>
    </row>
    <row r="766" spans="1:14" x14ac:dyDescent="0.5">
      <c r="A766" s="2" t="s">
        <v>14</v>
      </c>
      <c r="B766" s="3">
        <v>11</v>
      </c>
      <c r="C766" s="4" t="s">
        <v>37</v>
      </c>
      <c r="D766" s="2" t="s">
        <v>38</v>
      </c>
      <c r="E766" s="2" t="s">
        <v>42</v>
      </c>
      <c r="F766" s="5">
        <v>3</v>
      </c>
      <c r="G766" s="1">
        <v>15000000</v>
      </c>
      <c r="H766" s="2">
        <v>1</v>
      </c>
      <c r="I766" s="6">
        <v>3.2407407407407406E-3</v>
      </c>
      <c r="J766" s="2" t="s">
        <v>18</v>
      </c>
      <c r="K766" s="2" t="s">
        <v>35</v>
      </c>
      <c r="L766" s="2" t="s">
        <v>48</v>
      </c>
      <c r="M766" s="2" t="s">
        <v>78</v>
      </c>
      <c r="N766" s="2" t="s">
        <v>41</v>
      </c>
    </row>
    <row r="767" spans="1:14" x14ac:dyDescent="0.5">
      <c r="A767" s="2" t="s">
        <v>14</v>
      </c>
      <c r="B767" s="3">
        <v>9</v>
      </c>
      <c r="C767" s="4" t="s">
        <v>44</v>
      </c>
      <c r="D767" s="2" t="s">
        <v>38</v>
      </c>
      <c r="E767" s="2" t="s">
        <v>23</v>
      </c>
      <c r="F767" s="5">
        <v>1</v>
      </c>
      <c r="G767" s="1">
        <v>19000000</v>
      </c>
      <c r="H767" s="2">
        <v>5</v>
      </c>
      <c r="I767" s="6">
        <v>3.2407407407407406E-3</v>
      </c>
      <c r="J767" s="2" t="s">
        <v>46</v>
      </c>
      <c r="K767" s="2" t="s">
        <v>29</v>
      </c>
      <c r="L767" s="2" t="s">
        <v>51</v>
      </c>
      <c r="M767" s="2" t="s">
        <v>77</v>
      </c>
      <c r="N767" s="2" t="s">
        <v>54</v>
      </c>
    </row>
    <row r="768" spans="1:14" x14ac:dyDescent="0.5">
      <c r="A768" s="2" t="s">
        <v>14</v>
      </c>
      <c r="B768" s="3">
        <v>22</v>
      </c>
      <c r="C768" s="4" t="s">
        <v>44</v>
      </c>
      <c r="D768" s="2" t="s">
        <v>32</v>
      </c>
      <c r="E768" s="2" t="s">
        <v>42</v>
      </c>
      <c r="F768" s="5">
        <v>1</v>
      </c>
      <c r="G768" s="1">
        <v>19000000</v>
      </c>
      <c r="H768" s="2">
        <v>1</v>
      </c>
      <c r="I768" s="6">
        <v>3.2407407407407406E-3</v>
      </c>
      <c r="J768" s="2" t="s">
        <v>46</v>
      </c>
      <c r="K768" s="2" t="s">
        <v>64</v>
      </c>
      <c r="L768" s="2" t="s">
        <v>51</v>
      </c>
      <c r="M768" s="2" t="s">
        <v>76</v>
      </c>
      <c r="N768" s="2" t="s">
        <v>31</v>
      </c>
    </row>
    <row r="769" spans="1:14" x14ac:dyDescent="0.5">
      <c r="A769" s="2" t="s">
        <v>14</v>
      </c>
      <c r="B769" s="3">
        <v>12</v>
      </c>
      <c r="C769" s="4" t="s">
        <v>44</v>
      </c>
      <c r="D769" s="2" t="s">
        <v>28</v>
      </c>
      <c r="E769" s="2" t="s">
        <v>42</v>
      </c>
      <c r="F769" s="5">
        <v>4</v>
      </c>
      <c r="G769" s="1">
        <v>20000000</v>
      </c>
      <c r="H769" s="2">
        <v>2</v>
      </c>
      <c r="I769" s="6">
        <v>3.2407407407407406E-3</v>
      </c>
      <c r="J769" s="2" t="s">
        <v>18</v>
      </c>
      <c r="K769" s="2" t="s">
        <v>29</v>
      </c>
      <c r="L769" s="2" t="s">
        <v>33</v>
      </c>
      <c r="M769" s="2" t="s">
        <v>78</v>
      </c>
      <c r="N769" s="2" t="s">
        <v>53</v>
      </c>
    </row>
    <row r="770" spans="1:14" x14ac:dyDescent="0.5">
      <c r="A770" s="2" t="s">
        <v>14</v>
      </c>
      <c r="B770" s="3">
        <v>22</v>
      </c>
      <c r="C770" s="4" t="s">
        <v>44</v>
      </c>
      <c r="D770" s="2" t="s">
        <v>32</v>
      </c>
      <c r="E770" s="2" t="s">
        <v>42</v>
      </c>
      <c r="F770" s="5">
        <v>3</v>
      </c>
      <c r="G770" s="1">
        <v>15000000</v>
      </c>
      <c r="H770" s="2">
        <v>1</v>
      </c>
      <c r="I770" s="6">
        <v>3.2407407407407406E-3</v>
      </c>
      <c r="J770" s="2" t="s">
        <v>18</v>
      </c>
      <c r="K770" s="2" t="s">
        <v>19</v>
      </c>
      <c r="L770" s="2" t="s">
        <v>48</v>
      </c>
      <c r="M770" s="2" t="s">
        <v>78</v>
      </c>
      <c r="N770" s="2" t="s">
        <v>63</v>
      </c>
    </row>
    <row r="771" spans="1:14" x14ac:dyDescent="0.5">
      <c r="A771" s="2" t="s">
        <v>14</v>
      </c>
      <c r="B771" s="3">
        <v>16</v>
      </c>
      <c r="C771" s="4" t="s">
        <v>55</v>
      </c>
      <c r="D771" s="2" t="s">
        <v>32</v>
      </c>
      <c r="E771" s="2" t="s">
        <v>23</v>
      </c>
      <c r="F771" s="5">
        <v>2</v>
      </c>
      <c r="G771" s="1">
        <v>12000000</v>
      </c>
      <c r="H771" s="2">
        <v>1</v>
      </c>
      <c r="I771" s="6">
        <v>3.2407407407407406E-3</v>
      </c>
      <c r="J771" s="2" t="s">
        <v>18</v>
      </c>
      <c r="K771" s="2" t="s">
        <v>29</v>
      </c>
      <c r="L771" s="2" t="s">
        <v>40</v>
      </c>
      <c r="M771" s="2" t="s">
        <v>76</v>
      </c>
      <c r="N771" s="2" t="s">
        <v>26</v>
      </c>
    </row>
    <row r="772" spans="1:14" x14ac:dyDescent="0.5">
      <c r="A772" s="2" t="s">
        <v>14</v>
      </c>
      <c r="B772" s="3">
        <v>11</v>
      </c>
      <c r="C772" s="4" t="s">
        <v>57</v>
      </c>
      <c r="D772" s="2" t="s">
        <v>16</v>
      </c>
      <c r="E772" s="2" t="s">
        <v>42</v>
      </c>
      <c r="F772" s="5">
        <v>2</v>
      </c>
      <c r="G772" s="1">
        <v>12000000</v>
      </c>
      <c r="H772" s="2">
        <v>4</v>
      </c>
      <c r="I772" s="6">
        <v>3.2407407407407406E-3</v>
      </c>
      <c r="J772" s="2" t="s">
        <v>18</v>
      </c>
      <c r="K772" s="2" t="s">
        <v>19</v>
      </c>
      <c r="L772" s="2" t="s">
        <v>43</v>
      </c>
      <c r="M772" s="2" t="s">
        <v>66</v>
      </c>
      <c r="N772" s="2" t="s">
        <v>36</v>
      </c>
    </row>
    <row r="773" spans="1:14" x14ac:dyDescent="0.5">
      <c r="A773" s="2" t="s">
        <v>14</v>
      </c>
      <c r="B773" s="3">
        <v>1</v>
      </c>
      <c r="C773" s="4" t="s">
        <v>59</v>
      </c>
      <c r="D773" s="2" t="s">
        <v>32</v>
      </c>
      <c r="E773" s="2" t="s">
        <v>23</v>
      </c>
      <c r="F773" s="5">
        <v>2</v>
      </c>
      <c r="G773" s="1">
        <v>12000000</v>
      </c>
      <c r="H773" s="2">
        <v>2</v>
      </c>
      <c r="I773" s="6">
        <v>3.2407407407407406E-3</v>
      </c>
      <c r="J773" s="2" t="s">
        <v>18</v>
      </c>
      <c r="K773" s="2" t="s">
        <v>29</v>
      </c>
      <c r="L773" s="2" t="s">
        <v>51</v>
      </c>
      <c r="M773" s="2" t="s">
        <v>66</v>
      </c>
      <c r="N773" s="2" t="s">
        <v>67</v>
      </c>
    </row>
    <row r="774" spans="1:14" x14ac:dyDescent="0.5">
      <c r="A774" s="2" t="s">
        <v>70</v>
      </c>
      <c r="B774" s="3">
        <v>15</v>
      </c>
      <c r="C774" s="4" t="s">
        <v>58</v>
      </c>
      <c r="D774" s="2" t="s">
        <v>38</v>
      </c>
      <c r="E774" s="2" t="s">
        <v>17</v>
      </c>
      <c r="F774" s="5">
        <v>0</v>
      </c>
      <c r="G774" s="1">
        <v>0</v>
      </c>
      <c r="H774" s="2">
        <v>2</v>
      </c>
      <c r="I774" s="6">
        <v>3.2407407407407406E-3</v>
      </c>
      <c r="J774" s="2"/>
      <c r="K774" s="2"/>
      <c r="L774" s="2" t="s">
        <v>43</v>
      </c>
      <c r="M774" s="2" t="s">
        <v>76</v>
      </c>
      <c r="N774" s="2" t="s">
        <v>26</v>
      </c>
    </row>
    <row r="775" spans="1:14" x14ac:dyDescent="0.5">
      <c r="A775" s="2" t="s">
        <v>70</v>
      </c>
      <c r="B775" s="3">
        <v>11</v>
      </c>
      <c r="C775" s="4" t="s">
        <v>59</v>
      </c>
      <c r="D775" s="2" t="s">
        <v>16</v>
      </c>
      <c r="E775" s="2" t="s">
        <v>42</v>
      </c>
      <c r="F775" s="5">
        <v>0</v>
      </c>
      <c r="G775" s="1">
        <v>0</v>
      </c>
      <c r="H775" s="2">
        <v>5</v>
      </c>
      <c r="I775" s="6">
        <v>3.2407407407407406E-3</v>
      </c>
      <c r="J775" s="2"/>
      <c r="K775" s="2"/>
      <c r="L775" s="2" t="s">
        <v>33</v>
      </c>
      <c r="M775" s="2" t="s">
        <v>66</v>
      </c>
      <c r="N775" s="2" t="s">
        <v>67</v>
      </c>
    </row>
    <row r="776" spans="1:14" x14ac:dyDescent="0.5">
      <c r="A776" s="2" t="s">
        <v>70</v>
      </c>
      <c r="B776" s="3">
        <v>14</v>
      </c>
      <c r="C776" s="4" t="s">
        <v>22</v>
      </c>
      <c r="D776" s="2" t="s">
        <v>28</v>
      </c>
      <c r="E776" s="2" t="s">
        <v>42</v>
      </c>
      <c r="F776" s="5">
        <v>0</v>
      </c>
      <c r="G776" s="1">
        <v>0</v>
      </c>
      <c r="H776" s="2">
        <v>4</v>
      </c>
      <c r="I776" s="6">
        <v>3.2407407407407406E-3</v>
      </c>
      <c r="J776" s="2"/>
      <c r="K776" s="2"/>
      <c r="L776" s="2" t="s">
        <v>43</v>
      </c>
      <c r="M776" s="2" t="s">
        <v>78</v>
      </c>
      <c r="N776" s="2" t="s">
        <v>41</v>
      </c>
    </row>
    <row r="777" spans="1:14" x14ac:dyDescent="0.5">
      <c r="A777" s="2" t="s">
        <v>70</v>
      </c>
      <c r="B777" s="3">
        <v>24</v>
      </c>
      <c r="C777" s="4" t="s">
        <v>27</v>
      </c>
      <c r="D777" s="2" t="s">
        <v>73</v>
      </c>
      <c r="E777" s="2" t="s">
        <v>42</v>
      </c>
      <c r="F777" s="5">
        <v>0</v>
      </c>
      <c r="G777" s="1">
        <v>0</v>
      </c>
      <c r="H777" s="2">
        <v>3</v>
      </c>
      <c r="I777" s="6">
        <v>3.2407407407407406E-3</v>
      </c>
      <c r="J777" s="2"/>
      <c r="K777" s="2"/>
      <c r="L777" s="2" t="s">
        <v>20</v>
      </c>
      <c r="M777" s="2" t="s">
        <v>78</v>
      </c>
      <c r="N777" s="2" t="s">
        <v>63</v>
      </c>
    </row>
    <row r="778" spans="1:14" x14ac:dyDescent="0.5">
      <c r="A778" s="2" t="s">
        <v>70</v>
      </c>
      <c r="B778" s="3">
        <v>1</v>
      </c>
      <c r="C778" s="4" t="s">
        <v>37</v>
      </c>
      <c r="D778" s="2" t="s">
        <v>16</v>
      </c>
      <c r="E778" s="2" t="s">
        <v>42</v>
      </c>
      <c r="F778" s="5">
        <v>0</v>
      </c>
      <c r="G778" s="1">
        <v>0</v>
      </c>
      <c r="H778" s="2">
        <v>1</v>
      </c>
      <c r="I778" s="6">
        <v>3.2407407407407406E-3</v>
      </c>
      <c r="J778" s="2"/>
      <c r="K778" s="2"/>
      <c r="L778" s="2" t="s">
        <v>43</v>
      </c>
      <c r="M778" s="2" t="s">
        <v>76</v>
      </c>
      <c r="N778" s="2" t="s">
        <v>52</v>
      </c>
    </row>
    <row r="779" spans="1:14" x14ac:dyDescent="0.5">
      <c r="A779" s="2" t="s">
        <v>70</v>
      </c>
      <c r="B779" s="3">
        <v>19</v>
      </c>
      <c r="C779" s="4" t="s">
        <v>69</v>
      </c>
      <c r="D779" s="2" t="s">
        <v>32</v>
      </c>
      <c r="E779" s="2" t="s">
        <v>42</v>
      </c>
      <c r="F779" s="5">
        <v>0</v>
      </c>
      <c r="G779" s="1">
        <v>0</v>
      </c>
      <c r="H779" s="2">
        <v>2</v>
      </c>
      <c r="I779" s="6">
        <v>3.2407407407407406E-3</v>
      </c>
      <c r="J779" s="2"/>
      <c r="K779" s="2"/>
      <c r="L779" s="2" t="s">
        <v>30</v>
      </c>
      <c r="M779" s="2" t="s">
        <v>66</v>
      </c>
      <c r="N779" s="2" t="s">
        <v>67</v>
      </c>
    </row>
    <row r="780" spans="1:14" x14ac:dyDescent="0.5">
      <c r="A780" s="2" t="s">
        <v>70</v>
      </c>
      <c r="B780" s="3">
        <v>15</v>
      </c>
      <c r="C780" s="4" t="s">
        <v>58</v>
      </c>
      <c r="D780" s="2" t="s">
        <v>38</v>
      </c>
      <c r="E780" s="2" t="s">
        <v>17</v>
      </c>
      <c r="F780" s="5">
        <v>0</v>
      </c>
      <c r="G780" s="1">
        <v>0</v>
      </c>
      <c r="H780" s="2">
        <v>2</v>
      </c>
      <c r="I780" s="6">
        <v>3.2407407407407406E-3</v>
      </c>
      <c r="J780" s="2"/>
      <c r="K780" s="2"/>
      <c r="L780" s="2" t="s">
        <v>43</v>
      </c>
      <c r="M780" s="2" t="s">
        <v>76</v>
      </c>
      <c r="N780" s="2" t="s">
        <v>26</v>
      </c>
    </row>
    <row r="781" spans="1:14" x14ac:dyDescent="0.5">
      <c r="A781" s="2" t="s">
        <v>70</v>
      </c>
      <c r="B781" s="3">
        <v>11</v>
      </c>
      <c r="C781" s="4" t="s">
        <v>59</v>
      </c>
      <c r="D781" s="2" t="s">
        <v>16</v>
      </c>
      <c r="E781" s="2" t="s">
        <v>42</v>
      </c>
      <c r="F781" s="5">
        <v>0</v>
      </c>
      <c r="G781" s="1">
        <v>0</v>
      </c>
      <c r="H781" s="2">
        <v>5</v>
      </c>
      <c r="I781" s="6">
        <v>3.2407407407407406E-3</v>
      </c>
      <c r="J781" s="2"/>
      <c r="K781" s="2"/>
      <c r="L781" s="2" t="s">
        <v>33</v>
      </c>
      <c r="M781" s="2" t="s">
        <v>66</v>
      </c>
      <c r="N781" s="2" t="s">
        <v>67</v>
      </c>
    </row>
    <row r="782" spans="1:14" x14ac:dyDescent="0.5">
      <c r="A782" s="2" t="s">
        <v>14</v>
      </c>
      <c r="B782" s="3">
        <v>19</v>
      </c>
      <c r="C782" s="4" t="s">
        <v>22</v>
      </c>
      <c r="D782" s="2" t="s">
        <v>28</v>
      </c>
      <c r="E782" s="2" t="s">
        <v>45</v>
      </c>
      <c r="F782" s="5">
        <v>1</v>
      </c>
      <c r="G782" s="1">
        <v>7000000</v>
      </c>
      <c r="H782" s="2">
        <v>5</v>
      </c>
      <c r="I782" s="6">
        <v>3.2986111111111111E-3</v>
      </c>
      <c r="J782" s="2" t="s">
        <v>18</v>
      </c>
      <c r="K782" s="2" t="s">
        <v>24</v>
      </c>
      <c r="L782" s="2" t="s">
        <v>48</v>
      </c>
      <c r="M782" s="2" t="s">
        <v>78</v>
      </c>
      <c r="N782" s="2" t="s">
        <v>53</v>
      </c>
    </row>
    <row r="783" spans="1:14" x14ac:dyDescent="0.5">
      <c r="A783" s="2" t="s">
        <v>14</v>
      </c>
      <c r="B783" s="3">
        <v>5</v>
      </c>
      <c r="C783" s="4" t="s">
        <v>27</v>
      </c>
      <c r="D783" s="2" t="s">
        <v>32</v>
      </c>
      <c r="E783" s="2" t="s">
        <v>42</v>
      </c>
      <c r="F783" s="5">
        <v>4</v>
      </c>
      <c r="G783" s="1">
        <v>15000000</v>
      </c>
      <c r="H783" s="2">
        <v>3</v>
      </c>
      <c r="I783" s="6">
        <v>3.2986111111111111E-3</v>
      </c>
      <c r="J783" s="2" t="s">
        <v>18</v>
      </c>
      <c r="K783" s="2" t="s">
        <v>19</v>
      </c>
      <c r="L783" s="2" t="s">
        <v>33</v>
      </c>
      <c r="M783" s="2" t="s">
        <v>66</v>
      </c>
      <c r="N783" s="2" t="s">
        <v>67</v>
      </c>
    </row>
    <row r="784" spans="1:14" x14ac:dyDescent="0.5">
      <c r="A784" s="2" t="s">
        <v>14</v>
      </c>
      <c r="B784" s="3">
        <v>11</v>
      </c>
      <c r="C784" s="4" t="s">
        <v>37</v>
      </c>
      <c r="D784" s="2" t="s">
        <v>16</v>
      </c>
      <c r="E784" s="2" t="s">
        <v>45</v>
      </c>
      <c r="F784" s="5">
        <v>2</v>
      </c>
      <c r="G784" s="1">
        <v>38000000</v>
      </c>
      <c r="H784" s="2">
        <v>1</v>
      </c>
      <c r="I784" s="6">
        <v>3.2986111111111111E-3</v>
      </c>
      <c r="J784" s="2" t="s">
        <v>46</v>
      </c>
      <c r="K784" s="2" t="s">
        <v>19</v>
      </c>
      <c r="L784" s="2" t="s">
        <v>40</v>
      </c>
      <c r="M784" s="2" t="s">
        <v>78</v>
      </c>
      <c r="N784" s="2" t="s">
        <v>53</v>
      </c>
    </row>
    <row r="785" spans="1:14" x14ac:dyDescent="0.5">
      <c r="A785" s="2" t="s">
        <v>14</v>
      </c>
      <c r="B785" s="3">
        <v>1</v>
      </c>
      <c r="C785" s="4" t="s">
        <v>37</v>
      </c>
      <c r="D785" s="2" t="s">
        <v>49</v>
      </c>
      <c r="E785" s="2" t="s">
        <v>17</v>
      </c>
      <c r="F785" s="5">
        <v>3</v>
      </c>
      <c r="G785" s="1">
        <v>15000000</v>
      </c>
      <c r="H785" s="2">
        <v>1</v>
      </c>
      <c r="I785" s="6">
        <v>3.2986111111111111E-3</v>
      </c>
      <c r="J785" s="2" t="s">
        <v>18</v>
      </c>
      <c r="K785" s="2" t="s">
        <v>39</v>
      </c>
      <c r="L785" s="2" t="s">
        <v>30</v>
      </c>
      <c r="M785" s="2" t="s">
        <v>66</v>
      </c>
      <c r="N785" s="2" t="s">
        <v>36</v>
      </c>
    </row>
    <row r="786" spans="1:14" x14ac:dyDescent="0.5">
      <c r="A786" s="2" t="s">
        <v>14</v>
      </c>
      <c r="B786" s="3">
        <v>21</v>
      </c>
      <c r="C786" s="4" t="s">
        <v>37</v>
      </c>
      <c r="D786" s="2" t="s">
        <v>28</v>
      </c>
      <c r="E786" s="2" t="s">
        <v>17</v>
      </c>
      <c r="F786" s="5">
        <v>5</v>
      </c>
      <c r="G786" s="1">
        <v>20000000</v>
      </c>
      <c r="H786" s="2">
        <v>5</v>
      </c>
      <c r="I786" s="6">
        <v>3.2986111111111111E-3</v>
      </c>
      <c r="J786" s="2" t="s">
        <v>18</v>
      </c>
      <c r="K786" s="2" t="s">
        <v>56</v>
      </c>
      <c r="L786" s="2" t="s">
        <v>20</v>
      </c>
      <c r="M786" s="2" t="s">
        <v>76</v>
      </c>
      <c r="N786" s="2" t="s">
        <v>31</v>
      </c>
    </row>
    <row r="787" spans="1:14" x14ac:dyDescent="0.5">
      <c r="A787" s="2" t="s">
        <v>14</v>
      </c>
      <c r="B787" s="3">
        <v>27</v>
      </c>
      <c r="C787" s="4" t="s">
        <v>44</v>
      </c>
      <c r="D787" s="2" t="s">
        <v>38</v>
      </c>
      <c r="E787" s="2" t="s">
        <v>42</v>
      </c>
      <c r="F787" s="5">
        <v>3</v>
      </c>
      <c r="G787" s="1">
        <v>11000000</v>
      </c>
      <c r="H787" s="2">
        <v>3</v>
      </c>
      <c r="I787" s="6">
        <v>3.2986111111111111E-3</v>
      </c>
      <c r="J787" s="2" t="s">
        <v>18</v>
      </c>
      <c r="K787" s="2" t="s">
        <v>56</v>
      </c>
      <c r="L787" s="2" t="s">
        <v>48</v>
      </c>
      <c r="M787" s="2" t="s">
        <v>77</v>
      </c>
      <c r="N787" s="2" t="s">
        <v>34</v>
      </c>
    </row>
    <row r="788" spans="1:14" x14ac:dyDescent="0.5">
      <c r="A788" s="2" t="s">
        <v>14</v>
      </c>
      <c r="B788" s="3">
        <v>28</v>
      </c>
      <c r="C788" s="4" t="s">
        <v>44</v>
      </c>
      <c r="D788" s="2" t="s">
        <v>38</v>
      </c>
      <c r="E788" s="2" t="s">
        <v>23</v>
      </c>
      <c r="F788" s="5">
        <v>2</v>
      </c>
      <c r="G788" s="1">
        <v>12000000</v>
      </c>
      <c r="H788" s="2">
        <v>3</v>
      </c>
      <c r="I788" s="6">
        <v>3.2986111111111111E-3</v>
      </c>
      <c r="J788" s="2" t="s">
        <v>18</v>
      </c>
      <c r="K788" s="2" t="s">
        <v>39</v>
      </c>
      <c r="L788" s="2" t="s">
        <v>51</v>
      </c>
      <c r="M788" s="2" t="s">
        <v>78</v>
      </c>
      <c r="N788" s="2" t="s">
        <v>62</v>
      </c>
    </row>
    <row r="789" spans="1:14" x14ac:dyDescent="0.5">
      <c r="A789" s="2" t="s">
        <v>14</v>
      </c>
      <c r="B789" s="3">
        <v>11</v>
      </c>
      <c r="C789" s="4" t="s">
        <v>69</v>
      </c>
      <c r="D789" s="2" t="s">
        <v>38</v>
      </c>
      <c r="E789" s="2" t="s">
        <v>23</v>
      </c>
      <c r="F789" s="5">
        <v>1</v>
      </c>
      <c r="G789" s="1">
        <v>19000000</v>
      </c>
      <c r="H789" s="2">
        <v>1</v>
      </c>
      <c r="I789" s="6">
        <v>3.2986111111111111E-3</v>
      </c>
      <c r="J789" s="2" t="s">
        <v>46</v>
      </c>
      <c r="K789" s="2" t="s">
        <v>29</v>
      </c>
      <c r="L789" s="2" t="s">
        <v>30</v>
      </c>
      <c r="M789" s="2" t="s">
        <v>78</v>
      </c>
      <c r="N789" s="2" t="s">
        <v>66</v>
      </c>
    </row>
    <row r="790" spans="1:14" x14ac:dyDescent="0.5">
      <c r="A790" s="2" t="s">
        <v>14</v>
      </c>
      <c r="B790" s="3">
        <v>25</v>
      </c>
      <c r="C790" s="4" t="s">
        <v>69</v>
      </c>
      <c r="D790" s="2" t="s">
        <v>16</v>
      </c>
      <c r="E790" s="2" t="s">
        <v>23</v>
      </c>
      <c r="F790" s="5">
        <v>2</v>
      </c>
      <c r="G790" s="1">
        <v>12000000</v>
      </c>
      <c r="H790" s="2">
        <v>1</v>
      </c>
      <c r="I790" s="6">
        <v>3.2986111111111111E-3</v>
      </c>
      <c r="J790" s="2" t="s">
        <v>18</v>
      </c>
      <c r="K790" s="2" t="s">
        <v>56</v>
      </c>
      <c r="L790" s="2" t="s">
        <v>43</v>
      </c>
      <c r="M790" s="2" t="s">
        <v>77</v>
      </c>
      <c r="N790" s="2" t="s">
        <v>54</v>
      </c>
    </row>
    <row r="791" spans="1:14" x14ac:dyDescent="0.5">
      <c r="A791" s="2" t="s">
        <v>14</v>
      </c>
      <c r="B791" s="3">
        <v>23</v>
      </c>
      <c r="C791" s="4" t="s">
        <v>69</v>
      </c>
      <c r="D791" s="2" t="s">
        <v>16</v>
      </c>
      <c r="E791" s="2" t="s">
        <v>17</v>
      </c>
      <c r="F791" s="5">
        <v>2</v>
      </c>
      <c r="G791" s="1">
        <v>12000000</v>
      </c>
      <c r="H791" s="2">
        <v>1</v>
      </c>
      <c r="I791" s="6">
        <v>3.2986111111111111E-3</v>
      </c>
      <c r="J791" s="2" t="s">
        <v>18</v>
      </c>
      <c r="K791" s="2" t="s">
        <v>64</v>
      </c>
      <c r="L791" s="2" t="s">
        <v>48</v>
      </c>
      <c r="M791" s="2" t="s">
        <v>76</v>
      </c>
      <c r="N791" s="2" t="s">
        <v>26</v>
      </c>
    </row>
    <row r="792" spans="1:14" x14ac:dyDescent="0.5">
      <c r="A792" s="2" t="s">
        <v>14</v>
      </c>
      <c r="B792" s="3">
        <v>19</v>
      </c>
      <c r="C792" s="4" t="s">
        <v>22</v>
      </c>
      <c r="D792" s="2" t="s">
        <v>28</v>
      </c>
      <c r="E792" s="2" t="s">
        <v>45</v>
      </c>
      <c r="F792" s="5">
        <v>1</v>
      </c>
      <c r="G792" s="1">
        <v>7000000</v>
      </c>
      <c r="H792" s="2">
        <v>5</v>
      </c>
      <c r="I792" s="6">
        <v>3.2986111111111111E-3</v>
      </c>
      <c r="J792" s="2" t="s">
        <v>18</v>
      </c>
      <c r="K792" s="2" t="s">
        <v>24</v>
      </c>
      <c r="L792" s="2" t="s">
        <v>48</v>
      </c>
      <c r="M792" s="2" t="s">
        <v>78</v>
      </c>
      <c r="N792" s="2" t="s">
        <v>53</v>
      </c>
    </row>
    <row r="793" spans="1:14" x14ac:dyDescent="0.5">
      <c r="A793" s="2" t="s">
        <v>70</v>
      </c>
      <c r="B793" s="3">
        <v>11</v>
      </c>
      <c r="C793" s="4" t="s">
        <v>55</v>
      </c>
      <c r="D793" s="2" t="s">
        <v>38</v>
      </c>
      <c r="E793" s="2" t="s">
        <v>23</v>
      </c>
      <c r="F793" s="5">
        <v>0</v>
      </c>
      <c r="G793" s="1">
        <v>0</v>
      </c>
      <c r="H793" s="2">
        <v>4</v>
      </c>
      <c r="I793" s="6">
        <v>3.2986111111111111E-3</v>
      </c>
      <c r="J793" s="2"/>
      <c r="K793" s="2"/>
      <c r="L793" s="2" t="s">
        <v>30</v>
      </c>
      <c r="M793" s="2" t="s">
        <v>77</v>
      </c>
      <c r="N793" s="2" t="s">
        <v>65</v>
      </c>
    </row>
    <row r="794" spans="1:14" x14ac:dyDescent="0.5">
      <c r="A794" s="2" t="s">
        <v>70</v>
      </c>
      <c r="B794" s="3">
        <v>19</v>
      </c>
      <c r="C794" s="4" t="s">
        <v>27</v>
      </c>
      <c r="D794" s="2" t="s">
        <v>16</v>
      </c>
      <c r="E794" s="2" t="s">
        <v>42</v>
      </c>
      <c r="F794" s="5">
        <v>0</v>
      </c>
      <c r="G794" s="1">
        <v>0</v>
      </c>
      <c r="H794" s="2">
        <v>6</v>
      </c>
      <c r="I794" s="6">
        <v>3.2986111111111111E-3</v>
      </c>
      <c r="J794" s="2"/>
      <c r="K794" s="2"/>
      <c r="L794" s="2" t="s">
        <v>30</v>
      </c>
      <c r="M794" s="2" t="s">
        <v>76</v>
      </c>
      <c r="N794" s="2" t="s">
        <v>71</v>
      </c>
    </row>
    <row r="795" spans="1:14" x14ac:dyDescent="0.5">
      <c r="A795" s="2" t="s">
        <v>70</v>
      </c>
      <c r="B795" s="3">
        <v>18</v>
      </c>
      <c r="C795" s="4" t="s">
        <v>44</v>
      </c>
      <c r="D795" s="2" t="s">
        <v>73</v>
      </c>
      <c r="E795" s="2" t="s">
        <v>42</v>
      </c>
      <c r="F795" s="5">
        <v>0</v>
      </c>
      <c r="G795" s="1">
        <v>0</v>
      </c>
      <c r="H795" s="2">
        <v>4</v>
      </c>
      <c r="I795" s="6">
        <v>3.2986111111111111E-3</v>
      </c>
      <c r="J795" s="2"/>
      <c r="K795" s="2"/>
      <c r="L795" s="2" t="s">
        <v>51</v>
      </c>
      <c r="M795" s="2" t="s">
        <v>66</v>
      </c>
      <c r="N795" s="2" t="s">
        <v>67</v>
      </c>
    </row>
    <row r="796" spans="1:14" x14ac:dyDescent="0.5">
      <c r="A796" s="2" t="s">
        <v>70</v>
      </c>
      <c r="B796" s="3">
        <v>11</v>
      </c>
      <c r="C796" s="4" t="s">
        <v>55</v>
      </c>
      <c r="D796" s="2" t="s">
        <v>38</v>
      </c>
      <c r="E796" s="2" t="s">
        <v>23</v>
      </c>
      <c r="F796" s="5">
        <v>0</v>
      </c>
      <c r="G796" s="1">
        <v>0</v>
      </c>
      <c r="H796" s="2">
        <v>4</v>
      </c>
      <c r="I796" s="6">
        <v>3.2986111111111111E-3</v>
      </c>
      <c r="J796" s="2"/>
      <c r="K796" s="2"/>
      <c r="L796" s="2" t="s">
        <v>30</v>
      </c>
      <c r="M796" s="2" t="s">
        <v>77</v>
      </c>
      <c r="N796" s="2" t="s">
        <v>65</v>
      </c>
    </row>
    <row r="797" spans="1:14" x14ac:dyDescent="0.5">
      <c r="A797" s="2" t="s">
        <v>14</v>
      </c>
      <c r="B797" s="3">
        <v>13</v>
      </c>
      <c r="C797" s="4" t="s">
        <v>55</v>
      </c>
      <c r="D797" s="2" t="s">
        <v>49</v>
      </c>
      <c r="E797" s="2" t="s">
        <v>42</v>
      </c>
      <c r="F797" s="5">
        <v>2</v>
      </c>
      <c r="G797" s="1">
        <v>12000000</v>
      </c>
      <c r="H797" s="2">
        <v>1</v>
      </c>
      <c r="I797" s="6">
        <v>3.3333333333333335E-3</v>
      </c>
      <c r="J797" s="2" t="s">
        <v>18</v>
      </c>
      <c r="K797" s="2" t="s">
        <v>56</v>
      </c>
      <c r="L797" s="2" t="s">
        <v>30</v>
      </c>
      <c r="M797" s="2" t="s">
        <v>76</v>
      </c>
      <c r="N797" s="2" t="s">
        <v>26</v>
      </c>
    </row>
    <row r="798" spans="1:14" x14ac:dyDescent="0.5">
      <c r="A798" s="2" t="s">
        <v>14</v>
      </c>
      <c r="B798" s="3">
        <v>1</v>
      </c>
      <c r="C798" s="4" t="s">
        <v>59</v>
      </c>
      <c r="D798" s="2" t="s">
        <v>49</v>
      </c>
      <c r="E798" s="2" t="s">
        <v>23</v>
      </c>
      <c r="F798" s="5">
        <v>4</v>
      </c>
      <c r="G798" s="1">
        <v>20000000</v>
      </c>
      <c r="H798" s="2">
        <v>4</v>
      </c>
      <c r="I798" s="6">
        <v>3.3333333333333335E-3</v>
      </c>
      <c r="J798" s="2" t="s">
        <v>61</v>
      </c>
      <c r="K798" s="2" t="s">
        <v>64</v>
      </c>
      <c r="L798" s="2" t="s">
        <v>43</v>
      </c>
      <c r="M798" s="2" t="s">
        <v>78</v>
      </c>
      <c r="N798" s="2" t="s">
        <v>63</v>
      </c>
    </row>
    <row r="799" spans="1:14" x14ac:dyDescent="0.5">
      <c r="A799" s="2" t="s">
        <v>14</v>
      </c>
      <c r="B799" s="3">
        <v>12</v>
      </c>
      <c r="C799" s="4" t="s">
        <v>27</v>
      </c>
      <c r="D799" s="2" t="s">
        <v>49</v>
      </c>
      <c r="E799" s="2" t="s">
        <v>17</v>
      </c>
      <c r="F799" s="5">
        <v>2</v>
      </c>
      <c r="G799" s="1">
        <v>10000000</v>
      </c>
      <c r="H799" s="2">
        <v>5</v>
      </c>
      <c r="I799" s="6">
        <v>3.3333333333333335E-3</v>
      </c>
      <c r="J799" s="2" t="s">
        <v>18</v>
      </c>
      <c r="K799" s="2" t="s">
        <v>35</v>
      </c>
      <c r="L799" s="2" t="s">
        <v>51</v>
      </c>
      <c r="M799" s="2" t="s">
        <v>66</v>
      </c>
      <c r="N799" s="2" t="s">
        <v>67</v>
      </c>
    </row>
    <row r="800" spans="1:14" x14ac:dyDescent="0.5">
      <c r="A800" s="2" t="s">
        <v>14</v>
      </c>
      <c r="B800" s="3">
        <v>13</v>
      </c>
      <c r="C800" s="4" t="s">
        <v>37</v>
      </c>
      <c r="D800" s="2" t="s">
        <v>16</v>
      </c>
      <c r="E800" s="2" t="s">
        <v>23</v>
      </c>
      <c r="F800" s="5">
        <v>1</v>
      </c>
      <c r="G800" s="1">
        <v>19000000</v>
      </c>
      <c r="H800" s="2">
        <v>4</v>
      </c>
      <c r="I800" s="6">
        <v>3.3333333333333335E-3</v>
      </c>
      <c r="J800" s="2" t="s">
        <v>46</v>
      </c>
      <c r="K800" s="2" t="s">
        <v>56</v>
      </c>
      <c r="L800" s="2" t="s">
        <v>33</v>
      </c>
      <c r="M800" s="2" t="s">
        <v>76</v>
      </c>
      <c r="N800" s="2" t="s">
        <v>31</v>
      </c>
    </row>
    <row r="801" spans="1:14" x14ac:dyDescent="0.5">
      <c r="A801" s="2" t="s">
        <v>14</v>
      </c>
      <c r="B801" s="3">
        <v>8</v>
      </c>
      <c r="C801" s="4" t="s">
        <v>37</v>
      </c>
      <c r="D801" s="2" t="s">
        <v>49</v>
      </c>
      <c r="E801" s="2" t="s">
        <v>23</v>
      </c>
      <c r="F801" s="5">
        <v>3</v>
      </c>
      <c r="G801" s="1">
        <v>15000000</v>
      </c>
      <c r="H801" s="2">
        <v>3</v>
      </c>
      <c r="I801" s="6">
        <v>3.3333333333333335E-3</v>
      </c>
      <c r="J801" s="2" t="s">
        <v>18</v>
      </c>
      <c r="K801" s="2" t="s">
        <v>19</v>
      </c>
      <c r="L801" s="2" t="s">
        <v>40</v>
      </c>
      <c r="M801" s="2" t="s">
        <v>78</v>
      </c>
      <c r="N801" s="2" t="s">
        <v>41</v>
      </c>
    </row>
    <row r="802" spans="1:14" x14ac:dyDescent="0.5">
      <c r="A802" s="2" t="s">
        <v>14</v>
      </c>
      <c r="B802" s="3">
        <v>17</v>
      </c>
      <c r="C802" s="4" t="s">
        <v>44</v>
      </c>
      <c r="D802" s="2" t="s">
        <v>16</v>
      </c>
      <c r="E802" s="2" t="s">
        <v>42</v>
      </c>
      <c r="F802" s="5">
        <v>2</v>
      </c>
      <c r="G802" s="1">
        <v>12000000</v>
      </c>
      <c r="H802" s="2">
        <v>3</v>
      </c>
      <c r="I802" s="6">
        <v>3.3333333333333335E-3</v>
      </c>
      <c r="J802" s="2" t="s">
        <v>18</v>
      </c>
      <c r="K802" s="2" t="s">
        <v>29</v>
      </c>
      <c r="L802" s="2" t="s">
        <v>40</v>
      </c>
      <c r="M802" s="2" t="s">
        <v>66</v>
      </c>
      <c r="N802" s="2" t="s">
        <v>67</v>
      </c>
    </row>
    <row r="803" spans="1:14" x14ac:dyDescent="0.5">
      <c r="A803" s="2" t="s">
        <v>14</v>
      </c>
      <c r="B803" s="3">
        <v>12</v>
      </c>
      <c r="C803" s="4" t="s">
        <v>44</v>
      </c>
      <c r="D803" s="2" t="s">
        <v>28</v>
      </c>
      <c r="E803" s="2" t="s">
        <v>42</v>
      </c>
      <c r="F803" s="5">
        <v>3</v>
      </c>
      <c r="G803" s="1">
        <v>15000000</v>
      </c>
      <c r="H803" s="2">
        <v>1</v>
      </c>
      <c r="I803" s="6">
        <v>3.3333333333333335E-3</v>
      </c>
      <c r="J803" s="2" t="s">
        <v>18</v>
      </c>
      <c r="K803" s="2" t="s">
        <v>39</v>
      </c>
      <c r="L803" s="2" t="s">
        <v>48</v>
      </c>
      <c r="M803" s="2" t="s">
        <v>76</v>
      </c>
      <c r="N803" s="2" t="s">
        <v>52</v>
      </c>
    </row>
    <row r="804" spans="1:14" x14ac:dyDescent="0.5">
      <c r="A804" s="2" t="s">
        <v>14</v>
      </c>
      <c r="B804" s="3">
        <v>16</v>
      </c>
      <c r="C804" s="4" t="s">
        <v>69</v>
      </c>
      <c r="D804" s="2" t="s">
        <v>73</v>
      </c>
      <c r="E804" s="2" t="s">
        <v>23</v>
      </c>
      <c r="F804" s="5">
        <v>5</v>
      </c>
      <c r="G804" s="1">
        <v>25000000</v>
      </c>
      <c r="H804" s="2">
        <v>2</v>
      </c>
      <c r="I804" s="6">
        <v>3.3333333333333335E-3</v>
      </c>
      <c r="J804" s="2" t="s">
        <v>18</v>
      </c>
      <c r="K804" s="2" t="s">
        <v>19</v>
      </c>
      <c r="L804" s="2" t="s">
        <v>25</v>
      </c>
      <c r="M804" s="2" t="s">
        <v>77</v>
      </c>
      <c r="N804" s="2" t="s">
        <v>65</v>
      </c>
    </row>
    <row r="805" spans="1:14" x14ac:dyDescent="0.5">
      <c r="A805" s="2" t="s">
        <v>14</v>
      </c>
      <c r="B805" s="3">
        <v>13</v>
      </c>
      <c r="C805" s="4" t="s">
        <v>55</v>
      </c>
      <c r="D805" s="2" t="s">
        <v>49</v>
      </c>
      <c r="E805" s="2" t="s">
        <v>42</v>
      </c>
      <c r="F805" s="5">
        <v>2</v>
      </c>
      <c r="G805" s="1">
        <v>12000000</v>
      </c>
      <c r="H805" s="2">
        <v>1</v>
      </c>
      <c r="I805" s="6">
        <v>3.3333333333333335E-3</v>
      </c>
      <c r="J805" s="2" t="s">
        <v>18</v>
      </c>
      <c r="K805" s="2" t="s">
        <v>56</v>
      </c>
      <c r="L805" s="2" t="s">
        <v>30</v>
      </c>
      <c r="M805" s="2" t="s">
        <v>76</v>
      </c>
      <c r="N805" s="2" t="s">
        <v>26</v>
      </c>
    </row>
    <row r="806" spans="1:14" x14ac:dyDescent="0.5">
      <c r="A806" s="2" t="s">
        <v>14</v>
      </c>
      <c r="B806" s="3">
        <v>1</v>
      </c>
      <c r="C806" s="4" t="s">
        <v>59</v>
      </c>
      <c r="D806" s="2" t="s">
        <v>49</v>
      </c>
      <c r="E806" s="2" t="s">
        <v>23</v>
      </c>
      <c r="F806" s="5">
        <v>4</v>
      </c>
      <c r="G806" s="1">
        <v>20000000</v>
      </c>
      <c r="H806" s="2">
        <v>4</v>
      </c>
      <c r="I806" s="6">
        <v>3.3333333333333335E-3</v>
      </c>
      <c r="J806" s="2" t="s">
        <v>61</v>
      </c>
      <c r="K806" s="2" t="s">
        <v>64</v>
      </c>
      <c r="L806" s="2" t="s">
        <v>43</v>
      </c>
      <c r="M806" s="2" t="s">
        <v>78</v>
      </c>
      <c r="N806" s="2" t="s">
        <v>63</v>
      </c>
    </row>
    <row r="807" spans="1:14" x14ac:dyDescent="0.5">
      <c r="A807" s="2" t="s">
        <v>70</v>
      </c>
      <c r="B807" s="3">
        <v>12</v>
      </c>
      <c r="C807" s="4" t="s">
        <v>60</v>
      </c>
      <c r="D807" s="2" t="s">
        <v>16</v>
      </c>
      <c r="E807" s="2" t="s">
        <v>42</v>
      </c>
      <c r="F807" s="5">
        <v>0</v>
      </c>
      <c r="G807" s="1">
        <v>0</v>
      </c>
      <c r="H807" s="2">
        <v>2</v>
      </c>
      <c r="I807" s="6">
        <v>3.3333333333333335E-3</v>
      </c>
      <c r="J807" s="2"/>
      <c r="K807" s="2"/>
      <c r="L807" s="2" t="s">
        <v>20</v>
      </c>
      <c r="M807" s="2" t="s">
        <v>77</v>
      </c>
      <c r="N807" s="2" t="s">
        <v>34</v>
      </c>
    </row>
    <row r="808" spans="1:14" x14ac:dyDescent="0.5">
      <c r="A808" s="2" t="s">
        <v>70</v>
      </c>
      <c r="B808" s="3">
        <v>6</v>
      </c>
      <c r="C808" s="4" t="s">
        <v>27</v>
      </c>
      <c r="D808" s="2" t="s">
        <v>16</v>
      </c>
      <c r="E808" s="2" t="s">
        <v>23</v>
      </c>
      <c r="F808" s="5">
        <v>0</v>
      </c>
      <c r="G808" s="1">
        <v>0</v>
      </c>
      <c r="H808" s="2">
        <v>1</v>
      </c>
      <c r="I808" s="6">
        <v>3.3333333333333335E-3</v>
      </c>
      <c r="J808" s="2"/>
      <c r="K808" s="2"/>
      <c r="L808" s="2" t="s">
        <v>33</v>
      </c>
      <c r="M808" s="2" t="s">
        <v>76</v>
      </c>
      <c r="N808" s="2" t="s">
        <v>71</v>
      </c>
    </row>
    <row r="809" spans="1:14" x14ac:dyDescent="0.5">
      <c r="A809" s="2" t="s">
        <v>70</v>
      </c>
      <c r="B809" s="3">
        <v>17</v>
      </c>
      <c r="C809" s="4" t="s">
        <v>27</v>
      </c>
      <c r="D809" s="2" t="s">
        <v>16</v>
      </c>
      <c r="E809" s="2" t="s">
        <v>42</v>
      </c>
      <c r="F809" s="5">
        <v>0</v>
      </c>
      <c r="G809" s="1">
        <v>0</v>
      </c>
      <c r="H809" s="2">
        <v>4</v>
      </c>
      <c r="I809" s="6">
        <v>3.3333333333333335E-3</v>
      </c>
      <c r="J809" s="2"/>
      <c r="K809" s="2"/>
      <c r="L809" s="2" t="s">
        <v>20</v>
      </c>
      <c r="M809" s="2" t="s">
        <v>78</v>
      </c>
      <c r="N809" s="2" t="s">
        <v>66</v>
      </c>
    </row>
    <row r="810" spans="1:14" x14ac:dyDescent="0.5">
      <c r="A810" s="2" t="s">
        <v>70</v>
      </c>
      <c r="B810" s="3">
        <v>11</v>
      </c>
      <c r="C810" s="4" t="s">
        <v>44</v>
      </c>
      <c r="D810" s="2" t="s">
        <v>49</v>
      </c>
      <c r="E810" s="2" t="s">
        <v>17</v>
      </c>
      <c r="F810" s="5">
        <v>0</v>
      </c>
      <c r="G810" s="1">
        <v>0</v>
      </c>
      <c r="H810" s="2">
        <v>2</v>
      </c>
      <c r="I810" s="6">
        <v>3.3333333333333335E-3</v>
      </c>
      <c r="J810" s="2"/>
      <c r="K810" s="2"/>
      <c r="L810" s="2" t="s">
        <v>48</v>
      </c>
      <c r="M810" s="2" t="s">
        <v>78</v>
      </c>
      <c r="N810" s="2" t="s">
        <v>62</v>
      </c>
    </row>
    <row r="811" spans="1:14" x14ac:dyDescent="0.5">
      <c r="A811" s="2" t="s">
        <v>70</v>
      </c>
      <c r="B811" s="3">
        <v>12</v>
      </c>
      <c r="C811" s="4" t="s">
        <v>60</v>
      </c>
      <c r="D811" s="2" t="s">
        <v>16</v>
      </c>
      <c r="E811" s="2" t="s">
        <v>42</v>
      </c>
      <c r="F811" s="5">
        <v>0</v>
      </c>
      <c r="G811" s="1">
        <v>0</v>
      </c>
      <c r="H811" s="2">
        <v>2</v>
      </c>
      <c r="I811" s="6">
        <v>3.3333333333333335E-3</v>
      </c>
      <c r="J811" s="2"/>
      <c r="K811" s="2"/>
      <c r="L811" s="2" t="s">
        <v>20</v>
      </c>
      <c r="M811" s="2" t="s">
        <v>77</v>
      </c>
      <c r="N811" s="2" t="s">
        <v>34</v>
      </c>
    </row>
    <row r="812" spans="1:14" x14ac:dyDescent="0.5">
      <c r="A812" s="2" t="s">
        <v>14</v>
      </c>
      <c r="B812" s="3">
        <v>18</v>
      </c>
      <c r="C812" s="4" t="s">
        <v>57</v>
      </c>
      <c r="D812" s="2" t="s">
        <v>28</v>
      </c>
      <c r="E812" s="2" t="s">
        <v>42</v>
      </c>
      <c r="F812" s="5">
        <v>5</v>
      </c>
      <c r="G812" s="1">
        <v>20000000</v>
      </c>
      <c r="H812" s="2">
        <v>1</v>
      </c>
      <c r="I812" s="6">
        <v>3.6111111111111114E-3</v>
      </c>
      <c r="J812" s="2" t="s">
        <v>18</v>
      </c>
      <c r="K812" s="2" t="s">
        <v>64</v>
      </c>
      <c r="L812" s="2" t="s">
        <v>51</v>
      </c>
      <c r="M812" s="2" t="s">
        <v>77</v>
      </c>
      <c r="N812" s="2" t="s">
        <v>34</v>
      </c>
    </row>
    <row r="813" spans="1:14" x14ac:dyDescent="0.5">
      <c r="A813" s="2" t="s">
        <v>14</v>
      </c>
      <c r="B813" s="3">
        <v>11</v>
      </c>
      <c r="C813" s="4" t="s">
        <v>37</v>
      </c>
      <c r="D813" s="2" t="s">
        <v>16</v>
      </c>
      <c r="E813" s="2" t="s">
        <v>23</v>
      </c>
      <c r="F813" s="5">
        <v>2</v>
      </c>
      <c r="G813" s="1">
        <v>38000000</v>
      </c>
      <c r="H813" s="2">
        <v>2</v>
      </c>
      <c r="I813" s="6">
        <v>3.6111111111111114E-3</v>
      </c>
      <c r="J813" s="2" t="s">
        <v>46</v>
      </c>
      <c r="K813" s="2" t="s">
        <v>24</v>
      </c>
      <c r="L813" s="2" t="s">
        <v>43</v>
      </c>
      <c r="M813" s="2" t="s">
        <v>66</v>
      </c>
      <c r="N813" s="2" t="s">
        <v>67</v>
      </c>
    </row>
    <row r="814" spans="1:14" x14ac:dyDescent="0.5">
      <c r="A814" s="2" t="s">
        <v>14</v>
      </c>
      <c r="B814" s="3">
        <v>23</v>
      </c>
      <c r="C814" s="4" t="s">
        <v>37</v>
      </c>
      <c r="D814" s="2" t="s">
        <v>16</v>
      </c>
      <c r="E814" s="2" t="s">
        <v>17</v>
      </c>
      <c r="F814" s="5">
        <v>1</v>
      </c>
      <c r="G814" s="1">
        <v>19000000</v>
      </c>
      <c r="H814" s="2">
        <v>2</v>
      </c>
      <c r="I814" s="6">
        <v>3.6111111111111114E-3</v>
      </c>
      <c r="J814" s="2" t="s">
        <v>46</v>
      </c>
      <c r="K814" s="2" t="s">
        <v>56</v>
      </c>
      <c r="L814" s="2" t="s">
        <v>20</v>
      </c>
      <c r="M814" s="2" t="s">
        <v>78</v>
      </c>
      <c r="N814" s="2" t="s">
        <v>41</v>
      </c>
    </row>
    <row r="815" spans="1:14" x14ac:dyDescent="0.5">
      <c r="A815" s="2" t="s">
        <v>14</v>
      </c>
      <c r="B815" s="3">
        <v>28</v>
      </c>
      <c r="C815" s="4" t="s">
        <v>37</v>
      </c>
      <c r="D815" s="2" t="s">
        <v>49</v>
      </c>
      <c r="E815" s="2" t="s">
        <v>42</v>
      </c>
      <c r="F815" s="5">
        <v>1</v>
      </c>
      <c r="G815" s="1">
        <v>7000000</v>
      </c>
      <c r="H815" s="2">
        <v>4</v>
      </c>
      <c r="I815" s="6">
        <v>3.6111111111111114E-3</v>
      </c>
      <c r="J815" s="2" t="s">
        <v>18</v>
      </c>
      <c r="K815" s="2" t="s">
        <v>39</v>
      </c>
      <c r="L815" s="2" t="s">
        <v>43</v>
      </c>
      <c r="M815" s="2" t="s">
        <v>78</v>
      </c>
      <c r="N815" s="2" t="s">
        <v>62</v>
      </c>
    </row>
    <row r="816" spans="1:14" x14ac:dyDescent="0.5">
      <c r="A816" s="2" t="s">
        <v>14</v>
      </c>
      <c r="B816" s="3">
        <v>30</v>
      </c>
      <c r="C816" s="4" t="s">
        <v>37</v>
      </c>
      <c r="D816" s="2" t="s">
        <v>16</v>
      </c>
      <c r="E816" s="2" t="s">
        <v>23</v>
      </c>
      <c r="F816" s="5">
        <v>3</v>
      </c>
      <c r="G816" s="1">
        <v>12000000</v>
      </c>
      <c r="H816" s="2">
        <v>1</v>
      </c>
      <c r="I816" s="6">
        <v>3.6111111111111114E-3</v>
      </c>
      <c r="J816" s="2" t="s">
        <v>18</v>
      </c>
      <c r="K816" s="2" t="s">
        <v>19</v>
      </c>
      <c r="L816" s="2" t="s">
        <v>48</v>
      </c>
      <c r="M816" s="2" t="s">
        <v>78</v>
      </c>
      <c r="N816" s="2" t="s">
        <v>41</v>
      </c>
    </row>
    <row r="817" spans="1:14" x14ac:dyDescent="0.5">
      <c r="A817" s="2" t="s">
        <v>14</v>
      </c>
      <c r="B817" s="3">
        <v>22</v>
      </c>
      <c r="C817" s="4" t="s">
        <v>44</v>
      </c>
      <c r="D817" s="2" t="s">
        <v>32</v>
      </c>
      <c r="E817" s="2" t="s">
        <v>42</v>
      </c>
      <c r="F817" s="5">
        <v>4</v>
      </c>
      <c r="G817" s="1">
        <v>20000000</v>
      </c>
      <c r="H817" s="2">
        <v>2</v>
      </c>
      <c r="I817" s="6">
        <v>3.6111111111111114E-3</v>
      </c>
      <c r="J817" s="2" t="s">
        <v>61</v>
      </c>
      <c r="K817" s="2" t="s">
        <v>19</v>
      </c>
      <c r="L817" s="2" t="s">
        <v>30</v>
      </c>
      <c r="M817" s="2" t="s">
        <v>76</v>
      </c>
      <c r="N817" s="2" t="s">
        <v>31</v>
      </c>
    </row>
    <row r="818" spans="1:14" x14ac:dyDescent="0.5">
      <c r="A818" s="2" t="s">
        <v>14</v>
      </c>
      <c r="B818" s="3">
        <v>1</v>
      </c>
      <c r="C818" s="4" t="s">
        <v>44</v>
      </c>
      <c r="D818" s="2" t="s">
        <v>32</v>
      </c>
      <c r="E818" s="2" t="s">
        <v>17</v>
      </c>
      <c r="F818" s="5">
        <v>5</v>
      </c>
      <c r="G818" s="1">
        <v>25000000</v>
      </c>
      <c r="H818" s="2">
        <v>2</v>
      </c>
      <c r="I818" s="6">
        <v>3.6111111111111114E-3</v>
      </c>
      <c r="J818" s="2" t="s">
        <v>18</v>
      </c>
      <c r="K818" s="2" t="s">
        <v>29</v>
      </c>
      <c r="L818" s="2" t="s">
        <v>40</v>
      </c>
      <c r="M818" s="2" t="s">
        <v>77</v>
      </c>
      <c r="N818" s="2" t="s">
        <v>65</v>
      </c>
    </row>
    <row r="819" spans="1:14" x14ac:dyDescent="0.5">
      <c r="A819" s="2" t="s">
        <v>14</v>
      </c>
      <c r="B819" s="3">
        <v>24</v>
      </c>
      <c r="C819" s="4" t="s">
        <v>69</v>
      </c>
      <c r="D819" s="2" t="s">
        <v>73</v>
      </c>
      <c r="E819" s="2" t="s">
        <v>23</v>
      </c>
      <c r="F819" s="5">
        <v>3</v>
      </c>
      <c r="G819" s="1">
        <v>11000000</v>
      </c>
      <c r="H819" s="2">
        <v>4</v>
      </c>
      <c r="I819" s="6">
        <v>3.6111111111111114E-3</v>
      </c>
      <c r="J819" s="2" t="s">
        <v>18</v>
      </c>
      <c r="K819" s="2" t="s">
        <v>56</v>
      </c>
      <c r="L819" s="2" t="s">
        <v>33</v>
      </c>
      <c r="M819" s="2" t="s">
        <v>78</v>
      </c>
      <c r="N819" s="2" t="s">
        <v>53</v>
      </c>
    </row>
    <row r="820" spans="1:14" x14ac:dyDescent="0.5">
      <c r="A820" s="2" t="s">
        <v>14</v>
      </c>
      <c r="B820" s="3">
        <v>18</v>
      </c>
      <c r="C820" s="4" t="s">
        <v>57</v>
      </c>
      <c r="D820" s="2" t="s">
        <v>28</v>
      </c>
      <c r="E820" s="2" t="s">
        <v>42</v>
      </c>
      <c r="F820" s="5">
        <v>5</v>
      </c>
      <c r="G820" s="1">
        <v>20000000</v>
      </c>
      <c r="H820" s="2">
        <v>1</v>
      </c>
      <c r="I820" s="6">
        <v>3.6111111111111114E-3</v>
      </c>
      <c r="J820" s="2" t="s">
        <v>18</v>
      </c>
      <c r="K820" s="2" t="s">
        <v>64</v>
      </c>
      <c r="L820" s="2" t="s">
        <v>51</v>
      </c>
      <c r="M820" s="2" t="s">
        <v>77</v>
      </c>
      <c r="N820" s="2" t="s">
        <v>34</v>
      </c>
    </row>
    <row r="821" spans="1:14" x14ac:dyDescent="0.5">
      <c r="A821" s="2" t="s">
        <v>70</v>
      </c>
      <c r="B821" s="3">
        <v>3</v>
      </c>
      <c r="C821" s="4" t="s">
        <v>55</v>
      </c>
      <c r="D821" s="2" t="s">
        <v>32</v>
      </c>
      <c r="E821" s="2" t="s">
        <v>23</v>
      </c>
      <c r="F821" s="5">
        <v>0</v>
      </c>
      <c r="G821" s="1">
        <v>0</v>
      </c>
      <c r="H821" s="2">
        <v>1</v>
      </c>
      <c r="I821" s="6">
        <v>3.6111111111111114E-3</v>
      </c>
      <c r="J821" s="2"/>
      <c r="K821" s="2"/>
      <c r="L821" s="2" t="s">
        <v>25</v>
      </c>
      <c r="M821" s="2" t="s">
        <v>78</v>
      </c>
      <c r="N821" s="2" t="s">
        <v>53</v>
      </c>
    </row>
    <row r="822" spans="1:14" x14ac:dyDescent="0.5">
      <c r="A822" s="2" t="s">
        <v>70</v>
      </c>
      <c r="B822" s="3">
        <v>22</v>
      </c>
      <c r="C822" s="4" t="s">
        <v>27</v>
      </c>
      <c r="D822" s="2" t="s">
        <v>38</v>
      </c>
      <c r="E822" s="2" t="s">
        <v>68</v>
      </c>
      <c r="F822" s="5">
        <v>0</v>
      </c>
      <c r="G822" s="1">
        <v>0</v>
      </c>
      <c r="H822" s="2">
        <v>6</v>
      </c>
      <c r="I822" s="6">
        <v>3.6111111111111114E-3</v>
      </c>
      <c r="J822" s="2"/>
      <c r="K822" s="2"/>
      <c r="L822" s="2" t="s">
        <v>30</v>
      </c>
      <c r="M822" s="2" t="s">
        <v>78</v>
      </c>
      <c r="N822" s="2" t="s">
        <v>53</v>
      </c>
    </row>
    <row r="823" spans="1:14" x14ac:dyDescent="0.5">
      <c r="A823" s="2" t="s">
        <v>70</v>
      </c>
      <c r="B823" s="3">
        <v>5</v>
      </c>
      <c r="C823" s="4" t="s">
        <v>37</v>
      </c>
      <c r="D823" s="2" t="s">
        <v>38</v>
      </c>
      <c r="E823" s="2" t="s">
        <v>23</v>
      </c>
      <c r="F823" s="5">
        <v>0</v>
      </c>
      <c r="G823" s="1">
        <v>0</v>
      </c>
      <c r="H823" s="2">
        <v>3</v>
      </c>
      <c r="I823" s="6">
        <v>3.6111111111111114E-3</v>
      </c>
      <c r="J823" s="2"/>
      <c r="K823" s="2"/>
      <c r="L823" s="2" t="s">
        <v>30</v>
      </c>
      <c r="M823" s="2" t="s">
        <v>76</v>
      </c>
      <c r="N823" s="2" t="s">
        <v>75</v>
      </c>
    </row>
    <row r="824" spans="1:14" x14ac:dyDescent="0.5">
      <c r="A824" s="2" t="s">
        <v>70</v>
      </c>
      <c r="B824" s="3">
        <v>20</v>
      </c>
      <c r="C824" s="4" t="s">
        <v>44</v>
      </c>
      <c r="D824" s="2" t="s">
        <v>32</v>
      </c>
      <c r="E824" s="2" t="s">
        <v>45</v>
      </c>
      <c r="F824" s="5">
        <v>0</v>
      </c>
      <c r="G824" s="1">
        <v>0</v>
      </c>
      <c r="H824" s="2">
        <v>3</v>
      </c>
      <c r="I824" s="6">
        <v>3.6111111111111114E-3</v>
      </c>
      <c r="J824" s="2"/>
      <c r="K824" s="2"/>
      <c r="L824" s="2" t="s">
        <v>20</v>
      </c>
      <c r="M824" s="2" t="s">
        <v>76</v>
      </c>
      <c r="N824" s="2" t="s">
        <v>52</v>
      </c>
    </row>
    <row r="825" spans="1:14" x14ac:dyDescent="0.5">
      <c r="A825" s="2" t="s">
        <v>70</v>
      </c>
      <c r="B825" s="3">
        <v>29</v>
      </c>
      <c r="C825" s="4" t="s">
        <v>44</v>
      </c>
      <c r="D825" s="2" t="s">
        <v>32</v>
      </c>
      <c r="E825" s="2" t="s">
        <v>23</v>
      </c>
      <c r="F825" s="5">
        <v>0</v>
      </c>
      <c r="G825" s="1">
        <v>0</v>
      </c>
      <c r="H825" s="2">
        <v>2</v>
      </c>
      <c r="I825" s="6">
        <v>3.6111111111111114E-3</v>
      </c>
      <c r="J825" s="2"/>
      <c r="K825" s="2"/>
      <c r="L825" s="2" t="s">
        <v>48</v>
      </c>
      <c r="M825" s="2" t="s">
        <v>66</v>
      </c>
      <c r="N825" s="2" t="s">
        <v>67</v>
      </c>
    </row>
    <row r="826" spans="1:14" x14ac:dyDescent="0.5">
      <c r="A826" s="2" t="s">
        <v>70</v>
      </c>
      <c r="B826" s="3">
        <v>3</v>
      </c>
      <c r="C826" s="4" t="s">
        <v>55</v>
      </c>
      <c r="D826" s="2" t="s">
        <v>32</v>
      </c>
      <c r="E826" s="2" t="s">
        <v>23</v>
      </c>
      <c r="F826" s="5">
        <v>0</v>
      </c>
      <c r="G826" s="1">
        <v>0</v>
      </c>
      <c r="H826" s="2">
        <v>1</v>
      </c>
      <c r="I826" s="6">
        <v>3.6111111111111114E-3</v>
      </c>
      <c r="J826" s="2"/>
      <c r="K826" s="2"/>
      <c r="L826" s="2" t="s">
        <v>25</v>
      </c>
      <c r="M826" s="2" t="s">
        <v>78</v>
      </c>
      <c r="N826" s="2" t="s">
        <v>53</v>
      </c>
    </row>
    <row r="827" spans="1:14" x14ac:dyDescent="0.5">
      <c r="A827" s="2" t="s">
        <v>14</v>
      </c>
      <c r="B827" s="3">
        <v>1</v>
      </c>
      <c r="C827" s="4" t="s">
        <v>59</v>
      </c>
      <c r="D827" s="2" t="s">
        <v>73</v>
      </c>
      <c r="E827" s="2" t="s">
        <v>42</v>
      </c>
      <c r="F827" s="5">
        <v>2</v>
      </c>
      <c r="G827" s="1">
        <v>12000000</v>
      </c>
      <c r="H827" s="2">
        <v>3</v>
      </c>
      <c r="I827" s="6">
        <v>3.6342592592592594E-3</v>
      </c>
      <c r="J827" s="2" t="s">
        <v>18</v>
      </c>
      <c r="K827" s="2" t="s">
        <v>19</v>
      </c>
      <c r="L827" s="2" t="s">
        <v>33</v>
      </c>
      <c r="M827" s="2" t="s">
        <v>76</v>
      </c>
      <c r="N827" s="2" t="s">
        <v>26</v>
      </c>
    </row>
    <row r="828" spans="1:14" x14ac:dyDescent="0.5">
      <c r="A828" s="2" t="s">
        <v>14</v>
      </c>
      <c r="B828" s="3">
        <v>17</v>
      </c>
      <c r="C828" s="4" t="s">
        <v>22</v>
      </c>
      <c r="D828" s="2" t="s">
        <v>73</v>
      </c>
      <c r="E828" s="2" t="s">
        <v>42</v>
      </c>
      <c r="F828" s="5">
        <v>2</v>
      </c>
      <c r="G828" s="1">
        <v>12000000</v>
      </c>
      <c r="H828" s="2">
        <v>4</v>
      </c>
      <c r="I828" s="6">
        <v>3.6342592592592594E-3</v>
      </c>
      <c r="J828" s="2" t="s">
        <v>18</v>
      </c>
      <c r="K828" s="2" t="s">
        <v>29</v>
      </c>
      <c r="L828" s="2" t="s">
        <v>43</v>
      </c>
      <c r="M828" s="2" t="s">
        <v>77</v>
      </c>
      <c r="N828" s="2" t="s">
        <v>54</v>
      </c>
    </row>
    <row r="829" spans="1:14" x14ac:dyDescent="0.5">
      <c r="A829" s="2" t="s">
        <v>14</v>
      </c>
      <c r="B829" s="3">
        <v>9</v>
      </c>
      <c r="C829" s="4" t="s">
        <v>27</v>
      </c>
      <c r="D829" s="2" t="s">
        <v>38</v>
      </c>
      <c r="E829" s="2" t="s">
        <v>42</v>
      </c>
      <c r="F829" s="5">
        <v>5</v>
      </c>
      <c r="G829" s="1">
        <v>25000000</v>
      </c>
      <c r="H829" s="2">
        <v>2</v>
      </c>
      <c r="I829" s="6">
        <v>3.6342592592592594E-3</v>
      </c>
      <c r="J829" s="2" t="s">
        <v>18</v>
      </c>
      <c r="K829" s="2" t="s">
        <v>35</v>
      </c>
      <c r="L829" s="2" t="s">
        <v>33</v>
      </c>
      <c r="M829" s="2" t="s">
        <v>78</v>
      </c>
      <c r="N829" s="2" t="s">
        <v>63</v>
      </c>
    </row>
    <row r="830" spans="1:14" x14ac:dyDescent="0.5">
      <c r="A830" s="2" t="s">
        <v>14</v>
      </c>
      <c r="B830" s="3">
        <v>29</v>
      </c>
      <c r="C830" s="4" t="s">
        <v>27</v>
      </c>
      <c r="D830" s="2" t="s">
        <v>16</v>
      </c>
      <c r="E830" s="2" t="s">
        <v>45</v>
      </c>
      <c r="F830" s="5">
        <v>1</v>
      </c>
      <c r="G830" s="1">
        <v>7000000</v>
      </c>
      <c r="H830" s="2">
        <v>4</v>
      </c>
      <c r="I830" s="6">
        <v>3.6342592592592594E-3</v>
      </c>
      <c r="J830" s="2" t="s">
        <v>18</v>
      </c>
      <c r="K830" s="2" t="s">
        <v>29</v>
      </c>
      <c r="L830" s="2" t="s">
        <v>48</v>
      </c>
      <c r="M830" s="2" t="s">
        <v>77</v>
      </c>
      <c r="N830" s="2" t="s">
        <v>34</v>
      </c>
    </row>
    <row r="831" spans="1:14" x14ac:dyDescent="0.5">
      <c r="A831" s="2" t="s">
        <v>14</v>
      </c>
      <c r="B831" s="3">
        <v>11</v>
      </c>
      <c r="C831" s="4" t="s">
        <v>37</v>
      </c>
      <c r="D831" s="2" t="s">
        <v>32</v>
      </c>
      <c r="E831" s="2" t="s">
        <v>42</v>
      </c>
      <c r="F831" s="5">
        <v>2</v>
      </c>
      <c r="G831" s="1">
        <v>38000000</v>
      </c>
      <c r="H831" s="2">
        <v>3</v>
      </c>
      <c r="I831" s="6">
        <v>3.6342592592592594E-3</v>
      </c>
      <c r="J831" s="2" t="s">
        <v>46</v>
      </c>
      <c r="K831" s="2" t="s">
        <v>39</v>
      </c>
      <c r="L831" s="2" t="s">
        <v>43</v>
      </c>
      <c r="M831" s="2" t="s">
        <v>78</v>
      </c>
      <c r="N831" s="2" t="s">
        <v>41</v>
      </c>
    </row>
    <row r="832" spans="1:14" x14ac:dyDescent="0.5">
      <c r="A832" s="2" t="s">
        <v>14</v>
      </c>
      <c r="B832" s="3">
        <v>17</v>
      </c>
      <c r="C832" s="4" t="s">
        <v>37</v>
      </c>
      <c r="D832" s="2" t="s">
        <v>28</v>
      </c>
      <c r="E832" s="2" t="s">
        <v>17</v>
      </c>
      <c r="F832" s="5">
        <v>1</v>
      </c>
      <c r="G832" s="1">
        <v>19000000</v>
      </c>
      <c r="H832" s="2">
        <v>2</v>
      </c>
      <c r="I832" s="6">
        <v>3.6342592592592594E-3</v>
      </c>
      <c r="J832" s="2" t="s">
        <v>46</v>
      </c>
      <c r="K832" s="2" t="s">
        <v>24</v>
      </c>
      <c r="L832" s="2" t="s">
        <v>25</v>
      </c>
      <c r="M832" s="2" t="s">
        <v>76</v>
      </c>
      <c r="N832" s="2" t="s">
        <v>26</v>
      </c>
    </row>
    <row r="833" spans="1:14" x14ac:dyDescent="0.5">
      <c r="A833" s="2" t="s">
        <v>14</v>
      </c>
      <c r="B833" s="3">
        <v>4</v>
      </c>
      <c r="C833" s="4" t="s">
        <v>37</v>
      </c>
      <c r="D833" s="2" t="s">
        <v>16</v>
      </c>
      <c r="E833" s="2" t="s">
        <v>42</v>
      </c>
      <c r="F833" s="5">
        <v>4</v>
      </c>
      <c r="G833" s="1">
        <v>15000000</v>
      </c>
      <c r="H833" s="2">
        <v>5</v>
      </c>
      <c r="I833" s="6">
        <v>3.6342592592592594E-3</v>
      </c>
      <c r="J833" s="2" t="s">
        <v>18</v>
      </c>
      <c r="K833" s="2" t="s">
        <v>29</v>
      </c>
      <c r="L833" s="2" t="s">
        <v>40</v>
      </c>
      <c r="M833" s="2" t="s">
        <v>78</v>
      </c>
      <c r="N833" s="2" t="s">
        <v>66</v>
      </c>
    </row>
    <row r="834" spans="1:14" x14ac:dyDescent="0.5">
      <c r="A834" s="2" t="s">
        <v>14</v>
      </c>
      <c r="B834" s="3">
        <v>1</v>
      </c>
      <c r="C834" s="4" t="s">
        <v>37</v>
      </c>
      <c r="D834" s="2" t="s">
        <v>38</v>
      </c>
      <c r="E834" s="2" t="s">
        <v>17</v>
      </c>
      <c r="F834" s="5">
        <v>3</v>
      </c>
      <c r="G834" s="1">
        <v>15000000</v>
      </c>
      <c r="H834" s="2">
        <v>5</v>
      </c>
      <c r="I834" s="6">
        <v>3.6342592592592594E-3</v>
      </c>
      <c r="J834" s="2" t="s">
        <v>18</v>
      </c>
      <c r="K834" s="2" t="s">
        <v>29</v>
      </c>
      <c r="L834" s="2" t="s">
        <v>20</v>
      </c>
      <c r="M834" s="2" t="s">
        <v>78</v>
      </c>
      <c r="N834" s="2" t="s">
        <v>53</v>
      </c>
    </row>
    <row r="835" spans="1:14" x14ac:dyDescent="0.5">
      <c r="A835" s="2" t="s">
        <v>14</v>
      </c>
      <c r="B835" s="3">
        <v>11</v>
      </c>
      <c r="C835" s="4" t="s">
        <v>44</v>
      </c>
      <c r="D835" s="2" t="s">
        <v>16</v>
      </c>
      <c r="E835" s="2" t="s">
        <v>42</v>
      </c>
      <c r="F835" s="5">
        <v>3</v>
      </c>
      <c r="G835" s="1">
        <v>11000000</v>
      </c>
      <c r="H835" s="2">
        <v>1</v>
      </c>
      <c r="I835" s="6">
        <v>3.6342592592592594E-3</v>
      </c>
      <c r="J835" s="2" t="s">
        <v>18</v>
      </c>
      <c r="K835" s="2" t="s">
        <v>19</v>
      </c>
      <c r="L835" s="2" t="s">
        <v>33</v>
      </c>
      <c r="M835" s="2" t="s">
        <v>76</v>
      </c>
      <c r="N835" s="2" t="s">
        <v>26</v>
      </c>
    </row>
    <row r="836" spans="1:14" x14ac:dyDescent="0.5">
      <c r="A836" s="2" t="s">
        <v>14</v>
      </c>
      <c r="B836" s="3">
        <v>4</v>
      </c>
      <c r="C836" s="4" t="s">
        <v>44</v>
      </c>
      <c r="D836" s="2" t="s">
        <v>16</v>
      </c>
      <c r="E836" s="2" t="s">
        <v>23</v>
      </c>
      <c r="F836" s="5">
        <v>2</v>
      </c>
      <c r="G836" s="1">
        <v>12000000</v>
      </c>
      <c r="H836" s="2">
        <v>1</v>
      </c>
      <c r="I836" s="6">
        <v>3.6342592592592594E-3</v>
      </c>
      <c r="J836" s="2" t="s">
        <v>18</v>
      </c>
      <c r="K836" s="2" t="s">
        <v>24</v>
      </c>
      <c r="L836" s="2" t="s">
        <v>43</v>
      </c>
      <c r="M836" s="2" t="s">
        <v>66</v>
      </c>
      <c r="N836" s="2" t="s">
        <v>36</v>
      </c>
    </row>
    <row r="837" spans="1:14" x14ac:dyDescent="0.5">
      <c r="A837" s="2" t="s">
        <v>14</v>
      </c>
      <c r="B837" s="3">
        <v>1</v>
      </c>
      <c r="C837" s="4" t="s">
        <v>59</v>
      </c>
      <c r="D837" s="2" t="s">
        <v>73</v>
      </c>
      <c r="E837" s="2" t="s">
        <v>42</v>
      </c>
      <c r="F837" s="5">
        <v>2</v>
      </c>
      <c r="G837" s="1">
        <v>12000000</v>
      </c>
      <c r="H837" s="2">
        <v>3</v>
      </c>
      <c r="I837" s="6">
        <v>3.6342592592592594E-3</v>
      </c>
      <c r="J837" s="2" t="s">
        <v>18</v>
      </c>
      <c r="K837" s="2" t="s">
        <v>19</v>
      </c>
      <c r="L837" s="2" t="s">
        <v>33</v>
      </c>
      <c r="M837" s="2" t="s">
        <v>76</v>
      </c>
      <c r="N837" s="2" t="s">
        <v>26</v>
      </c>
    </row>
    <row r="838" spans="1:14" x14ac:dyDescent="0.5">
      <c r="A838" s="2" t="s">
        <v>14</v>
      </c>
      <c r="B838" s="3">
        <v>17</v>
      </c>
      <c r="C838" s="4" t="s">
        <v>22</v>
      </c>
      <c r="D838" s="2" t="s">
        <v>73</v>
      </c>
      <c r="E838" s="2" t="s">
        <v>42</v>
      </c>
      <c r="F838" s="5">
        <v>2</v>
      </c>
      <c r="G838" s="1">
        <v>12000000</v>
      </c>
      <c r="H838" s="2">
        <v>4</v>
      </c>
      <c r="I838" s="6">
        <v>3.6342592592592594E-3</v>
      </c>
      <c r="J838" s="2" t="s">
        <v>18</v>
      </c>
      <c r="K838" s="2" t="s">
        <v>29</v>
      </c>
      <c r="L838" s="2" t="s">
        <v>43</v>
      </c>
      <c r="M838" s="2" t="s">
        <v>77</v>
      </c>
      <c r="N838" s="2" t="s">
        <v>54</v>
      </c>
    </row>
    <row r="839" spans="1:14" x14ac:dyDescent="0.5">
      <c r="A839" s="2" t="s">
        <v>70</v>
      </c>
      <c r="B839" s="3">
        <v>11</v>
      </c>
      <c r="C839" s="4" t="s">
        <v>22</v>
      </c>
      <c r="D839" s="2" t="s">
        <v>16</v>
      </c>
      <c r="E839" s="2" t="s">
        <v>17</v>
      </c>
      <c r="F839" s="5">
        <v>0</v>
      </c>
      <c r="G839" s="1">
        <v>0</v>
      </c>
      <c r="H839" s="2">
        <v>1</v>
      </c>
      <c r="I839" s="6">
        <v>3.6342592592592594E-3</v>
      </c>
      <c r="J839" s="2"/>
      <c r="K839" s="2"/>
      <c r="L839" s="2" t="s">
        <v>20</v>
      </c>
      <c r="M839" s="2" t="s">
        <v>76</v>
      </c>
      <c r="N839" s="2" t="s">
        <v>71</v>
      </c>
    </row>
    <row r="840" spans="1:14" x14ac:dyDescent="0.5">
      <c r="A840" s="2" t="s">
        <v>70</v>
      </c>
      <c r="B840" s="3">
        <v>12</v>
      </c>
      <c r="C840" s="4" t="s">
        <v>22</v>
      </c>
      <c r="D840" s="2" t="s">
        <v>49</v>
      </c>
      <c r="E840" s="2" t="s">
        <v>42</v>
      </c>
      <c r="F840" s="5">
        <v>0</v>
      </c>
      <c r="G840" s="1">
        <v>0</v>
      </c>
      <c r="H840" s="2">
        <v>1</v>
      </c>
      <c r="I840" s="6">
        <v>3.6342592592592594E-3</v>
      </c>
      <c r="J840" s="2"/>
      <c r="K840" s="2"/>
      <c r="L840" s="2" t="s">
        <v>30</v>
      </c>
      <c r="M840" s="2" t="s">
        <v>76</v>
      </c>
      <c r="N840" s="2" t="s">
        <v>26</v>
      </c>
    </row>
    <row r="841" spans="1:14" x14ac:dyDescent="0.5">
      <c r="A841" s="2" t="s">
        <v>70</v>
      </c>
      <c r="B841" s="3">
        <v>25</v>
      </c>
      <c r="C841" s="4" t="s">
        <v>37</v>
      </c>
      <c r="D841" s="2" t="s">
        <v>49</v>
      </c>
      <c r="E841" s="2" t="s">
        <v>23</v>
      </c>
      <c r="F841" s="5">
        <v>0</v>
      </c>
      <c r="G841" s="1">
        <v>0</v>
      </c>
      <c r="H841" s="2">
        <v>1</v>
      </c>
      <c r="I841" s="6">
        <v>3.6342592592592594E-3</v>
      </c>
      <c r="J841" s="2"/>
      <c r="K841" s="2"/>
      <c r="L841" s="2" t="s">
        <v>51</v>
      </c>
      <c r="M841" s="2" t="s">
        <v>78</v>
      </c>
      <c r="N841" s="2" t="s">
        <v>41</v>
      </c>
    </row>
    <row r="842" spans="1:14" x14ac:dyDescent="0.5">
      <c r="A842" s="2" t="s">
        <v>14</v>
      </c>
      <c r="B842" s="3">
        <v>8</v>
      </c>
      <c r="C842" s="4" t="s">
        <v>55</v>
      </c>
      <c r="D842" s="2" t="s">
        <v>32</v>
      </c>
      <c r="E842" s="2" t="s">
        <v>17</v>
      </c>
      <c r="F842" s="5">
        <v>3</v>
      </c>
      <c r="G842" s="1">
        <v>15000000</v>
      </c>
      <c r="H842" s="2">
        <v>5</v>
      </c>
      <c r="I842" s="6">
        <v>3.645833333333333E-3</v>
      </c>
      <c r="J842" s="2" t="s">
        <v>18</v>
      </c>
      <c r="K842" s="2" t="s">
        <v>56</v>
      </c>
      <c r="L842" s="2" t="s">
        <v>25</v>
      </c>
      <c r="M842" s="2" t="s">
        <v>78</v>
      </c>
      <c r="N842" s="2" t="s">
        <v>53</v>
      </c>
    </row>
    <row r="843" spans="1:14" x14ac:dyDescent="0.5">
      <c r="A843" s="2" t="s">
        <v>14</v>
      </c>
      <c r="B843" s="3">
        <v>12</v>
      </c>
      <c r="C843" s="4" t="s">
        <v>60</v>
      </c>
      <c r="D843" s="2" t="s">
        <v>32</v>
      </c>
      <c r="E843" s="2" t="s">
        <v>17</v>
      </c>
      <c r="F843" s="5">
        <v>5</v>
      </c>
      <c r="G843" s="1">
        <v>25000000</v>
      </c>
      <c r="H843" s="2">
        <v>1</v>
      </c>
      <c r="I843" s="6">
        <v>3.645833333333333E-3</v>
      </c>
      <c r="J843" s="2" t="s">
        <v>18</v>
      </c>
      <c r="K843" s="2" t="s">
        <v>64</v>
      </c>
      <c r="L843" s="2" t="s">
        <v>43</v>
      </c>
      <c r="M843" s="2" t="s">
        <v>76</v>
      </c>
      <c r="N843" s="2" t="s">
        <v>52</v>
      </c>
    </row>
    <row r="844" spans="1:14" x14ac:dyDescent="0.5">
      <c r="A844" s="2" t="s">
        <v>14</v>
      </c>
      <c r="B844" s="3">
        <v>30</v>
      </c>
      <c r="C844" s="4" t="s">
        <v>27</v>
      </c>
      <c r="D844" s="2" t="s">
        <v>32</v>
      </c>
      <c r="E844" s="2" t="s">
        <v>42</v>
      </c>
      <c r="F844" s="5">
        <v>4</v>
      </c>
      <c r="G844" s="1">
        <v>20000000</v>
      </c>
      <c r="H844" s="2">
        <v>3</v>
      </c>
      <c r="I844" s="6">
        <v>3.645833333333333E-3</v>
      </c>
      <c r="J844" s="2" t="s">
        <v>18</v>
      </c>
      <c r="K844" s="2" t="s">
        <v>19</v>
      </c>
      <c r="L844" s="2" t="s">
        <v>40</v>
      </c>
      <c r="M844" s="2" t="s">
        <v>77</v>
      </c>
      <c r="N844" s="2" t="s">
        <v>34</v>
      </c>
    </row>
    <row r="845" spans="1:14" x14ac:dyDescent="0.5">
      <c r="A845" s="2" t="s">
        <v>14</v>
      </c>
      <c r="B845" s="3">
        <v>18</v>
      </c>
      <c r="C845" s="4" t="s">
        <v>44</v>
      </c>
      <c r="D845" s="2" t="s">
        <v>49</v>
      </c>
      <c r="E845" s="2" t="s">
        <v>17</v>
      </c>
      <c r="F845" s="5">
        <v>4</v>
      </c>
      <c r="G845" s="1">
        <v>11000000</v>
      </c>
      <c r="H845" s="2">
        <v>1</v>
      </c>
      <c r="I845" s="6">
        <v>3.645833333333333E-3</v>
      </c>
      <c r="J845" s="2" t="s">
        <v>61</v>
      </c>
      <c r="K845" s="2" t="s">
        <v>39</v>
      </c>
      <c r="L845" s="2" t="s">
        <v>48</v>
      </c>
      <c r="M845" s="2" t="s">
        <v>76</v>
      </c>
      <c r="N845" s="2" t="s">
        <v>52</v>
      </c>
    </row>
    <row r="846" spans="1:14" x14ac:dyDescent="0.5">
      <c r="A846" s="2" t="s">
        <v>14</v>
      </c>
      <c r="B846" s="3">
        <v>3</v>
      </c>
      <c r="C846" s="4" t="s">
        <v>44</v>
      </c>
      <c r="D846" s="2" t="s">
        <v>28</v>
      </c>
      <c r="E846" s="2" t="s">
        <v>42</v>
      </c>
      <c r="F846" s="5">
        <v>2</v>
      </c>
      <c r="G846" s="1">
        <v>12000000</v>
      </c>
      <c r="H846" s="2">
        <v>4</v>
      </c>
      <c r="I846" s="6">
        <v>3.645833333333333E-3</v>
      </c>
      <c r="J846" s="2" t="s">
        <v>18</v>
      </c>
      <c r="K846" s="2" t="s">
        <v>35</v>
      </c>
      <c r="L846" s="2" t="s">
        <v>40</v>
      </c>
      <c r="M846" s="2" t="s">
        <v>78</v>
      </c>
      <c r="N846" s="2" t="s">
        <v>62</v>
      </c>
    </row>
    <row r="847" spans="1:14" x14ac:dyDescent="0.5">
      <c r="A847" s="2" t="s">
        <v>14</v>
      </c>
      <c r="B847" s="3">
        <v>7</v>
      </c>
      <c r="C847" s="4" t="s">
        <v>44</v>
      </c>
      <c r="D847" s="2" t="s">
        <v>28</v>
      </c>
      <c r="E847" s="2" t="s">
        <v>42</v>
      </c>
      <c r="F847" s="5">
        <v>3</v>
      </c>
      <c r="G847" s="1">
        <v>15000000</v>
      </c>
      <c r="H847" s="2">
        <v>5</v>
      </c>
      <c r="I847" s="6">
        <v>3.645833333333333E-3</v>
      </c>
      <c r="J847" s="2" t="s">
        <v>18</v>
      </c>
      <c r="K847" s="2" t="s">
        <v>56</v>
      </c>
      <c r="L847" s="2" t="s">
        <v>33</v>
      </c>
      <c r="M847" s="2" t="s">
        <v>76</v>
      </c>
      <c r="N847" s="2" t="s">
        <v>31</v>
      </c>
    </row>
    <row r="848" spans="1:14" x14ac:dyDescent="0.5">
      <c r="A848" s="2" t="s">
        <v>14</v>
      </c>
      <c r="B848" s="3">
        <v>19</v>
      </c>
      <c r="C848" s="4" t="s">
        <v>44</v>
      </c>
      <c r="D848" s="2" t="s">
        <v>49</v>
      </c>
      <c r="E848" s="2" t="s">
        <v>23</v>
      </c>
      <c r="F848" s="5">
        <v>3</v>
      </c>
      <c r="G848" s="1">
        <v>15000000</v>
      </c>
      <c r="H848" s="2">
        <v>3</v>
      </c>
      <c r="I848" s="6">
        <v>3.645833333333333E-3</v>
      </c>
      <c r="J848" s="2" t="s">
        <v>18</v>
      </c>
      <c r="K848" s="2" t="s">
        <v>29</v>
      </c>
      <c r="L848" s="2" t="s">
        <v>30</v>
      </c>
      <c r="M848" s="2" t="s">
        <v>78</v>
      </c>
      <c r="N848" s="2" t="s">
        <v>41</v>
      </c>
    </row>
    <row r="849" spans="1:14" x14ac:dyDescent="0.5">
      <c r="A849" s="2" t="s">
        <v>14</v>
      </c>
      <c r="B849" s="3">
        <v>13</v>
      </c>
      <c r="C849" s="4" t="s">
        <v>69</v>
      </c>
      <c r="D849" s="2" t="s">
        <v>16</v>
      </c>
      <c r="E849" s="2" t="s">
        <v>45</v>
      </c>
      <c r="F849" s="5">
        <v>2</v>
      </c>
      <c r="G849" s="1">
        <v>38000000</v>
      </c>
      <c r="H849" s="2">
        <v>2</v>
      </c>
      <c r="I849" s="6">
        <v>3.645833333333333E-3</v>
      </c>
      <c r="J849" s="2" t="s">
        <v>46</v>
      </c>
      <c r="K849" s="2" t="s">
        <v>39</v>
      </c>
      <c r="L849" s="2" t="s">
        <v>20</v>
      </c>
      <c r="M849" s="2" t="s">
        <v>66</v>
      </c>
      <c r="N849" s="2" t="s">
        <v>67</v>
      </c>
    </row>
    <row r="850" spans="1:14" x14ac:dyDescent="0.5">
      <c r="A850" s="2" t="s">
        <v>14</v>
      </c>
      <c r="B850" s="3">
        <v>14</v>
      </c>
      <c r="C850" s="4" t="s">
        <v>69</v>
      </c>
      <c r="D850" s="2" t="s">
        <v>28</v>
      </c>
      <c r="E850" s="2" t="s">
        <v>17</v>
      </c>
      <c r="F850" s="5">
        <v>2</v>
      </c>
      <c r="G850" s="1">
        <v>12000000</v>
      </c>
      <c r="H850" s="2">
        <v>2</v>
      </c>
      <c r="I850" s="6">
        <v>3.645833333333333E-3</v>
      </c>
      <c r="J850" s="2" t="s">
        <v>18</v>
      </c>
      <c r="K850" s="2" t="s">
        <v>24</v>
      </c>
      <c r="L850" s="2" t="s">
        <v>43</v>
      </c>
      <c r="M850" s="2" t="s">
        <v>76</v>
      </c>
      <c r="N850" s="2" t="s">
        <v>31</v>
      </c>
    </row>
    <row r="851" spans="1:14" x14ac:dyDescent="0.5">
      <c r="A851" s="2" t="s">
        <v>14</v>
      </c>
      <c r="B851" s="3">
        <v>8</v>
      </c>
      <c r="C851" s="4" t="s">
        <v>55</v>
      </c>
      <c r="D851" s="2" t="s">
        <v>32</v>
      </c>
      <c r="E851" s="2" t="s">
        <v>17</v>
      </c>
      <c r="F851" s="5">
        <v>3</v>
      </c>
      <c r="G851" s="1">
        <v>15000000</v>
      </c>
      <c r="H851" s="2">
        <v>5</v>
      </c>
      <c r="I851" s="6">
        <v>3.645833333333333E-3</v>
      </c>
      <c r="J851" s="2" t="s">
        <v>18</v>
      </c>
      <c r="K851" s="2" t="s">
        <v>56</v>
      </c>
      <c r="L851" s="2" t="s">
        <v>25</v>
      </c>
      <c r="M851" s="2" t="s">
        <v>78</v>
      </c>
      <c r="N851" s="2" t="s">
        <v>53</v>
      </c>
    </row>
    <row r="852" spans="1:14" x14ac:dyDescent="0.5">
      <c r="A852" s="2" t="s">
        <v>14</v>
      </c>
      <c r="B852" s="3">
        <v>12</v>
      </c>
      <c r="C852" s="4" t="s">
        <v>60</v>
      </c>
      <c r="D852" s="2" t="s">
        <v>32</v>
      </c>
      <c r="E852" s="2" t="s">
        <v>17</v>
      </c>
      <c r="F852" s="5">
        <v>5</v>
      </c>
      <c r="G852" s="1">
        <v>25000000</v>
      </c>
      <c r="H852" s="2">
        <v>1</v>
      </c>
      <c r="I852" s="6">
        <v>3.645833333333333E-3</v>
      </c>
      <c r="J852" s="2" t="s">
        <v>18</v>
      </c>
      <c r="K852" s="2" t="s">
        <v>64</v>
      </c>
      <c r="L852" s="2" t="s">
        <v>43</v>
      </c>
      <c r="M852" s="2" t="s">
        <v>76</v>
      </c>
      <c r="N852" s="2" t="s">
        <v>52</v>
      </c>
    </row>
    <row r="853" spans="1:14" x14ac:dyDescent="0.5">
      <c r="A853" s="2" t="s">
        <v>70</v>
      </c>
      <c r="B853" s="3">
        <v>29</v>
      </c>
      <c r="C853" s="4" t="s">
        <v>59</v>
      </c>
      <c r="D853" s="2" t="s">
        <v>28</v>
      </c>
      <c r="E853" s="2" t="s">
        <v>17</v>
      </c>
      <c r="F853" s="5">
        <v>0</v>
      </c>
      <c r="G853" s="1">
        <v>0</v>
      </c>
      <c r="H853" s="2">
        <v>2</v>
      </c>
      <c r="I853" s="6">
        <v>3.645833333333333E-3</v>
      </c>
      <c r="J853" s="2"/>
      <c r="K853" s="2"/>
      <c r="L853" s="2" t="s">
        <v>33</v>
      </c>
      <c r="M853" s="2" t="s">
        <v>77</v>
      </c>
      <c r="N853" s="2" t="s">
        <v>54</v>
      </c>
    </row>
    <row r="854" spans="1:14" x14ac:dyDescent="0.5">
      <c r="A854" s="2" t="s">
        <v>70</v>
      </c>
      <c r="B854" s="3">
        <v>5</v>
      </c>
      <c r="C854" s="4" t="s">
        <v>37</v>
      </c>
      <c r="D854" s="2" t="s">
        <v>32</v>
      </c>
      <c r="E854" s="2" t="s">
        <v>17</v>
      </c>
      <c r="F854" s="5">
        <v>0</v>
      </c>
      <c r="G854" s="1">
        <v>0</v>
      </c>
      <c r="H854" s="2">
        <v>5</v>
      </c>
      <c r="I854" s="6">
        <v>3.645833333333333E-3</v>
      </c>
      <c r="J854" s="2"/>
      <c r="K854" s="2"/>
      <c r="L854" s="2" t="s">
        <v>48</v>
      </c>
      <c r="M854" s="2" t="s">
        <v>78</v>
      </c>
      <c r="N854" s="2" t="s">
        <v>41</v>
      </c>
    </row>
    <row r="855" spans="1:14" x14ac:dyDescent="0.5">
      <c r="A855" s="2" t="s">
        <v>70</v>
      </c>
      <c r="B855" s="3">
        <v>10</v>
      </c>
      <c r="C855" s="4" t="s">
        <v>69</v>
      </c>
      <c r="D855" s="2" t="s">
        <v>16</v>
      </c>
      <c r="E855" s="2" t="s">
        <v>45</v>
      </c>
      <c r="F855" s="5">
        <v>0</v>
      </c>
      <c r="G855" s="1">
        <v>0</v>
      </c>
      <c r="H855" s="2">
        <v>3</v>
      </c>
      <c r="I855" s="6">
        <v>3.645833333333333E-3</v>
      </c>
      <c r="J855" s="2"/>
      <c r="K855" s="2"/>
      <c r="L855" s="2" t="s">
        <v>25</v>
      </c>
      <c r="M855" s="2" t="s">
        <v>78</v>
      </c>
      <c r="N855" s="2" t="s">
        <v>21</v>
      </c>
    </row>
    <row r="856" spans="1:14" x14ac:dyDescent="0.5">
      <c r="A856" s="2" t="s">
        <v>70</v>
      </c>
      <c r="B856" s="3">
        <v>5</v>
      </c>
      <c r="C856" s="4" t="s">
        <v>69</v>
      </c>
      <c r="D856" s="2" t="s">
        <v>28</v>
      </c>
      <c r="E856" s="2" t="s">
        <v>42</v>
      </c>
      <c r="F856" s="5">
        <v>0</v>
      </c>
      <c r="G856" s="1">
        <v>0</v>
      </c>
      <c r="H856" s="2">
        <v>5</v>
      </c>
      <c r="I856" s="6">
        <v>3.645833333333333E-3</v>
      </c>
      <c r="J856" s="2"/>
      <c r="K856" s="2"/>
      <c r="L856" s="2" t="s">
        <v>51</v>
      </c>
      <c r="M856" s="2" t="s">
        <v>76</v>
      </c>
      <c r="N856" s="2" t="s">
        <v>75</v>
      </c>
    </row>
    <row r="857" spans="1:14" x14ac:dyDescent="0.5">
      <c r="A857" s="2" t="s">
        <v>70</v>
      </c>
      <c r="B857" s="3">
        <v>29</v>
      </c>
      <c r="C857" s="4" t="s">
        <v>59</v>
      </c>
      <c r="D857" s="2" t="s">
        <v>28</v>
      </c>
      <c r="E857" s="2" t="s">
        <v>17</v>
      </c>
      <c r="F857" s="5">
        <v>0</v>
      </c>
      <c r="G857" s="1">
        <v>0</v>
      </c>
      <c r="H857" s="2">
        <v>2</v>
      </c>
      <c r="I857" s="6">
        <v>3.645833333333333E-3</v>
      </c>
      <c r="J857" s="2"/>
      <c r="K857" s="2"/>
      <c r="L857" s="2" t="s">
        <v>33</v>
      </c>
      <c r="M857" s="2" t="s">
        <v>77</v>
      </c>
      <c r="N857" s="2" t="s">
        <v>54</v>
      </c>
    </row>
    <row r="858" spans="1:14" x14ac:dyDescent="0.5">
      <c r="A858" s="2" t="s">
        <v>14</v>
      </c>
      <c r="B858" s="3">
        <v>18</v>
      </c>
      <c r="C858" s="4" t="s">
        <v>60</v>
      </c>
      <c r="D858" s="2" t="s">
        <v>16</v>
      </c>
      <c r="E858" s="2" t="s">
        <v>17</v>
      </c>
      <c r="F858" s="5">
        <v>5</v>
      </c>
      <c r="G858" s="1">
        <v>25000000</v>
      </c>
      <c r="H858" s="2">
        <v>5</v>
      </c>
      <c r="I858" s="6">
        <v>4.340277777777778E-3</v>
      </c>
      <c r="J858" s="2" t="s">
        <v>18</v>
      </c>
      <c r="K858" s="2" t="s">
        <v>50</v>
      </c>
      <c r="L858" s="2" t="s">
        <v>33</v>
      </c>
      <c r="M858" s="2" t="s">
        <v>78</v>
      </c>
      <c r="N858" s="2" t="s">
        <v>63</v>
      </c>
    </row>
    <row r="859" spans="1:14" x14ac:dyDescent="0.5">
      <c r="A859" s="2" t="s">
        <v>14</v>
      </c>
      <c r="B859" s="3">
        <v>12</v>
      </c>
      <c r="C859" s="4" t="s">
        <v>22</v>
      </c>
      <c r="D859" s="2" t="s">
        <v>38</v>
      </c>
      <c r="E859" s="2" t="s">
        <v>17</v>
      </c>
      <c r="F859" s="5">
        <v>3</v>
      </c>
      <c r="G859" s="1">
        <v>15000000</v>
      </c>
      <c r="H859" s="2">
        <v>4</v>
      </c>
      <c r="I859" s="6">
        <v>4.340277777777778E-3</v>
      </c>
      <c r="J859" s="2" t="s">
        <v>18</v>
      </c>
      <c r="K859" s="2" t="s">
        <v>47</v>
      </c>
      <c r="L859" s="2" t="s">
        <v>25</v>
      </c>
      <c r="M859" s="2" t="s">
        <v>77</v>
      </c>
      <c r="N859" s="2" t="s">
        <v>34</v>
      </c>
    </row>
    <row r="860" spans="1:14" x14ac:dyDescent="0.5">
      <c r="A860" s="2" t="s">
        <v>14</v>
      </c>
      <c r="B860" s="3">
        <v>30</v>
      </c>
      <c r="C860" s="4" t="s">
        <v>27</v>
      </c>
      <c r="D860" s="2" t="s">
        <v>73</v>
      </c>
      <c r="E860" s="2" t="s">
        <v>42</v>
      </c>
      <c r="F860" s="5">
        <v>4</v>
      </c>
      <c r="G860" s="1">
        <v>20000000</v>
      </c>
      <c r="H860" s="2">
        <v>5</v>
      </c>
      <c r="I860" s="6">
        <v>4.340277777777778E-3</v>
      </c>
      <c r="J860" s="2" t="s">
        <v>61</v>
      </c>
      <c r="K860" s="2" t="s">
        <v>19</v>
      </c>
      <c r="L860" s="2" t="s">
        <v>48</v>
      </c>
      <c r="M860" s="2" t="s">
        <v>66</v>
      </c>
      <c r="N860" s="2" t="s">
        <v>36</v>
      </c>
    </row>
    <row r="861" spans="1:14" x14ac:dyDescent="0.5">
      <c r="A861" s="2" t="s">
        <v>14</v>
      </c>
      <c r="B861" s="3">
        <v>16</v>
      </c>
      <c r="C861" s="4" t="s">
        <v>27</v>
      </c>
      <c r="D861" s="2" t="s">
        <v>73</v>
      </c>
      <c r="E861" s="2" t="s">
        <v>42</v>
      </c>
      <c r="F861" s="5">
        <v>3</v>
      </c>
      <c r="G861" s="1">
        <v>12000000</v>
      </c>
      <c r="H861" s="2">
        <v>2</v>
      </c>
      <c r="I861" s="6">
        <v>4.340277777777778E-3</v>
      </c>
      <c r="J861" s="2" t="s">
        <v>18</v>
      </c>
      <c r="K861" s="2" t="s">
        <v>29</v>
      </c>
      <c r="L861" s="2" t="s">
        <v>40</v>
      </c>
      <c r="M861" s="2" t="s">
        <v>66</v>
      </c>
      <c r="N861" s="2" t="s">
        <v>36</v>
      </c>
    </row>
    <row r="862" spans="1:14" x14ac:dyDescent="0.5">
      <c r="A862" s="2" t="s">
        <v>14</v>
      </c>
      <c r="B862" s="3">
        <v>28</v>
      </c>
      <c r="C862" s="4" t="s">
        <v>27</v>
      </c>
      <c r="D862" s="2" t="s">
        <v>38</v>
      </c>
      <c r="E862" s="2" t="s">
        <v>17</v>
      </c>
      <c r="F862" s="5">
        <v>2</v>
      </c>
      <c r="G862" s="1">
        <v>12000000</v>
      </c>
      <c r="H862" s="2">
        <v>2</v>
      </c>
      <c r="I862" s="6">
        <v>4.340277777777778E-3</v>
      </c>
      <c r="J862" s="2" t="s">
        <v>18</v>
      </c>
      <c r="K862" s="2" t="s">
        <v>35</v>
      </c>
      <c r="L862" s="2" t="s">
        <v>33</v>
      </c>
      <c r="M862" s="2" t="s">
        <v>78</v>
      </c>
      <c r="N862" s="2" t="s">
        <v>53</v>
      </c>
    </row>
    <row r="863" spans="1:14" x14ac:dyDescent="0.5">
      <c r="A863" s="2" t="s">
        <v>14</v>
      </c>
      <c r="B863" s="3">
        <v>7</v>
      </c>
      <c r="C863" s="4" t="s">
        <v>37</v>
      </c>
      <c r="D863" s="2" t="s">
        <v>16</v>
      </c>
      <c r="E863" s="2" t="s">
        <v>17</v>
      </c>
      <c r="F863" s="5">
        <v>2</v>
      </c>
      <c r="G863" s="1">
        <v>10000000</v>
      </c>
      <c r="H863" s="2">
        <v>1</v>
      </c>
      <c r="I863" s="6">
        <v>4.340277777777778E-3</v>
      </c>
      <c r="J863" s="2" t="s">
        <v>18</v>
      </c>
      <c r="K863" s="2" t="s">
        <v>19</v>
      </c>
      <c r="L863" s="2" t="s">
        <v>30</v>
      </c>
      <c r="M863" s="2" t="s">
        <v>77</v>
      </c>
      <c r="N863" s="2" t="s">
        <v>54</v>
      </c>
    </row>
    <row r="864" spans="1:14" x14ac:dyDescent="0.5">
      <c r="A864" s="2" t="s">
        <v>14</v>
      </c>
      <c r="B864" s="3">
        <v>9</v>
      </c>
      <c r="C864" s="4" t="s">
        <v>37</v>
      </c>
      <c r="D864" s="2" t="s">
        <v>16</v>
      </c>
      <c r="E864" s="2" t="s">
        <v>17</v>
      </c>
      <c r="F864" s="5">
        <v>1</v>
      </c>
      <c r="G864" s="1">
        <v>7000000</v>
      </c>
      <c r="H864" s="2">
        <v>4</v>
      </c>
      <c r="I864" s="6">
        <v>4.340277777777778E-3</v>
      </c>
      <c r="J864" s="2" t="s">
        <v>18</v>
      </c>
      <c r="K864" s="2" t="s">
        <v>29</v>
      </c>
      <c r="L864" s="2" t="s">
        <v>40</v>
      </c>
      <c r="M864" s="2" t="s">
        <v>76</v>
      </c>
      <c r="N864" s="2" t="s">
        <v>31</v>
      </c>
    </row>
    <row r="865" spans="1:14" x14ac:dyDescent="0.5">
      <c r="A865" s="2" t="s">
        <v>14</v>
      </c>
      <c r="B865" s="3">
        <v>18</v>
      </c>
      <c r="C865" s="4" t="s">
        <v>37</v>
      </c>
      <c r="D865" s="2" t="s">
        <v>38</v>
      </c>
      <c r="E865" s="2" t="s">
        <v>42</v>
      </c>
      <c r="F865" s="5">
        <v>3</v>
      </c>
      <c r="G865" s="1">
        <v>15000000</v>
      </c>
      <c r="H865" s="2">
        <v>1</v>
      </c>
      <c r="I865" s="6">
        <v>4.340277777777778E-3</v>
      </c>
      <c r="J865" s="2" t="s">
        <v>18</v>
      </c>
      <c r="K865" s="2" t="s">
        <v>56</v>
      </c>
      <c r="L865" s="2" t="s">
        <v>43</v>
      </c>
      <c r="M865" s="2" t="s">
        <v>76</v>
      </c>
      <c r="N865" s="2" t="s">
        <v>31</v>
      </c>
    </row>
    <row r="866" spans="1:14" x14ac:dyDescent="0.5">
      <c r="A866" s="2" t="s">
        <v>14</v>
      </c>
      <c r="B866" s="3">
        <v>4</v>
      </c>
      <c r="C866" s="4" t="s">
        <v>44</v>
      </c>
      <c r="D866" s="2" t="s">
        <v>16</v>
      </c>
      <c r="E866" s="2" t="s">
        <v>42</v>
      </c>
      <c r="F866" s="5">
        <v>2</v>
      </c>
      <c r="G866" s="1">
        <v>38000000</v>
      </c>
      <c r="H866" s="2">
        <v>5</v>
      </c>
      <c r="I866" s="6">
        <v>4.340277777777778E-3</v>
      </c>
      <c r="J866" s="2" t="s">
        <v>46</v>
      </c>
      <c r="K866" s="2" t="s">
        <v>29</v>
      </c>
      <c r="L866" s="2" t="s">
        <v>20</v>
      </c>
      <c r="M866" s="2" t="s">
        <v>76</v>
      </c>
      <c r="N866" s="2" t="s">
        <v>31</v>
      </c>
    </row>
    <row r="867" spans="1:14" x14ac:dyDescent="0.5">
      <c r="A867" s="2" t="s">
        <v>14</v>
      </c>
      <c r="B867" s="3">
        <v>23</v>
      </c>
      <c r="C867" s="4" t="s">
        <v>44</v>
      </c>
      <c r="D867" s="2" t="s">
        <v>16</v>
      </c>
      <c r="E867" s="2" t="s">
        <v>42</v>
      </c>
      <c r="F867" s="5">
        <v>2</v>
      </c>
      <c r="G867" s="1">
        <v>12000000</v>
      </c>
      <c r="H867" s="2">
        <v>2</v>
      </c>
      <c r="I867" s="6">
        <v>4.340277777777778E-3</v>
      </c>
      <c r="J867" s="2" t="s">
        <v>18</v>
      </c>
      <c r="K867" s="2" t="s">
        <v>39</v>
      </c>
      <c r="L867" s="2" t="s">
        <v>43</v>
      </c>
      <c r="M867" s="2" t="s">
        <v>76</v>
      </c>
      <c r="N867" s="2" t="s">
        <v>75</v>
      </c>
    </row>
    <row r="868" spans="1:14" x14ac:dyDescent="0.5">
      <c r="A868" s="2" t="s">
        <v>14</v>
      </c>
      <c r="B868" s="3">
        <v>31</v>
      </c>
      <c r="C868" s="4" t="s">
        <v>69</v>
      </c>
      <c r="D868" s="2" t="s">
        <v>32</v>
      </c>
      <c r="E868" s="2" t="s">
        <v>23</v>
      </c>
      <c r="F868" s="5">
        <v>1</v>
      </c>
      <c r="G868" s="1">
        <v>19000000</v>
      </c>
      <c r="H868" s="2">
        <v>3</v>
      </c>
      <c r="I868" s="6">
        <v>4.340277777777778E-3</v>
      </c>
      <c r="J868" s="2" t="s">
        <v>46</v>
      </c>
      <c r="K868" s="2" t="s">
        <v>24</v>
      </c>
      <c r="L868" s="2" t="s">
        <v>30</v>
      </c>
      <c r="M868" s="2" t="s">
        <v>78</v>
      </c>
      <c r="N868" s="2" t="s">
        <v>53</v>
      </c>
    </row>
    <row r="869" spans="1:14" x14ac:dyDescent="0.5">
      <c r="A869" s="2" t="s">
        <v>14</v>
      </c>
      <c r="B869" s="3">
        <v>18</v>
      </c>
      <c r="C869" s="4" t="s">
        <v>60</v>
      </c>
      <c r="D869" s="2" t="s">
        <v>16</v>
      </c>
      <c r="E869" s="2" t="s">
        <v>17</v>
      </c>
      <c r="F869" s="5">
        <v>5</v>
      </c>
      <c r="G869" s="1">
        <v>25000000</v>
      </c>
      <c r="H869" s="2">
        <v>5</v>
      </c>
      <c r="I869" s="6">
        <v>4.340277777777778E-3</v>
      </c>
      <c r="J869" s="2" t="s">
        <v>18</v>
      </c>
      <c r="K869" s="2" t="s">
        <v>50</v>
      </c>
      <c r="L869" s="2" t="s">
        <v>33</v>
      </c>
      <c r="M869" s="2" t="s">
        <v>78</v>
      </c>
      <c r="N869" s="2" t="s">
        <v>63</v>
      </c>
    </row>
    <row r="870" spans="1:14" x14ac:dyDescent="0.5">
      <c r="A870" s="2" t="s">
        <v>70</v>
      </c>
      <c r="B870" s="3">
        <v>15</v>
      </c>
      <c r="C870" s="4" t="s">
        <v>27</v>
      </c>
      <c r="D870" s="2" t="s">
        <v>32</v>
      </c>
      <c r="E870" s="2" t="s">
        <v>42</v>
      </c>
      <c r="F870" s="5">
        <v>0</v>
      </c>
      <c r="G870" s="1">
        <v>0</v>
      </c>
      <c r="H870" s="2">
        <v>1</v>
      </c>
      <c r="I870" s="6">
        <v>4.340277777777778E-3</v>
      </c>
      <c r="J870" s="2"/>
      <c r="K870" s="2"/>
      <c r="L870" s="2" t="s">
        <v>43</v>
      </c>
      <c r="M870" s="2" t="s">
        <v>78</v>
      </c>
      <c r="N870" s="2" t="s">
        <v>53</v>
      </c>
    </row>
    <row r="871" spans="1:14" x14ac:dyDescent="0.5">
      <c r="A871" s="2" t="s">
        <v>70</v>
      </c>
      <c r="B871" s="3">
        <v>15</v>
      </c>
      <c r="C871" s="4" t="s">
        <v>69</v>
      </c>
      <c r="D871" s="2" t="s">
        <v>28</v>
      </c>
      <c r="E871" s="2" t="s">
        <v>42</v>
      </c>
      <c r="F871" s="5">
        <v>0</v>
      </c>
      <c r="G871" s="1">
        <v>0</v>
      </c>
      <c r="H871" s="2">
        <v>1</v>
      </c>
      <c r="I871" s="6">
        <v>4.340277777777778E-3</v>
      </c>
      <c r="J871" s="2"/>
      <c r="K871" s="2"/>
      <c r="L871" s="2" t="s">
        <v>51</v>
      </c>
      <c r="M871" s="2" t="s">
        <v>78</v>
      </c>
      <c r="N871" s="2" t="s">
        <v>41</v>
      </c>
    </row>
    <row r="872" spans="1:14" x14ac:dyDescent="0.5">
      <c r="A872" s="2" t="s">
        <v>14</v>
      </c>
      <c r="B872" s="3">
        <v>1</v>
      </c>
      <c r="C872" s="4" t="s">
        <v>59</v>
      </c>
      <c r="D872" s="2" t="s">
        <v>16</v>
      </c>
      <c r="E872" s="2" t="s">
        <v>42</v>
      </c>
      <c r="F872" s="5">
        <v>5</v>
      </c>
      <c r="G872" s="1">
        <v>25000000</v>
      </c>
      <c r="H872" s="2">
        <v>1</v>
      </c>
      <c r="I872" s="6">
        <v>4.3749999999999995E-3</v>
      </c>
      <c r="J872" s="2" t="s">
        <v>18</v>
      </c>
      <c r="K872" s="2" t="s">
        <v>19</v>
      </c>
      <c r="L872" s="2" t="s">
        <v>51</v>
      </c>
      <c r="M872" s="2" t="s">
        <v>78</v>
      </c>
      <c r="N872" s="2" t="s">
        <v>62</v>
      </c>
    </row>
    <row r="873" spans="1:14" x14ac:dyDescent="0.5">
      <c r="A873" s="2" t="s">
        <v>14</v>
      </c>
      <c r="B873" s="3">
        <v>7</v>
      </c>
      <c r="C873" s="4" t="s">
        <v>72</v>
      </c>
      <c r="D873" s="2" t="s">
        <v>38</v>
      </c>
      <c r="E873" s="2" t="s">
        <v>42</v>
      </c>
      <c r="F873" s="5">
        <v>1</v>
      </c>
      <c r="G873" s="1">
        <v>19000000</v>
      </c>
      <c r="H873" s="2">
        <v>6</v>
      </c>
      <c r="I873" s="6">
        <v>4.3749999999999995E-3</v>
      </c>
      <c r="J873" s="2" t="s">
        <v>46</v>
      </c>
      <c r="K873" s="2" t="s">
        <v>29</v>
      </c>
      <c r="L873" s="2" t="s">
        <v>20</v>
      </c>
      <c r="M873" s="2" t="s">
        <v>78</v>
      </c>
      <c r="N873" s="2" t="s">
        <v>21</v>
      </c>
    </row>
    <row r="874" spans="1:14" x14ac:dyDescent="0.5">
      <c r="A874" s="2" t="s">
        <v>14</v>
      </c>
      <c r="B874" s="3">
        <v>27</v>
      </c>
      <c r="C874" s="4" t="s">
        <v>27</v>
      </c>
      <c r="D874" s="2" t="s">
        <v>32</v>
      </c>
      <c r="E874" s="2" t="s">
        <v>23</v>
      </c>
      <c r="F874" s="5">
        <v>2</v>
      </c>
      <c r="G874" s="1">
        <v>38000000</v>
      </c>
      <c r="H874" s="2">
        <v>3</v>
      </c>
      <c r="I874" s="6">
        <v>4.3749999999999995E-3</v>
      </c>
      <c r="J874" s="2" t="s">
        <v>46</v>
      </c>
      <c r="K874" s="2" t="s">
        <v>56</v>
      </c>
      <c r="L874" s="2" t="s">
        <v>33</v>
      </c>
      <c r="M874" s="2" t="s">
        <v>76</v>
      </c>
      <c r="N874" s="2" t="s">
        <v>31</v>
      </c>
    </row>
    <row r="875" spans="1:14" x14ac:dyDescent="0.5">
      <c r="A875" s="2" t="s">
        <v>14</v>
      </c>
      <c r="B875" s="3">
        <v>12</v>
      </c>
      <c r="C875" s="4" t="s">
        <v>27</v>
      </c>
      <c r="D875" s="2" t="s">
        <v>16</v>
      </c>
      <c r="E875" s="2" t="s">
        <v>23</v>
      </c>
      <c r="F875" s="5">
        <v>1</v>
      </c>
      <c r="G875" s="1">
        <v>7000000</v>
      </c>
      <c r="H875" s="2">
        <v>1</v>
      </c>
      <c r="I875" s="6">
        <v>4.3749999999999995E-3</v>
      </c>
      <c r="J875" s="2" t="s">
        <v>18</v>
      </c>
      <c r="K875" s="2" t="s">
        <v>56</v>
      </c>
      <c r="L875" s="2" t="s">
        <v>51</v>
      </c>
      <c r="M875" s="2" t="s">
        <v>76</v>
      </c>
      <c r="N875" s="2" t="s">
        <v>75</v>
      </c>
    </row>
    <row r="876" spans="1:14" x14ac:dyDescent="0.5">
      <c r="A876" s="2" t="s">
        <v>14</v>
      </c>
      <c r="B876" s="3">
        <v>11</v>
      </c>
      <c r="C876" s="4" t="s">
        <v>37</v>
      </c>
      <c r="D876" s="2" t="s">
        <v>16</v>
      </c>
      <c r="E876" s="2" t="s">
        <v>23</v>
      </c>
      <c r="F876" s="5">
        <v>2</v>
      </c>
      <c r="G876" s="1">
        <v>12000000</v>
      </c>
      <c r="H876" s="2">
        <v>3</v>
      </c>
      <c r="I876" s="6">
        <v>4.3749999999999995E-3</v>
      </c>
      <c r="J876" s="2" t="s">
        <v>18</v>
      </c>
      <c r="K876" s="2" t="s">
        <v>50</v>
      </c>
      <c r="L876" s="2" t="s">
        <v>33</v>
      </c>
      <c r="M876" s="2" t="s">
        <v>66</v>
      </c>
      <c r="N876" s="2" t="s">
        <v>36</v>
      </c>
    </row>
    <row r="877" spans="1:14" x14ac:dyDescent="0.5">
      <c r="A877" s="2" t="s">
        <v>14</v>
      </c>
      <c r="B877" s="3">
        <v>29</v>
      </c>
      <c r="C877" s="4" t="s">
        <v>37</v>
      </c>
      <c r="D877" s="2" t="s">
        <v>16</v>
      </c>
      <c r="E877" s="2" t="s">
        <v>42</v>
      </c>
      <c r="F877" s="5">
        <v>3</v>
      </c>
      <c r="G877" s="1">
        <v>12000000</v>
      </c>
      <c r="H877" s="2">
        <v>5</v>
      </c>
      <c r="I877" s="6">
        <v>4.3749999999999995E-3</v>
      </c>
      <c r="J877" s="2" t="s">
        <v>18</v>
      </c>
      <c r="K877" s="2" t="s">
        <v>64</v>
      </c>
      <c r="L877" s="2" t="s">
        <v>33</v>
      </c>
      <c r="M877" s="2" t="s">
        <v>66</v>
      </c>
      <c r="N877" s="2" t="s">
        <v>36</v>
      </c>
    </row>
    <row r="878" spans="1:14" x14ac:dyDescent="0.5">
      <c r="A878" s="2" t="s">
        <v>14</v>
      </c>
      <c r="B878" s="3">
        <v>31</v>
      </c>
      <c r="C878" s="4" t="s">
        <v>37</v>
      </c>
      <c r="D878" s="2" t="s">
        <v>38</v>
      </c>
      <c r="E878" s="2" t="s">
        <v>42</v>
      </c>
      <c r="F878" s="5">
        <v>3</v>
      </c>
      <c r="G878" s="1">
        <v>15000000</v>
      </c>
      <c r="H878" s="2">
        <v>1</v>
      </c>
      <c r="I878" s="6">
        <v>4.3749999999999995E-3</v>
      </c>
      <c r="J878" s="2" t="s">
        <v>18</v>
      </c>
      <c r="K878" s="2" t="s">
        <v>35</v>
      </c>
      <c r="L878" s="2" t="s">
        <v>51</v>
      </c>
      <c r="M878" s="2" t="s">
        <v>76</v>
      </c>
      <c r="N878" s="2" t="s">
        <v>31</v>
      </c>
    </row>
    <row r="879" spans="1:14" x14ac:dyDescent="0.5">
      <c r="A879" s="2" t="s">
        <v>14</v>
      </c>
      <c r="B879" s="3">
        <v>22</v>
      </c>
      <c r="C879" s="4" t="s">
        <v>44</v>
      </c>
      <c r="D879" s="2" t="s">
        <v>32</v>
      </c>
      <c r="E879" s="2" t="s">
        <v>23</v>
      </c>
      <c r="F879" s="5">
        <v>2</v>
      </c>
      <c r="G879" s="1">
        <v>12000000</v>
      </c>
      <c r="H879" s="2">
        <v>6</v>
      </c>
      <c r="I879" s="6">
        <v>4.3749999999999995E-3</v>
      </c>
      <c r="J879" s="2" t="s">
        <v>18</v>
      </c>
      <c r="K879" s="2" t="s">
        <v>19</v>
      </c>
      <c r="L879" s="2" t="s">
        <v>33</v>
      </c>
      <c r="M879" s="2" t="s">
        <v>77</v>
      </c>
      <c r="N879" s="2" t="s">
        <v>65</v>
      </c>
    </row>
    <row r="880" spans="1:14" x14ac:dyDescent="0.5">
      <c r="A880" s="2" t="s">
        <v>14</v>
      </c>
      <c r="B880" s="3">
        <v>1</v>
      </c>
      <c r="C880" s="4" t="s">
        <v>44</v>
      </c>
      <c r="D880" s="2" t="s">
        <v>49</v>
      </c>
      <c r="E880" s="2" t="s">
        <v>42</v>
      </c>
      <c r="F880" s="5">
        <v>3</v>
      </c>
      <c r="G880" s="1">
        <v>15000000</v>
      </c>
      <c r="H880" s="2">
        <v>3</v>
      </c>
      <c r="I880" s="6">
        <v>4.3749999999999995E-3</v>
      </c>
      <c r="J880" s="2" t="s">
        <v>18</v>
      </c>
      <c r="K880" s="2" t="s">
        <v>29</v>
      </c>
      <c r="L880" s="2" t="s">
        <v>43</v>
      </c>
      <c r="M880" s="2" t="s">
        <v>76</v>
      </c>
      <c r="N880" s="2" t="s">
        <v>52</v>
      </c>
    </row>
    <row r="881" spans="1:14" x14ac:dyDescent="0.5">
      <c r="A881" s="2" t="s">
        <v>14</v>
      </c>
      <c r="B881" s="3">
        <v>25</v>
      </c>
      <c r="C881" s="4" t="s">
        <v>69</v>
      </c>
      <c r="D881" s="2" t="s">
        <v>32</v>
      </c>
      <c r="E881" s="2" t="s">
        <v>23</v>
      </c>
      <c r="F881" s="5">
        <v>4</v>
      </c>
      <c r="G881" s="1">
        <v>20000000</v>
      </c>
      <c r="H881" s="2">
        <v>4</v>
      </c>
      <c r="I881" s="6">
        <v>4.3749999999999995E-3</v>
      </c>
      <c r="J881" s="2" t="s">
        <v>61</v>
      </c>
      <c r="K881" s="2" t="s">
        <v>56</v>
      </c>
      <c r="L881" s="2" t="s">
        <v>30</v>
      </c>
      <c r="M881" s="2" t="s">
        <v>78</v>
      </c>
      <c r="N881" s="2" t="s">
        <v>53</v>
      </c>
    </row>
    <row r="882" spans="1:14" x14ac:dyDescent="0.5">
      <c r="A882" s="2" t="s">
        <v>14</v>
      </c>
      <c r="B882" s="3">
        <v>1</v>
      </c>
      <c r="C882" s="4" t="s">
        <v>59</v>
      </c>
      <c r="D882" s="2" t="s">
        <v>16</v>
      </c>
      <c r="E882" s="2" t="s">
        <v>42</v>
      </c>
      <c r="F882" s="5">
        <v>5</v>
      </c>
      <c r="G882" s="1">
        <v>25000000</v>
      </c>
      <c r="H882" s="2">
        <v>1</v>
      </c>
      <c r="I882" s="6">
        <v>4.3749999999999995E-3</v>
      </c>
      <c r="J882" s="2" t="s">
        <v>18</v>
      </c>
      <c r="K882" s="2" t="s">
        <v>19</v>
      </c>
      <c r="L882" s="2" t="s">
        <v>51</v>
      </c>
      <c r="M882" s="2" t="s">
        <v>78</v>
      </c>
      <c r="N882" s="2" t="s">
        <v>62</v>
      </c>
    </row>
    <row r="883" spans="1:14" x14ac:dyDescent="0.5">
      <c r="A883" s="2" t="s">
        <v>14</v>
      </c>
      <c r="B883" s="3">
        <v>7</v>
      </c>
      <c r="C883" s="4" t="s">
        <v>72</v>
      </c>
      <c r="D883" s="2" t="s">
        <v>38</v>
      </c>
      <c r="E883" s="2" t="s">
        <v>42</v>
      </c>
      <c r="F883" s="5">
        <v>1</v>
      </c>
      <c r="G883" s="1">
        <v>19000000</v>
      </c>
      <c r="H883" s="2">
        <v>6</v>
      </c>
      <c r="I883" s="6">
        <v>4.3749999999999995E-3</v>
      </c>
      <c r="J883" s="2" t="s">
        <v>46</v>
      </c>
      <c r="K883" s="2" t="s">
        <v>29</v>
      </c>
      <c r="L883" s="2" t="s">
        <v>20</v>
      </c>
      <c r="M883" s="2" t="s">
        <v>78</v>
      </c>
      <c r="N883" s="2" t="s">
        <v>21</v>
      </c>
    </row>
    <row r="884" spans="1:14" x14ac:dyDescent="0.5">
      <c r="A884" s="2" t="s">
        <v>70</v>
      </c>
      <c r="B884" s="3">
        <v>7</v>
      </c>
      <c r="C884" s="4" t="s">
        <v>37</v>
      </c>
      <c r="D884" s="2" t="s">
        <v>32</v>
      </c>
      <c r="E884" s="2" t="s">
        <v>23</v>
      </c>
      <c r="F884" s="5">
        <v>0</v>
      </c>
      <c r="G884" s="1">
        <v>0</v>
      </c>
      <c r="H884" s="2">
        <v>1</v>
      </c>
      <c r="I884" s="6">
        <v>4.3749999999999995E-3</v>
      </c>
      <c r="J884" s="2"/>
      <c r="K884" s="2"/>
      <c r="L884" s="2" t="s">
        <v>30</v>
      </c>
      <c r="M884" s="2" t="s">
        <v>78</v>
      </c>
      <c r="N884" s="2" t="s">
        <v>63</v>
      </c>
    </row>
    <row r="885" spans="1:14" x14ac:dyDescent="0.5">
      <c r="A885" s="2" t="s">
        <v>70</v>
      </c>
      <c r="B885" s="3">
        <v>16</v>
      </c>
      <c r="C885" s="4" t="s">
        <v>44</v>
      </c>
      <c r="D885" s="2" t="s">
        <v>16</v>
      </c>
      <c r="E885" s="2" t="s">
        <v>17</v>
      </c>
      <c r="F885" s="5">
        <v>0</v>
      </c>
      <c r="G885" s="1">
        <v>0</v>
      </c>
      <c r="H885" s="2">
        <v>1</v>
      </c>
      <c r="I885" s="6">
        <v>4.3749999999999995E-3</v>
      </c>
      <c r="J885" s="2"/>
      <c r="K885" s="2"/>
      <c r="L885" s="2" t="s">
        <v>48</v>
      </c>
      <c r="M885" s="2" t="s">
        <v>77</v>
      </c>
      <c r="N885" s="2" t="s">
        <v>54</v>
      </c>
    </row>
    <row r="886" spans="1:14" x14ac:dyDescent="0.5">
      <c r="A886" s="2" t="s">
        <v>70</v>
      </c>
      <c r="B886" s="3">
        <v>11</v>
      </c>
      <c r="C886" s="4" t="s">
        <v>69</v>
      </c>
      <c r="D886" s="2" t="s">
        <v>32</v>
      </c>
      <c r="E886" s="2" t="s">
        <v>23</v>
      </c>
      <c r="F886" s="5">
        <v>0</v>
      </c>
      <c r="G886" s="1">
        <v>0</v>
      </c>
      <c r="H886" s="2">
        <v>2</v>
      </c>
      <c r="I886" s="6">
        <v>4.3749999999999995E-3</v>
      </c>
      <c r="J886" s="2"/>
      <c r="K886" s="2"/>
      <c r="L886" s="2" t="s">
        <v>40</v>
      </c>
      <c r="M886" s="2" t="s">
        <v>76</v>
      </c>
      <c r="N886" s="2" t="s">
        <v>26</v>
      </c>
    </row>
    <row r="887" spans="1:14" x14ac:dyDescent="0.5">
      <c r="A887" s="2" t="s">
        <v>14</v>
      </c>
      <c r="B887" s="3">
        <v>17</v>
      </c>
      <c r="C887" s="4" t="s">
        <v>57</v>
      </c>
      <c r="D887" s="2" t="s">
        <v>38</v>
      </c>
      <c r="E887" s="2" t="s">
        <v>42</v>
      </c>
      <c r="F887" s="5">
        <v>4</v>
      </c>
      <c r="G887" s="1">
        <v>15000000</v>
      </c>
      <c r="H887" s="2">
        <v>2</v>
      </c>
      <c r="I887" s="6">
        <v>4.3981481481481484E-3</v>
      </c>
      <c r="J887" s="2" t="s">
        <v>18</v>
      </c>
      <c r="K887" s="2" t="s">
        <v>64</v>
      </c>
      <c r="L887" s="2" t="s">
        <v>30</v>
      </c>
      <c r="M887" s="2" t="s">
        <v>77</v>
      </c>
      <c r="N887" s="2" t="s">
        <v>65</v>
      </c>
    </row>
    <row r="888" spans="1:14" x14ac:dyDescent="0.5">
      <c r="A888" s="2" t="s">
        <v>14</v>
      </c>
      <c r="B888" s="3">
        <v>27</v>
      </c>
      <c r="C888" s="4" t="s">
        <v>37</v>
      </c>
      <c r="D888" s="2" t="s">
        <v>32</v>
      </c>
      <c r="E888" s="2" t="s">
        <v>42</v>
      </c>
      <c r="F888" s="5">
        <v>1</v>
      </c>
      <c r="G888" s="1">
        <v>19000000</v>
      </c>
      <c r="H888" s="2">
        <v>2</v>
      </c>
      <c r="I888" s="6">
        <v>4.3981481481481484E-3</v>
      </c>
      <c r="J888" s="2" t="s">
        <v>46</v>
      </c>
      <c r="K888" s="2" t="s">
        <v>19</v>
      </c>
      <c r="L888" s="2" t="s">
        <v>33</v>
      </c>
      <c r="M888" s="2" t="s">
        <v>76</v>
      </c>
      <c r="N888" s="2" t="s">
        <v>26</v>
      </c>
    </row>
    <row r="889" spans="1:14" x14ac:dyDescent="0.5">
      <c r="A889" s="2" t="s">
        <v>14</v>
      </c>
      <c r="B889" s="3">
        <v>22</v>
      </c>
      <c r="C889" s="4" t="s">
        <v>37</v>
      </c>
      <c r="D889" s="2" t="s">
        <v>16</v>
      </c>
      <c r="E889" s="2" t="s">
        <v>23</v>
      </c>
      <c r="F889" s="5">
        <v>2</v>
      </c>
      <c r="G889" s="1">
        <v>38000000</v>
      </c>
      <c r="H889" s="2">
        <v>1</v>
      </c>
      <c r="I889" s="6">
        <v>4.3981481481481484E-3</v>
      </c>
      <c r="J889" s="2" t="s">
        <v>46</v>
      </c>
      <c r="K889" s="2" t="s">
        <v>56</v>
      </c>
      <c r="L889" s="2" t="s">
        <v>51</v>
      </c>
      <c r="M889" s="2" t="s">
        <v>66</v>
      </c>
      <c r="N889" s="2" t="s">
        <v>67</v>
      </c>
    </row>
    <row r="890" spans="1:14" x14ac:dyDescent="0.5">
      <c r="A890" s="2" t="s">
        <v>14</v>
      </c>
      <c r="B890" s="3">
        <v>31</v>
      </c>
      <c r="C890" s="4" t="s">
        <v>37</v>
      </c>
      <c r="D890" s="2" t="s">
        <v>32</v>
      </c>
      <c r="E890" s="2" t="s">
        <v>23</v>
      </c>
      <c r="F890" s="5">
        <v>4</v>
      </c>
      <c r="G890" s="1">
        <v>20000000</v>
      </c>
      <c r="H890" s="2">
        <v>1</v>
      </c>
      <c r="I890" s="6">
        <v>4.3981481481481484E-3</v>
      </c>
      <c r="J890" s="2" t="s">
        <v>61</v>
      </c>
      <c r="K890" s="2" t="s">
        <v>50</v>
      </c>
      <c r="L890" s="2" t="s">
        <v>43</v>
      </c>
      <c r="M890" s="2" t="s">
        <v>78</v>
      </c>
      <c r="N890" s="2" t="s">
        <v>62</v>
      </c>
    </row>
    <row r="891" spans="1:14" x14ac:dyDescent="0.5">
      <c r="A891" s="2" t="s">
        <v>14</v>
      </c>
      <c r="B891" s="3">
        <v>10</v>
      </c>
      <c r="C891" s="4" t="s">
        <v>37</v>
      </c>
      <c r="D891" s="2" t="s">
        <v>16</v>
      </c>
      <c r="E891" s="2" t="s">
        <v>23</v>
      </c>
      <c r="F891" s="5">
        <v>5</v>
      </c>
      <c r="G891" s="1">
        <v>25000000</v>
      </c>
      <c r="H891" s="2">
        <v>3</v>
      </c>
      <c r="I891" s="6">
        <v>4.3981481481481484E-3</v>
      </c>
      <c r="J891" s="2" t="s">
        <v>18</v>
      </c>
      <c r="K891" s="2" t="s">
        <v>29</v>
      </c>
      <c r="L891" s="2" t="s">
        <v>30</v>
      </c>
      <c r="M891" s="2" t="s">
        <v>76</v>
      </c>
      <c r="N891" s="2" t="s">
        <v>26</v>
      </c>
    </row>
    <row r="892" spans="1:14" x14ac:dyDescent="0.5">
      <c r="A892" s="2" t="s">
        <v>14</v>
      </c>
      <c r="B892" s="3">
        <v>29</v>
      </c>
      <c r="C892" s="4" t="s">
        <v>37</v>
      </c>
      <c r="D892" s="2" t="s">
        <v>16</v>
      </c>
      <c r="E892" s="2" t="s">
        <v>23</v>
      </c>
      <c r="F892" s="5">
        <v>2</v>
      </c>
      <c r="G892" s="1">
        <v>10000000</v>
      </c>
      <c r="H892" s="2">
        <v>1</v>
      </c>
      <c r="I892" s="6">
        <v>4.3981481481481484E-3</v>
      </c>
      <c r="J892" s="2" t="s">
        <v>18</v>
      </c>
      <c r="K892" s="2" t="s">
        <v>29</v>
      </c>
      <c r="L892" s="2" t="s">
        <v>51</v>
      </c>
      <c r="M892" s="2" t="s">
        <v>76</v>
      </c>
      <c r="N892" s="2" t="s">
        <v>26</v>
      </c>
    </row>
    <row r="893" spans="1:14" x14ac:dyDescent="0.5">
      <c r="A893" s="2" t="s">
        <v>14</v>
      </c>
      <c r="B893" s="3">
        <v>22</v>
      </c>
      <c r="C893" s="4" t="s">
        <v>44</v>
      </c>
      <c r="D893" s="2" t="s">
        <v>32</v>
      </c>
      <c r="E893" s="2" t="s">
        <v>23</v>
      </c>
      <c r="F893" s="5">
        <v>3</v>
      </c>
      <c r="G893" s="1">
        <v>15000000</v>
      </c>
      <c r="H893" s="2">
        <v>5</v>
      </c>
      <c r="I893" s="6">
        <v>4.3981481481481484E-3</v>
      </c>
      <c r="J893" s="2" t="s">
        <v>18</v>
      </c>
      <c r="K893" s="2" t="s">
        <v>19</v>
      </c>
      <c r="L893" s="2" t="s">
        <v>48</v>
      </c>
      <c r="M893" s="2" t="s">
        <v>78</v>
      </c>
      <c r="N893" s="2" t="s">
        <v>21</v>
      </c>
    </row>
    <row r="894" spans="1:14" x14ac:dyDescent="0.5">
      <c r="A894" s="2" t="s">
        <v>14</v>
      </c>
      <c r="B894" s="3">
        <v>17</v>
      </c>
      <c r="C894" s="4" t="s">
        <v>69</v>
      </c>
      <c r="D894" s="2" t="s">
        <v>73</v>
      </c>
      <c r="E894" s="2" t="s">
        <v>45</v>
      </c>
      <c r="F894" s="5">
        <v>3</v>
      </c>
      <c r="G894" s="1">
        <v>12000000</v>
      </c>
      <c r="H894" s="2">
        <v>1</v>
      </c>
      <c r="I894" s="6">
        <v>4.3981481481481484E-3</v>
      </c>
      <c r="J894" s="2" t="s">
        <v>18</v>
      </c>
      <c r="K894" s="2" t="s">
        <v>56</v>
      </c>
      <c r="L894" s="2" t="s">
        <v>48</v>
      </c>
      <c r="M894" s="2" t="s">
        <v>78</v>
      </c>
      <c r="N894" s="2" t="s">
        <v>63</v>
      </c>
    </row>
    <row r="895" spans="1:14" x14ac:dyDescent="0.5">
      <c r="A895" s="2" t="s">
        <v>14</v>
      </c>
      <c r="B895" s="3">
        <v>17</v>
      </c>
      <c r="C895" s="4" t="s">
        <v>57</v>
      </c>
      <c r="D895" s="2" t="s">
        <v>38</v>
      </c>
      <c r="E895" s="2" t="s">
        <v>42</v>
      </c>
      <c r="F895" s="5">
        <v>4</v>
      </c>
      <c r="G895" s="1">
        <v>15000000</v>
      </c>
      <c r="H895" s="2">
        <v>2</v>
      </c>
      <c r="I895" s="6">
        <v>4.3981481481481484E-3</v>
      </c>
      <c r="J895" s="2" t="s">
        <v>18</v>
      </c>
      <c r="K895" s="2" t="s">
        <v>64</v>
      </c>
      <c r="L895" s="2" t="s">
        <v>30</v>
      </c>
      <c r="M895" s="2" t="s">
        <v>77</v>
      </c>
      <c r="N895" s="2" t="s">
        <v>65</v>
      </c>
    </row>
    <row r="896" spans="1:14" x14ac:dyDescent="0.5">
      <c r="A896" s="2" t="s">
        <v>70</v>
      </c>
      <c r="B896" s="3">
        <v>13</v>
      </c>
      <c r="C896" s="4" t="s">
        <v>27</v>
      </c>
      <c r="D896" s="2" t="s">
        <v>32</v>
      </c>
      <c r="E896" s="2" t="s">
        <v>23</v>
      </c>
      <c r="F896" s="5">
        <v>0</v>
      </c>
      <c r="G896" s="1">
        <v>0</v>
      </c>
      <c r="H896" s="2">
        <v>1</v>
      </c>
      <c r="I896" s="6">
        <v>4.3981481481481484E-3</v>
      </c>
      <c r="J896" s="2"/>
      <c r="K896" s="2"/>
      <c r="L896" s="2" t="s">
        <v>20</v>
      </c>
      <c r="M896" s="2" t="s">
        <v>66</v>
      </c>
      <c r="N896" s="2" t="s">
        <v>36</v>
      </c>
    </row>
    <row r="897" spans="1:14" x14ac:dyDescent="0.5">
      <c r="A897" s="2" t="s">
        <v>70</v>
      </c>
      <c r="B897" s="3">
        <v>5</v>
      </c>
      <c r="C897" s="4" t="s">
        <v>37</v>
      </c>
      <c r="D897" s="2" t="s">
        <v>49</v>
      </c>
      <c r="E897" s="2" t="s">
        <v>42</v>
      </c>
      <c r="F897" s="5">
        <v>0</v>
      </c>
      <c r="G897" s="1">
        <v>0</v>
      </c>
      <c r="H897" s="2">
        <v>5</v>
      </c>
      <c r="I897" s="6">
        <v>4.3981481481481484E-3</v>
      </c>
      <c r="J897" s="2"/>
      <c r="K897" s="2"/>
      <c r="L897" s="2" t="s">
        <v>40</v>
      </c>
      <c r="M897" s="2" t="s">
        <v>76</v>
      </c>
      <c r="N897" s="2" t="s">
        <v>26</v>
      </c>
    </row>
    <row r="898" spans="1:14" x14ac:dyDescent="0.5">
      <c r="A898" s="2" t="s">
        <v>70</v>
      </c>
      <c r="B898" s="3">
        <v>19</v>
      </c>
      <c r="C898" s="4" t="s">
        <v>44</v>
      </c>
      <c r="D898" s="2" t="s">
        <v>32</v>
      </c>
      <c r="E898" s="2" t="s">
        <v>17</v>
      </c>
      <c r="F898" s="5">
        <v>0</v>
      </c>
      <c r="G898" s="1">
        <v>0</v>
      </c>
      <c r="H898" s="2">
        <v>2</v>
      </c>
      <c r="I898" s="6">
        <v>4.3981481481481484E-3</v>
      </c>
      <c r="J898" s="2"/>
      <c r="K898" s="2"/>
      <c r="L898" s="2" t="s">
        <v>30</v>
      </c>
      <c r="M898" s="2" t="s">
        <v>76</v>
      </c>
      <c r="N898" s="2" t="s">
        <v>26</v>
      </c>
    </row>
    <row r="899" spans="1:14" x14ac:dyDescent="0.5">
      <c r="A899" s="2" t="s">
        <v>70</v>
      </c>
      <c r="B899" s="3">
        <v>28</v>
      </c>
      <c r="C899" s="4" t="s">
        <v>44</v>
      </c>
      <c r="D899" s="2" t="s">
        <v>32</v>
      </c>
      <c r="E899" s="2" t="s">
        <v>23</v>
      </c>
      <c r="F899" s="5">
        <v>0</v>
      </c>
      <c r="G899" s="1">
        <v>0</v>
      </c>
      <c r="H899" s="2">
        <v>4</v>
      </c>
      <c r="I899" s="6">
        <v>4.3981481481481484E-3</v>
      </c>
      <c r="J899" s="2"/>
      <c r="K899" s="2"/>
      <c r="L899" s="2" t="s">
        <v>43</v>
      </c>
      <c r="M899" s="2" t="s">
        <v>66</v>
      </c>
      <c r="N899" s="2" t="s">
        <v>36</v>
      </c>
    </row>
    <row r="900" spans="1:14" x14ac:dyDescent="0.5">
      <c r="A900" s="2" t="s">
        <v>70</v>
      </c>
      <c r="B900" s="3">
        <v>10</v>
      </c>
      <c r="C900" s="4" t="s">
        <v>69</v>
      </c>
      <c r="D900" s="2" t="s">
        <v>49</v>
      </c>
      <c r="E900" s="2" t="s">
        <v>42</v>
      </c>
      <c r="F900" s="5">
        <v>0</v>
      </c>
      <c r="G900" s="1">
        <v>0</v>
      </c>
      <c r="H900" s="2">
        <v>5</v>
      </c>
      <c r="I900" s="6">
        <v>4.3981481481481484E-3</v>
      </c>
      <c r="J900" s="2"/>
      <c r="K900" s="2"/>
      <c r="L900" s="2" t="s">
        <v>48</v>
      </c>
      <c r="M900" s="2" t="s">
        <v>78</v>
      </c>
      <c r="N900" s="2" t="s">
        <v>62</v>
      </c>
    </row>
    <row r="901" spans="1:14" x14ac:dyDescent="0.5">
      <c r="A901" s="2" t="s">
        <v>14</v>
      </c>
      <c r="B901" s="3">
        <v>1</v>
      </c>
      <c r="C901" s="4" t="s">
        <v>15</v>
      </c>
      <c r="D901" s="2" t="s">
        <v>38</v>
      </c>
      <c r="E901" s="2" t="s">
        <v>68</v>
      </c>
      <c r="F901" s="5">
        <v>2</v>
      </c>
      <c r="G901" s="1">
        <v>12000000</v>
      </c>
      <c r="H901" s="2">
        <v>1</v>
      </c>
      <c r="I901" s="6">
        <v>4.5138888888888893E-3</v>
      </c>
      <c r="J901" s="2" t="s">
        <v>18</v>
      </c>
      <c r="K901" s="2" t="s">
        <v>47</v>
      </c>
      <c r="L901" s="2" t="s">
        <v>25</v>
      </c>
      <c r="M901" s="2" t="s">
        <v>66</v>
      </c>
      <c r="N901" s="2" t="s">
        <v>36</v>
      </c>
    </row>
    <row r="902" spans="1:14" x14ac:dyDescent="0.5">
      <c r="A902" s="2" t="s">
        <v>14</v>
      </c>
      <c r="B902" s="3">
        <v>1</v>
      </c>
      <c r="C902" s="4" t="s">
        <v>15</v>
      </c>
      <c r="D902" s="2" t="s">
        <v>28</v>
      </c>
      <c r="E902" s="2" t="s">
        <v>23</v>
      </c>
      <c r="F902" s="5">
        <v>2</v>
      </c>
      <c r="G902" s="1">
        <v>12000000</v>
      </c>
      <c r="H902" s="2">
        <v>1</v>
      </c>
      <c r="I902" s="6">
        <v>4.5138888888888893E-3</v>
      </c>
      <c r="J902" s="2" t="s">
        <v>18</v>
      </c>
      <c r="K902" s="2" t="s">
        <v>39</v>
      </c>
      <c r="L902" s="2" t="s">
        <v>48</v>
      </c>
      <c r="M902" s="2" t="s">
        <v>76</v>
      </c>
      <c r="N902" s="2" t="s">
        <v>26</v>
      </c>
    </row>
    <row r="903" spans="1:14" x14ac:dyDescent="0.5">
      <c r="A903" s="2" t="s">
        <v>14</v>
      </c>
      <c r="B903" s="3">
        <v>1</v>
      </c>
      <c r="C903" s="4" t="s">
        <v>15</v>
      </c>
      <c r="D903" s="2" t="s">
        <v>32</v>
      </c>
      <c r="E903" s="2" t="s">
        <v>42</v>
      </c>
      <c r="F903" s="5">
        <v>5</v>
      </c>
      <c r="G903" s="1">
        <v>25000000</v>
      </c>
      <c r="H903" s="2">
        <v>2</v>
      </c>
      <c r="I903" s="6">
        <v>4.5138888888888893E-3</v>
      </c>
      <c r="J903" s="2" t="s">
        <v>18</v>
      </c>
      <c r="K903" s="2" t="s">
        <v>47</v>
      </c>
      <c r="L903" s="2" t="s">
        <v>48</v>
      </c>
      <c r="M903" s="2" t="s">
        <v>78</v>
      </c>
      <c r="N903" s="2" t="s">
        <v>53</v>
      </c>
    </row>
    <row r="904" spans="1:14" x14ac:dyDescent="0.5">
      <c r="A904" s="2" t="s">
        <v>14</v>
      </c>
      <c r="B904" s="3">
        <v>12</v>
      </c>
      <c r="C904" s="4" t="s">
        <v>60</v>
      </c>
      <c r="D904" s="2" t="s">
        <v>73</v>
      </c>
      <c r="E904" s="2" t="s">
        <v>42</v>
      </c>
      <c r="F904" s="5">
        <v>4</v>
      </c>
      <c r="G904" s="1">
        <v>11000000</v>
      </c>
      <c r="H904" s="2">
        <v>1</v>
      </c>
      <c r="I904" s="6">
        <v>4.5138888888888893E-3</v>
      </c>
      <c r="J904" s="2" t="s">
        <v>61</v>
      </c>
      <c r="K904" s="2" t="s">
        <v>24</v>
      </c>
      <c r="L904" s="2" t="s">
        <v>30</v>
      </c>
      <c r="M904" s="2" t="s">
        <v>76</v>
      </c>
      <c r="N904" s="2" t="s">
        <v>26</v>
      </c>
    </row>
    <row r="905" spans="1:14" x14ac:dyDescent="0.5">
      <c r="A905" s="2" t="s">
        <v>14</v>
      </c>
      <c r="B905" s="3">
        <v>27</v>
      </c>
      <c r="C905" s="4" t="s">
        <v>22</v>
      </c>
      <c r="D905" s="2" t="s">
        <v>38</v>
      </c>
      <c r="E905" s="2" t="s">
        <v>23</v>
      </c>
      <c r="F905" s="5">
        <v>3</v>
      </c>
      <c r="G905" s="1">
        <v>15000000</v>
      </c>
      <c r="H905" s="2">
        <v>4</v>
      </c>
      <c r="I905" s="6">
        <v>4.5138888888888893E-3</v>
      </c>
      <c r="J905" s="2" t="s">
        <v>18</v>
      </c>
      <c r="K905" s="2" t="s">
        <v>39</v>
      </c>
      <c r="L905" s="2" t="s">
        <v>43</v>
      </c>
      <c r="M905" s="2" t="s">
        <v>78</v>
      </c>
      <c r="N905" s="2" t="s">
        <v>63</v>
      </c>
    </row>
    <row r="906" spans="1:14" x14ac:dyDescent="0.5">
      <c r="A906" s="2" t="s">
        <v>14</v>
      </c>
      <c r="B906" s="3">
        <v>16</v>
      </c>
      <c r="C906" s="4" t="s">
        <v>22</v>
      </c>
      <c r="D906" s="2" t="s">
        <v>73</v>
      </c>
      <c r="E906" s="2" t="s">
        <v>23</v>
      </c>
      <c r="F906" s="5">
        <v>5</v>
      </c>
      <c r="G906" s="1">
        <v>20000000</v>
      </c>
      <c r="H906" s="2">
        <v>3</v>
      </c>
      <c r="I906" s="6">
        <v>4.5138888888888893E-3</v>
      </c>
      <c r="J906" s="2" t="s">
        <v>18</v>
      </c>
      <c r="K906" s="2" t="s">
        <v>50</v>
      </c>
      <c r="L906" s="2" t="s">
        <v>51</v>
      </c>
      <c r="M906" s="2" t="s">
        <v>78</v>
      </c>
      <c r="N906" s="2" t="s">
        <v>41</v>
      </c>
    </row>
    <row r="907" spans="1:14" x14ac:dyDescent="0.5">
      <c r="A907" s="2" t="s">
        <v>14</v>
      </c>
      <c r="B907" s="3">
        <v>24</v>
      </c>
      <c r="C907" s="4" t="s">
        <v>27</v>
      </c>
      <c r="D907" s="2" t="s">
        <v>16</v>
      </c>
      <c r="E907" s="2" t="s">
        <v>17</v>
      </c>
      <c r="F907" s="5">
        <v>3</v>
      </c>
      <c r="G907" s="1">
        <v>15000000</v>
      </c>
      <c r="H907" s="2">
        <v>5</v>
      </c>
      <c r="I907" s="6">
        <v>4.5138888888888893E-3</v>
      </c>
      <c r="J907" s="2" t="s">
        <v>18</v>
      </c>
      <c r="K907" s="2" t="s">
        <v>19</v>
      </c>
      <c r="L907" s="2" t="s">
        <v>30</v>
      </c>
      <c r="M907" s="2" t="s">
        <v>76</v>
      </c>
      <c r="N907" s="2" t="s">
        <v>52</v>
      </c>
    </row>
    <row r="908" spans="1:14" x14ac:dyDescent="0.5">
      <c r="A908" s="2" t="s">
        <v>14</v>
      </c>
      <c r="B908" s="3">
        <v>30</v>
      </c>
      <c r="C908" s="4" t="s">
        <v>27</v>
      </c>
      <c r="D908" s="2" t="s">
        <v>49</v>
      </c>
      <c r="E908" s="2" t="s">
        <v>42</v>
      </c>
      <c r="F908" s="5">
        <v>2</v>
      </c>
      <c r="G908" s="1">
        <v>12000000</v>
      </c>
      <c r="H908" s="2">
        <v>4</v>
      </c>
      <c r="I908" s="6">
        <v>4.5138888888888893E-3</v>
      </c>
      <c r="J908" s="2" t="s">
        <v>18</v>
      </c>
      <c r="K908" s="2" t="s">
        <v>29</v>
      </c>
      <c r="L908" s="2" t="s">
        <v>30</v>
      </c>
      <c r="M908" s="2" t="s">
        <v>78</v>
      </c>
      <c r="N908" s="2" t="s">
        <v>41</v>
      </c>
    </row>
    <row r="909" spans="1:14" x14ac:dyDescent="0.5">
      <c r="A909" s="2" t="s">
        <v>14</v>
      </c>
      <c r="B909" s="3">
        <v>11</v>
      </c>
      <c r="C909" s="4" t="s">
        <v>27</v>
      </c>
      <c r="D909" s="2" t="s">
        <v>16</v>
      </c>
      <c r="E909" s="2" t="s">
        <v>23</v>
      </c>
      <c r="F909" s="5">
        <v>5</v>
      </c>
      <c r="G909" s="1">
        <v>21000000</v>
      </c>
      <c r="H909" s="2">
        <v>1</v>
      </c>
      <c r="I909" s="6">
        <v>4.5138888888888893E-3</v>
      </c>
      <c r="J909" s="2" t="s">
        <v>18</v>
      </c>
      <c r="K909" s="2" t="s">
        <v>29</v>
      </c>
      <c r="L909" s="2" t="s">
        <v>51</v>
      </c>
      <c r="M909" s="2" t="s">
        <v>77</v>
      </c>
      <c r="N909" s="2" t="s">
        <v>65</v>
      </c>
    </row>
    <row r="910" spans="1:14" x14ac:dyDescent="0.5">
      <c r="A910" s="2" t="s">
        <v>14</v>
      </c>
      <c r="B910" s="3">
        <v>8</v>
      </c>
      <c r="C910" s="4" t="s">
        <v>37</v>
      </c>
      <c r="D910" s="2" t="s">
        <v>28</v>
      </c>
      <c r="E910" s="2" t="s">
        <v>23</v>
      </c>
      <c r="F910" s="5">
        <v>1</v>
      </c>
      <c r="G910" s="1">
        <v>19000000</v>
      </c>
      <c r="H910" s="2">
        <v>3</v>
      </c>
      <c r="I910" s="6">
        <v>4.5138888888888893E-3</v>
      </c>
      <c r="J910" s="2" t="s">
        <v>46</v>
      </c>
      <c r="K910" s="2" t="s">
        <v>29</v>
      </c>
      <c r="L910" s="2" t="s">
        <v>33</v>
      </c>
      <c r="M910" s="2" t="s">
        <v>76</v>
      </c>
      <c r="N910" s="2" t="s">
        <v>31</v>
      </c>
    </row>
    <row r="911" spans="1:14" x14ac:dyDescent="0.5">
      <c r="A911" s="2" t="s">
        <v>14</v>
      </c>
      <c r="B911" s="3">
        <v>26</v>
      </c>
      <c r="C911" s="4" t="s">
        <v>37</v>
      </c>
      <c r="D911" s="2" t="s">
        <v>16</v>
      </c>
      <c r="E911" s="2" t="s">
        <v>17</v>
      </c>
      <c r="F911" s="5">
        <v>2</v>
      </c>
      <c r="G911" s="1">
        <v>38000000</v>
      </c>
      <c r="H911" s="2">
        <v>4</v>
      </c>
      <c r="I911" s="6">
        <v>4.5138888888888893E-3</v>
      </c>
      <c r="J911" s="2" t="s">
        <v>46</v>
      </c>
      <c r="K911" s="2" t="s">
        <v>19</v>
      </c>
      <c r="L911" s="2" t="s">
        <v>33</v>
      </c>
      <c r="M911" s="2" t="s">
        <v>66</v>
      </c>
      <c r="N911" s="2" t="s">
        <v>67</v>
      </c>
    </row>
    <row r="912" spans="1:14" x14ac:dyDescent="0.5">
      <c r="A912" s="2" t="s">
        <v>14</v>
      </c>
      <c r="B912" s="3">
        <v>10</v>
      </c>
      <c r="C912" s="4" t="s">
        <v>37</v>
      </c>
      <c r="D912" s="2" t="s">
        <v>16</v>
      </c>
      <c r="E912" s="2" t="s">
        <v>23</v>
      </c>
      <c r="F912" s="5">
        <v>4</v>
      </c>
      <c r="G912" s="1">
        <v>11000000</v>
      </c>
      <c r="H912" s="2">
        <v>5</v>
      </c>
      <c r="I912" s="6">
        <v>4.5138888888888893E-3</v>
      </c>
      <c r="J912" s="2" t="s">
        <v>61</v>
      </c>
      <c r="K912" s="2" t="s">
        <v>35</v>
      </c>
      <c r="L912" s="2" t="s">
        <v>43</v>
      </c>
      <c r="M912" s="2" t="s">
        <v>66</v>
      </c>
      <c r="N912" s="2" t="s">
        <v>36</v>
      </c>
    </row>
    <row r="913" spans="1:14" x14ac:dyDescent="0.5">
      <c r="A913" s="2" t="s">
        <v>14</v>
      </c>
      <c r="B913" s="3">
        <v>31</v>
      </c>
      <c r="C913" s="4" t="s">
        <v>37</v>
      </c>
      <c r="D913" s="2" t="s">
        <v>38</v>
      </c>
      <c r="E913" s="2" t="s">
        <v>42</v>
      </c>
      <c r="F913" s="5">
        <v>5</v>
      </c>
      <c r="G913" s="1">
        <v>21000000</v>
      </c>
      <c r="H913" s="2">
        <v>5</v>
      </c>
      <c r="I913" s="6">
        <v>4.5138888888888893E-3</v>
      </c>
      <c r="J913" s="2" t="s">
        <v>18</v>
      </c>
      <c r="K913" s="2" t="s">
        <v>39</v>
      </c>
      <c r="L913" s="2" t="s">
        <v>20</v>
      </c>
      <c r="M913" s="2" t="s">
        <v>76</v>
      </c>
      <c r="N913" s="2" t="s">
        <v>26</v>
      </c>
    </row>
    <row r="914" spans="1:14" x14ac:dyDescent="0.5">
      <c r="A914" s="2" t="s">
        <v>14</v>
      </c>
      <c r="B914" s="3">
        <v>11</v>
      </c>
      <c r="C914" s="4" t="s">
        <v>37</v>
      </c>
      <c r="D914" s="2" t="s">
        <v>32</v>
      </c>
      <c r="E914" s="2" t="s">
        <v>17</v>
      </c>
      <c r="F914" s="5">
        <v>5</v>
      </c>
      <c r="G914" s="1">
        <v>25000000</v>
      </c>
      <c r="H914" s="2">
        <v>2</v>
      </c>
      <c r="I914" s="6">
        <v>4.5138888888888893E-3</v>
      </c>
      <c r="J914" s="2" t="s">
        <v>18</v>
      </c>
      <c r="K914" s="2" t="s">
        <v>39</v>
      </c>
      <c r="L914" s="2" t="s">
        <v>33</v>
      </c>
      <c r="M914" s="2" t="s">
        <v>78</v>
      </c>
      <c r="N914" s="2" t="s">
        <v>53</v>
      </c>
    </row>
    <row r="915" spans="1:14" x14ac:dyDescent="0.5">
      <c r="A915" s="2" t="s">
        <v>14</v>
      </c>
      <c r="B915" s="3">
        <v>5</v>
      </c>
      <c r="C915" s="4" t="s">
        <v>37</v>
      </c>
      <c r="D915" s="2" t="s">
        <v>28</v>
      </c>
      <c r="E915" s="2" t="s">
        <v>23</v>
      </c>
      <c r="F915" s="5">
        <v>4</v>
      </c>
      <c r="G915" s="1">
        <v>20000000</v>
      </c>
      <c r="H915" s="2">
        <v>4</v>
      </c>
      <c r="I915" s="6">
        <v>4.5138888888888893E-3</v>
      </c>
      <c r="J915" s="2" t="s">
        <v>18</v>
      </c>
      <c r="K915" s="2" t="s">
        <v>64</v>
      </c>
      <c r="L915" s="2" t="s">
        <v>20</v>
      </c>
      <c r="M915" s="2" t="s">
        <v>78</v>
      </c>
      <c r="N915" s="2" t="s">
        <v>63</v>
      </c>
    </row>
    <row r="916" spans="1:14" x14ac:dyDescent="0.5">
      <c r="A916" s="2" t="s">
        <v>14</v>
      </c>
      <c r="B916" s="3">
        <v>28</v>
      </c>
      <c r="C916" s="4" t="s">
        <v>37</v>
      </c>
      <c r="D916" s="2" t="s">
        <v>49</v>
      </c>
      <c r="E916" s="2" t="s">
        <v>17</v>
      </c>
      <c r="F916" s="5">
        <v>1</v>
      </c>
      <c r="G916" s="1">
        <v>7000000</v>
      </c>
      <c r="H916" s="2">
        <v>5</v>
      </c>
      <c r="I916" s="6">
        <v>4.5138888888888893E-3</v>
      </c>
      <c r="J916" s="2" t="s">
        <v>18</v>
      </c>
      <c r="K916" s="2" t="s">
        <v>19</v>
      </c>
      <c r="L916" s="2" t="s">
        <v>43</v>
      </c>
      <c r="M916" s="2" t="s">
        <v>77</v>
      </c>
      <c r="N916" s="2" t="s">
        <v>54</v>
      </c>
    </row>
    <row r="917" spans="1:14" x14ac:dyDescent="0.5">
      <c r="A917" s="2" t="s">
        <v>14</v>
      </c>
      <c r="B917" s="3">
        <v>4</v>
      </c>
      <c r="C917" s="4" t="s">
        <v>44</v>
      </c>
      <c r="D917" s="2" t="s">
        <v>28</v>
      </c>
      <c r="E917" s="2" t="s">
        <v>23</v>
      </c>
      <c r="F917" s="5">
        <v>2</v>
      </c>
      <c r="G917" s="1">
        <v>38000000</v>
      </c>
      <c r="H917" s="2">
        <v>4</v>
      </c>
      <c r="I917" s="6">
        <v>4.5138888888888893E-3</v>
      </c>
      <c r="J917" s="2" t="s">
        <v>46</v>
      </c>
      <c r="K917" s="2" t="s">
        <v>64</v>
      </c>
      <c r="L917" s="2" t="s">
        <v>20</v>
      </c>
      <c r="M917" s="2" t="s">
        <v>76</v>
      </c>
      <c r="N917" s="2" t="s">
        <v>31</v>
      </c>
    </row>
    <row r="918" spans="1:14" x14ac:dyDescent="0.5">
      <c r="A918" s="2" t="s">
        <v>14</v>
      </c>
      <c r="B918" s="3">
        <v>15</v>
      </c>
      <c r="C918" s="4" t="s">
        <v>44</v>
      </c>
      <c r="D918" s="2" t="s">
        <v>28</v>
      </c>
      <c r="E918" s="2" t="s">
        <v>45</v>
      </c>
      <c r="F918" s="5">
        <v>1</v>
      </c>
      <c r="G918" s="1">
        <v>19000000</v>
      </c>
      <c r="H918" s="2">
        <v>7</v>
      </c>
      <c r="I918" s="6">
        <v>4.5138888888888893E-3</v>
      </c>
      <c r="J918" s="2" t="s">
        <v>46</v>
      </c>
      <c r="K918" s="2" t="s">
        <v>47</v>
      </c>
      <c r="L918" s="2" t="s">
        <v>51</v>
      </c>
      <c r="M918" s="2" t="s">
        <v>77</v>
      </c>
      <c r="N918" s="2" t="s">
        <v>54</v>
      </c>
    </row>
    <row r="919" spans="1:14" x14ac:dyDescent="0.5">
      <c r="A919" s="2" t="s">
        <v>14</v>
      </c>
      <c r="B919" s="3">
        <v>22</v>
      </c>
      <c r="C919" s="4" t="s">
        <v>44</v>
      </c>
      <c r="D919" s="2" t="s">
        <v>49</v>
      </c>
      <c r="E919" s="2" t="s">
        <v>42</v>
      </c>
      <c r="F919" s="5">
        <v>4</v>
      </c>
      <c r="G919" s="1">
        <v>20000000</v>
      </c>
      <c r="H919" s="2">
        <v>3</v>
      </c>
      <c r="I919" s="6">
        <v>4.5138888888888893E-3</v>
      </c>
      <c r="J919" s="2" t="s">
        <v>61</v>
      </c>
      <c r="K919" s="2" t="s">
        <v>56</v>
      </c>
      <c r="L919" s="2" t="s">
        <v>48</v>
      </c>
      <c r="M919" s="2" t="s">
        <v>76</v>
      </c>
      <c r="N919" s="2" t="s">
        <v>52</v>
      </c>
    </row>
    <row r="920" spans="1:14" x14ac:dyDescent="0.5">
      <c r="A920" s="2" t="s">
        <v>14</v>
      </c>
      <c r="B920" s="3">
        <v>3</v>
      </c>
      <c r="C920" s="4" t="s">
        <v>44</v>
      </c>
      <c r="D920" s="2" t="s">
        <v>28</v>
      </c>
      <c r="E920" s="2" t="s">
        <v>42</v>
      </c>
      <c r="F920" s="5">
        <v>2</v>
      </c>
      <c r="G920" s="1">
        <v>12000000</v>
      </c>
      <c r="H920" s="2">
        <v>2</v>
      </c>
      <c r="I920" s="6">
        <v>4.5138888888888893E-3</v>
      </c>
      <c r="J920" s="2" t="s">
        <v>18</v>
      </c>
      <c r="K920" s="2" t="s">
        <v>19</v>
      </c>
      <c r="L920" s="2" t="s">
        <v>25</v>
      </c>
      <c r="M920" s="2" t="s">
        <v>78</v>
      </c>
      <c r="N920" s="2" t="s">
        <v>63</v>
      </c>
    </row>
    <row r="921" spans="1:14" x14ac:dyDescent="0.5">
      <c r="A921" s="2" t="s">
        <v>14</v>
      </c>
      <c r="B921" s="3">
        <v>15</v>
      </c>
      <c r="C921" s="4" t="s">
        <v>44</v>
      </c>
      <c r="D921" s="2" t="s">
        <v>16</v>
      </c>
      <c r="E921" s="2" t="s">
        <v>23</v>
      </c>
      <c r="F921" s="5">
        <v>2</v>
      </c>
      <c r="G921" s="1">
        <v>12000000</v>
      </c>
      <c r="H921" s="2">
        <v>3</v>
      </c>
      <c r="I921" s="6">
        <v>4.5138888888888893E-3</v>
      </c>
      <c r="J921" s="2" t="s">
        <v>18</v>
      </c>
      <c r="K921" s="2" t="s">
        <v>35</v>
      </c>
      <c r="L921" s="2" t="s">
        <v>30</v>
      </c>
      <c r="M921" s="2" t="s">
        <v>78</v>
      </c>
      <c r="N921" s="2" t="s">
        <v>53</v>
      </c>
    </row>
    <row r="922" spans="1:14" x14ac:dyDescent="0.5">
      <c r="A922" s="2" t="s">
        <v>14</v>
      </c>
      <c r="B922" s="3">
        <v>3</v>
      </c>
      <c r="C922" s="4" t="s">
        <v>44</v>
      </c>
      <c r="D922" s="2" t="s">
        <v>16</v>
      </c>
      <c r="E922" s="2" t="s">
        <v>17</v>
      </c>
      <c r="F922" s="5">
        <v>2</v>
      </c>
      <c r="G922" s="1">
        <v>12000000</v>
      </c>
      <c r="H922" s="2">
        <v>3</v>
      </c>
      <c r="I922" s="6">
        <v>4.5138888888888893E-3</v>
      </c>
      <c r="J922" s="2" t="s">
        <v>18</v>
      </c>
      <c r="K922" s="2" t="s">
        <v>29</v>
      </c>
      <c r="L922" s="2" t="s">
        <v>33</v>
      </c>
      <c r="M922" s="2" t="s">
        <v>76</v>
      </c>
      <c r="N922" s="2" t="s">
        <v>31</v>
      </c>
    </row>
    <row r="923" spans="1:14" x14ac:dyDescent="0.5">
      <c r="A923" s="2" t="s">
        <v>14</v>
      </c>
      <c r="B923" s="3">
        <v>11</v>
      </c>
      <c r="C923" s="4" t="s">
        <v>44</v>
      </c>
      <c r="D923" s="2" t="s">
        <v>49</v>
      </c>
      <c r="E923" s="2" t="s">
        <v>45</v>
      </c>
      <c r="F923" s="5">
        <v>3</v>
      </c>
      <c r="G923" s="1">
        <v>15000000</v>
      </c>
      <c r="H923" s="2">
        <v>3</v>
      </c>
      <c r="I923" s="6">
        <v>4.5138888888888893E-3</v>
      </c>
      <c r="J923" s="2" t="s">
        <v>18</v>
      </c>
      <c r="K923" s="2" t="s">
        <v>64</v>
      </c>
      <c r="L923" s="2" t="s">
        <v>33</v>
      </c>
      <c r="M923" s="2" t="s">
        <v>77</v>
      </c>
      <c r="N923" s="2" t="s">
        <v>54</v>
      </c>
    </row>
    <row r="924" spans="1:14" x14ac:dyDescent="0.5">
      <c r="A924" s="2" t="s">
        <v>14</v>
      </c>
      <c r="B924" s="3">
        <v>22</v>
      </c>
      <c r="C924" s="4" t="s">
        <v>44</v>
      </c>
      <c r="D924" s="2" t="s">
        <v>73</v>
      </c>
      <c r="E924" s="2" t="s">
        <v>42</v>
      </c>
      <c r="F924" s="5">
        <v>3</v>
      </c>
      <c r="G924" s="1">
        <v>15000000</v>
      </c>
      <c r="H924" s="2">
        <v>4</v>
      </c>
      <c r="I924" s="6">
        <v>4.5138888888888893E-3</v>
      </c>
      <c r="J924" s="2" t="s">
        <v>18</v>
      </c>
      <c r="K924" s="2" t="s">
        <v>19</v>
      </c>
      <c r="L924" s="2" t="s">
        <v>33</v>
      </c>
      <c r="M924" s="2" t="s">
        <v>78</v>
      </c>
      <c r="N924" s="2" t="s">
        <v>62</v>
      </c>
    </row>
    <row r="925" spans="1:14" x14ac:dyDescent="0.5">
      <c r="A925" s="2" t="s">
        <v>14</v>
      </c>
      <c r="B925" s="3">
        <v>20</v>
      </c>
      <c r="C925" s="4" t="s">
        <v>44</v>
      </c>
      <c r="D925" s="2" t="s">
        <v>16</v>
      </c>
      <c r="E925" s="2" t="s">
        <v>42</v>
      </c>
      <c r="F925" s="5">
        <v>3</v>
      </c>
      <c r="G925" s="1">
        <v>15000000</v>
      </c>
      <c r="H925" s="2">
        <v>6</v>
      </c>
      <c r="I925" s="6">
        <v>4.5138888888888893E-3</v>
      </c>
      <c r="J925" s="2" t="s">
        <v>18</v>
      </c>
      <c r="K925" s="2" t="s">
        <v>35</v>
      </c>
      <c r="L925" s="2" t="s">
        <v>20</v>
      </c>
      <c r="M925" s="2" t="s">
        <v>66</v>
      </c>
      <c r="N925" s="2" t="s">
        <v>67</v>
      </c>
    </row>
    <row r="926" spans="1:14" x14ac:dyDescent="0.5">
      <c r="A926" s="2" t="s">
        <v>14</v>
      </c>
      <c r="B926" s="3">
        <v>30</v>
      </c>
      <c r="C926" s="4" t="s">
        <v>44</v>
      </c>
      <c r="D926" s="2" t="s">
        <v>73</v>
      </c>
      <c r="E926" s="2" t="s">
        <v>42</v>
      </c>
      <c r="F926" s="5">
        <v>1</v>
      </c>
      <c r="G926" s="1">
        <v>7000000</v>
      </c>
      <c r="H926" s="2">
        <v>3</v>
      </c>
      <c r="I926" s="6">
        <v>4.5138888888888893E-3</v>
      </c>
      <c r="J926" s="2" t="s">
        <v>18</v>
      </c>
      <c r="K926" s="2" t="s">
        <v>19</v>
      </c>
      <c r="L926" s="2" t="s">
        <v>48</v>
      </c>
      <c r="M926" s="2" t="s">
        <v>76</v>
      </c>
      <c r="N926" s="2" t="s">
        <v>31</v>
      </c>
    </row>
    <row r="927" spans="1:14" x14ac:dyDescent="0.5">
      <c r="A927" s="2" t="s">
        <v>14</v>
      </c>
      <c r="B927" s="3">
        <v>2</v>
      </c>
      <c r="C927" s="4" t="s">
        <v>69</v>
      </c>
      <c r="D927" s="2" t="s">
        <v>28</v>
      </c>
      <c r="E927" s="2" t="s">
        <v>42</v>
      </c>
      <c r="F927" s="5">
        <v>3</v>
      </c>
      <c r="G927" s="1">
        <v>12000000</v>
      </c>
      <c r="H927" s="2">
        <v>3</v>
      </c>
      <c r="I927" s="6">
        <v>4.5138888888888893E-3</v>
      </c>
      <c r="J927" s="2" t="s">
        <v>18</v>
      </c>
      <c r="K927" s="2" t="s">
        <v>39</v>
      </c>
      <c r="L927" s="2" t="s">
        <v>30</v>
      </c>
      <c r="M927" s="2" t="s">
        <v>76</v>
      </c>
      <c r="N927" s="2" t="s">
        <v>31</v>
      </c>
    </row>
    <row r="928" spans="1:14" x14ac:dyDescent="0.5">
      <c r="A928" s="2" t="s">
        <v>14</v>
      </c>
      <c r="B928" s="3">
        <v>17</v>
      </c>
      <c r="C928" s="4" t="s">
        <v>69</v>
      </c>
      <c r="D928" s="2" t="s">
        <v>16</v>
      </c>
      <c r="E928" s="2" t="s">
        <v>42</v>
      </c>
      <c r="F928" s="5">
        <v>3</v>
      </c>
      <c r="G928" s="1">
        <v>11000000</v>
      </c>
      <c r="H928" s="2">
        <v>4</v>
      </c>
      <c r="I928" s="6">
        <v>4.5138888888888893E-3</v>
      </c>
      <c r="J928" s="2" t="s">
        <v>18</v>
      </c>
      <c r="K928" s="2" t="s">
        <v>47</v>
      </c>
      <c r="L928" s="2" t="s">
        <v>43</v>
      </c>
      <c r="M928" s="2" t="s">
        <v>78</v>
      </c>
      <c r="N928" s="2" t="s">
        <v>41</v>
      </c>
    </row>
    <row r="929" spans="1:14" x14ac:dyDescent="0.5">
      <c r="A929" s="2" t="s">
        <v>14</v>
      </c>
      <c r="B929" s="3">
        <v>24</v>
      </c>
      <c r="C929" s="4" t="s">
        <v>69</v>
      </c>
      <c r="D929" s="2" t="s">
        <v>32</v>
      </c>
      <c r="E929" s="2" t="s">
        <v>17</v>
      </c>
      <c r="F929" s="5">
        <v>5</v>
      </c>
      <c r="G929" s="1">
        <v>25000000</v>
      </c>
      <c r="H929" s="2">
        <v>6</v>
      </c>
      <c r="I929" s="6">
        <v>4.5138888888888893E-3</v>
      </c>
      <c r="J929" s="2" t="s">
        <v>18</v>
      </c>
      <c r="K929" s="2" t="s">
        <v>35</v>
      </c>
      <c r="L929" s="2" t="s">
        <v>51</v>
      </c>
      <c r="M929" s="2" t="s">
        <v>78</v>
      </c>
      <c r="N929" s="2" t="s">
        <v>62</v>
      </c>
    </row>
    <row r="930" spans="1:14" x14ac:dyDescent="0.5">
      <c r="A930" s="2" t="s">
        <v>14</v>
      </c>
      <c r="B930" s="3">
        <v>28</v>
      </c>
      <c r="C930" s="4" t="s">
        <v>69</v>
      </c>
      <c r="D930" s="2" t="s">
        <v>73</v>
      </c>
      <c r="E930" s="2" t="s">
        <v>42</v>
      </c>
      <c r="F930" s="5">
        <v>4</v>
      </c>
      <c r="G930" s="1">
        <v>20000000</v>
      </c>
      <c r="H930" s="2">
        <v>2</v>
      </c>
      <c r="I930" s="6">
        <v>4.5138888888888893E-3</v>
      </c>
      <c r="J930" s="2" t="s">
        <v>18</v>
      </c>
      <c r="K930" s="2" t="s">
        <v>39</v>
      </c>
      <c r="L930" s="2" t="s">
        <v>51</v>
      </c>
      <c r="M930" s="2" t="s">
        <v>76</v>
      </c>
      <c r="N930" s="2" t="s">
        <v>31</v>
      </c>
    </row>
    <row r="931" spans="1:14" x14ac:dyDescent="0.5">
      <c r="A931" s="2" t="s">
        <v>14</v>
      </c>
      <c r="B931" s="3">
        <v>1</v>
      </c>
      <c r="C931" s="4" t="s">
        <v>15</v>
      </c>
      <c r="D931" s="2" t="s">
        <v>38</v>
      </c>
      <c r="E931" s="2" t="s">
        <v>68</v>
      </c>
      <c r="F931" s="5">
        <v>2</v>
      </c>
      <c r="G931" s="1">
        <v>12000000</v>
      </c>
      <c r="H931" s="2">
        <v>1</v>
      </c>
      <c r="I931" s="6">
        <v>4.5138888888888893E-3</v>
      </c>
      <c r="J931" s="2" t="s">
        <v>18</v>
      </c>
      <c r="K931" s="2" t="s">
        <v>47</v>
      </c>
      <c r="L931" s="2" t="s">
        <v>25</v>
      </c>
      <c r="M931" s="2" t="s">
        <v>66</v>
      </c>
      <c r="N931" s="2" t="s">
        <v>36</v>
      </c>
    </row>
    <row r="932" spans="1:14" x14ac:dyDescent="0.5">
      <c r="A932" s="2" t="s">
        <v>14</v>
      </c>
      <c r="B932" s="3">
        <v>1</v>
      </c>
      <c r="C932" s="4" t="s">
        <v>15</v>
      </c>
      <c r="D932" s="2" t="s">
        <v>28</v>
      </c>
      <c r="E932" s="2" t="s">
        <v>23</v>
      </c>
      <c r="F932" s="5">
        <v>2</v>
      </c>
      <c r="G932" s="1">
        <v>12000000</v>
      </c>
      <c r="H932" s="2">
        <v>1</v>
      </c>
      <c r="I932" s="6">
        <v>4.5138888888888893E-3</v>
      </c>
      <c r="J932" s="2" t="s">
        <v>18</v>
      </c>
      <c r="K932" s="2" t="s">
        <v>39</v>
      </c>
      <c r="L932" s="2" t="s">
        <v>48</v>
      </c>
      <c r="M932" s="2" t="s">
        <v>76</v>
      </c>
      <c r="N932" s="2" t="s">
        <v>26</v>
      </c>
    </row>
    <row r="933" spans="1:14" x14ac:dyDescent="0.5">
      <c r="A933" s="2" t="s">
        <v>14</v>
      </c>
      <c r="B933" s="3">
        <v>1</v>
      </c>
      <c r="C933" s="4" t="s">
        <v>15</v>
      </c>
      <c r="D933" s="2" t="s">
        <v>32</v>
      </c>
      <c r="E933" s="2" t="s">
        <v>42</v>
      </c>
      <c r="F933" s="5">
        <v>5</v>
      </c>
      <c r="G933" s="1">
        <v>25000000</v>
      </c>
      <c r="H933" s="2">
        <v>2</v>
      </c>
      <c r="I933" s="6">
        <v>4.5138888888888893E-3</v>
      </c>
      <c r="J933" s="2" t="s">
        <v>18</v>
      </c>
      <c r="K933" s="2" t="s">
        <v>47</v>
      </c>
      <c r="L933" s="2" t="s">
        <v>48</v>
      </c>
      <c r="M933" s="2" t="s">
        <v>78</v>
      </c>
      <c r="N933" s="2" t="s">
        <v>53</v>
      </c>
    </row>
    <row r="934" spans="1:14" x14ac:dyDescent="0.5">
      <c r="A934" s="2" t="s">
        <v>14</v>
      </c>
      <c r="B934" s="3">
        <v>12</v>
      </c>
      <c r="C934" s="4" t="s">
        <v>60</v>
      </c>
      <c r="D934" s="2" t="s">
        <v>73</v>
      </c>
      <c r="E934" s="2" t="s">
        <v>42</v>
      </c>
      <c r="F934" s="5">
        <v>4</v>
      </c>
      <c r="G934" s="1">
        <v>11000000</v>
      </c>
      <c r="H934" s="2">
        <v>1</v>
      </c>
      <c r="I934" s="6">
        <v>4.5138888888888893E-3</v>
      </c>
      <c r="J934" s="2" t="s">
        <v>61</v>
      </c>
      <c r="K934" s="2" t="s">
        <v>24</v>
      </c>
      <c r="L934" s="2" t="s">
        <v>30</v>
      </c>
      <c r="M934" s="2" t="s">
        <v>76</v>
      </c>
      <c r="N934" s="2" t="s">
        <v>26</v>
      </c>
    </row>
    <row r="935" spans="1:14" x14ac:dyDescent="0.5">
      <c r="A935" s="2" t="s">
        <v>70</v>
      </c>
      <c r="B935" s="3">
        <v>19</v>
      </c>
      <c r="C935" s="4" t="s">
        <v>58</v>
      </c>
      <c r="D935" s="2" t="s">
        <v>16</v>
      </c>
      <c r="E935" s="2" t="s">
        <v>23</v>
      </c>
      <c r="F935" s="5">
        <v>0</v>
      </c>
      <c r="G935" s="1">
        <v>0</v>
      </c>
      <c r="H935" s="2">
        <v>3</v>
      </c>
      <c r="I935" s="6">
        <v>4.5138888888888893E-3</v>
      </c>
      <c r="J935" s="2"/>
      <c r="K935" s="2"/>
      <c r="L935" s="2" t="s">
        <v>25</v>
      </c>
      <c r="M935" s="2" t="s">
        <v>66</v>
      </c>
      <c r="N935" s="2" t="s">
        <v>36</v>
      </c>
    </row>
    <row r="936" spans="1:14" x14ac:dyDescent="0.5">
      <c r="A936" s="2" t="s">
        <v>70</v>
      </c>
      <c r="B936" s="3">
        <v>3</v>
      </c>
      <c r="C936" s="4" t="s">
        <v>72</v>
      </c>
      <c r="D936" s="2" t="s">
        <v>16</v>
      </c>
      <c r="E936" s="2" t="s">
        <v>23</v>
      </c>
      <c r="F936" s="5">
        <v>0</v>
      </c>
      <c r="G936" s="1">
        <v>0</v>
      </c>
      <c r="H936" s="2">
        <v>1</v>
      </c>
      <c r="I936" s="6">
        <v>4.5138888888888893E-3</v>
      </c>
      <c r="J936" s="2"/>
      <c r="K936" s="2"/>
      <c r="L936" s="2" t="s">
        <v>48</v>
      </c>
      <c r="M936" s="2" t="s">
        <v>76</v>
      </c>
      <c r="N936" s="2" t="s">
        <v>31</v>
      </c>
    </row>
    <row r="937" spans="1:14" x14ac:dyDescent="0.5">
      <c r="A937" s="2" t="s">
        <v>70</v>
      </c>
      <c r="B937" s="3">
        <v>23</v>
      </c>
      <c r="C937" s="4" t="s">
        <v>27</v>
      </c>
      <c r="D937" s="2" t="s">
        <v>38</v>
      </c>
      <c r="E937" s="2" t="s">
        <v>23</v>
      </c>
      <c r="F937" s="5">
        <v>0</v>
      </c>
      <c r="G937" s="1">
        <v>0</v>
      </c>
      <c r="H937" s="2">
        <v>3</v>
      </c>
      <c r="I937" s="6">
        <v>4.5138888888888893E-3</v>
      </c>
      <c r="J937" s="2"/>
      <c r="K937" s="2"/>
      <c r="L937" s="2" t="s">
        <v>51</v>
      </c>
      <c r="M937" s="2" t="s">
        <v>78</v>
      </c>
      <c r="N937" s="2" t="s">
        <v>41</v>
      </c>
    </row>
    <row r="938" spans="1:14" x14ac:dyDescent="0.5">
      <c r="A938" s="2" t="s">
        <v>70</v>
      </c>
      <c r="B938" s="3">
        <v>5</v>
      </c>
      <c r="C938" s="4" t="s">
        <v>37</v>
      </c>
      <c r="D938" s="2" t="s">
        <v>16</v>
      </c>
      <c r="E938" s="2" t="s">
        <v>17</v>
      </c>
      <c r="F938" s="5">
        <v>0</v>
      </c>
      <c r="G938" s="1">
        <v>0</v>
      </c>
      <c r="H938" s="2">
        <v>1</v>
      </c>
      <c r="I938" s="6">
        <v>4.5138888888888893E-3</v>
      </c>
      <c r="J938" s="2"/>
      <c r="K938" s="2"/>
      <c r="L938" s="2" t="s">
        <v>30</v>
      </c>
      <c r="M938" s="2" t="s">
        <v>78</v>
      </c>
      <c r="N938" s="2" t="s">
        <v>62</v>
      </c>
    </row>
    <row r="939" spans="1:14" x14ac:dyDescent="0.5">
      <c r="A939" s="2" t="s">
        <v>70</v>
      </c>
      <c r="B939" s="3">
        <v>10</v>
      </c>
      <c r="C939" s="4" t="s">
        <v>37</v>
      </c>
      <c r="D939" s="2" t="s">
        <v>49</v>
      </c>
      <c r="E939" s="2" t="s">
        <v>23</v>
      </c>
      <c r="F939" s="5">
        <v>0</v>
      </c>
      <c r="G939" s="1">
        <v>0</v>
      </c>
      <c r="H939" s="2">
        <v>6</v>
      </c>
      <c r="I939" s="6">
        <v>4.5138888888888893E-3</v>
      </c>
      <c r="J939" s="2"/>
      <c r="K939" s="2"/>
      <c r="L939" s="2" t="s">
        <v>43</v>
      </c>
      <c r="M939" s="2" t="s">
        <v>77</v>
      </c>
      <c r="N939" s="2" t="s">
        <v>65</v>
      </c>
    </row>
    <row r="940" spans="1:14" x14ac:dyDescent="0.5">
      <c r="A940" s="2" t="s">
        <v>70</v>
      </c>
      <c r="B940" s="3">
        <v>24</v>
      </c>
      <c r="C940" s="4" t="s">
        <v>37</v>
      </c>
      <c r="D940" s="2" t="s">
        <v>49</v>
      </c>
      <c r="E940" s="2" t="s">
        <v>42</v>
      </c>
      <c r="F940" s="5">
        <v>0</v>
      </c>
      <c r="G940" s="1">
        <v>0</v>
      </c>
      <c r="H940" s="2">
        <v>3</v>
      </c>
      <c r="I940" s="6">
        <v>4.5138888888888893E-3</v>
      </c>
      <c r="J940" s="2"/>
      <c r="K940" s="2"/>
      <c r="L940" s="2" t="s">
        <v>25</v>
      </c>
      <c r="M940" s="2" t="s">
        <v>66</v>
      </c>
      <c r="N940" s="2" t="s">
        <v>67</v>
      </c>
    </row>
    <row r="941" spans="1:14" x14ac:dyDescent="0.5">
      <c r="A941" s="2" t="s">
        <v>70</v>
      </c>
      <c r="B941" s="3">
        <v>29</v>
      </c>
      <c r="C941" s="4" t="s">
        <v>69</v>
      </c>
      <c r="D941" s="2" t="s">
        <v>38</v>
      </c>
      <c r="E941" s="2" t="s">
        <v>42</v>
      </c>
      <c r="F941" s="5">
        <v>0</v>
      </c>
      <c r="G941" s="1">
        <v>0</v>
      </c>
      <c r="H941" s="2">
        <v>3</v>
      </c>
      <c r="I941" s="6">
        <v>4.5138888888888893E-3</v>
      </c>
      <c r="J941" s="2"/>
      <c r="K941" s="2"/>
      <c r="L941" s="2" t="s">
        <v>43</v>
      </c>
      <c r="M941" s="2" t="s">
        <v>76</v>
      </c>
      <c r="N941" s="2" t="s">
        <v>26</v>
      </c>
    </row>
    <row r="942" spans="1:14" x14ac:dyDescent="0.5">
      <c r="A942" s="2" t="s">
        <v>70</v>
      </c>
      <c r="B942" s="3">
        <v>30</v>
      </c>
      <c r="C942" s="4" t="s">
        <v>69</v>
      </c>
      <c r="D942" s="2" t="s">
        <v>28</v>
      </c>
      <c r="E942" s="2" t="s">
        <v>68</v>
      </c>
      <c r="F942" s="5">
        <v>0</v>
      </c>
      <c r="G942" s="1">
        <v>0</v>
      </c>
      <c r="H942" s="2">
        <v>1</v>
      </c>
      <c r="I942" s="6">
        <v>4.5138888888888893E-3</v>
      </c>
      <c r="J942" s="2"/>
      <c r="K942" s="2"/>
      <c r="L942" s="2" t="s">
        <v>25</v>
      </c>
      <c r="M942" s="2" t="s">
        <v>78</v>
      </c>
      <c r="N942" s="2" t="s">
        <v>21</v>
      </c>
    </row>
    <row r="943" spans="1:14" x14ac:dyDescent="0.5">
      <c r="A943" s="2" t="s">
        <v>70</v>
      </c>
      <c r="B943" s="3">
        <v>21</v>
      </c>
      <c r="C943" s="4" t="s">
        <v>69</v>
      </c>
      <c r="D943" s="2" t="s">
        <v>16</v>
      </c>
      <c r="E943" s="2" t="s">
        <v>23</v>
      </c>
      <c r="F943" s="5">
        <v>0</v>
      </c>
      <c r="G943" s="1">
        <v>0</v>
      </c>
      <c r="H943" s="2">
        <v>2</v>
      </c>
      <c r="I943" s="6">
        <v>4.5138888888888893E-3</v>
      </c>
      <c r="J943" s="2"/>
      <c r="K943" s="2"/>
      <c r="L943" s="2" t="s">
        <v>48</v>
      </c>
      <c r="M943" s="2" t="s">
        <v>76</v>
      </c>
      <c r="N943" s="2" t="s">
        <v>26</v>
      </c>
    </row>
    <row r="944" spans="1:14" x14ac:dyDescent="0.5">
      <c r="A944" s="2" t="s">
        <v>70</v>
      </c>
      <c r="B944" s="3">
        <v>19</v>
      </c>
      <c r="C944" s="4" t="s">
        <v>58</v>
      </c>
      <c r="D944" s="2" t="s">
        <v>16</v>
      </c>
      <c r="E944" s="2" t="s">
        <v>23</v>
      </c>
      <c r="F944" s="5">
        <v>0</v>
      </c>
      <c r="G944" s="1">
        <v>0</v>
      </c>
      <c r="H944" s="2">
        <v>3</v>
      </c>
      <c r="I944" s="6">
        <v>4.5138888888888893E-3</v>
      </c>
      <c r="J944" s="2"/>
      <c r="K944" s="2"/>
      <c r="L944" s="2" t="s">
        <v>25</v>
      </c>
      <c r="M944" s="2" t="s">
        <v>66</v>
      </c>
      <c r="N944" s="2" t="s">
        <v>36</v>
      </c>
    </row>
    <row r="945" spans="1:14" x14ac:dyDescent="0.5">
      <c r="A945" s="2" t="s">
        <v>70</v>
      </c>
      <c r="B945" s="3">
        <v>3</v>
      </c>
      <c r="C945" s="4" t="s">
        <v>72</v>
      </c>
      <c r="D945" s="2" t="s">
        <v>16</v>
      </c>
      <c r="E945" s="2" t="s">
        <v>23</v>
      </c>
      <c r="F945" s="5">
        <v>0</v>
      </c>
      <c r="G945" s="1">
        <v>0</v>
      </c>
      <c r="H945" s="2">
        <v>1</v>
      </c>
      <c r="I945" s="6">
        <v>4.5138888888888893E-3</v>
      </c>
      <c r="J945" s="2"/>
      <c r="K945" s="2"/>
      <c r="L945" s="2" t="s">
        <v>48</v>
      </c>
      <c r="M945" s="2" t="s">
        <v>76</v>
      </c>
      <c r="N945" s="2" t="s">
        <v>31</v>
      </c>
    </row>
    <row r="946" spans="1:14" x14ac:dyDescent="0.5">
      <c r="A946" s="2" t="s">
        <v>14</v>
      </c>
      <c r="B946" s="3">
        <v>19</v>
      </c>
      <c r="C946" s="4" t="s">
        <v>57</v>
      </c>
      <c r="D946" s="2" t="s">
        <v>28</v>
      </c>
      <c r="E946" s="2" t="s">
        <v>45</v>
      </c>
      <c r="F946" s="5">
        <v>2</v>
      </c>
      <c r="G946" s="1">
        <v>12000000</v>
      </c>
      <c r="H946" s="2">
        <v>3</v>
      </c>
      <c r="I946" s="6">
        <v>4.9768518518518521E-3</v>
      </c>
      <c r="J946" s="2" t="s">
        <v>18</v>
      </c>
      <c r="K946" s="2" t="s">
        <v>24</v>
      </c>
      <c r="L946" s="2" t="s">
        <v>48</v>
      </c>
      <c r="M946" s="2" t="s">
        <v>76</v>
      </c>
      <c r="N946" s="2" t="s">
        <v>52</v>
      </c>
    </row>
    <row r="947" spans="1:14" x14ac:dyDescent="0.5">
      <c r="A947" s="2" t="s">
        <v>14</v>
      </c>
      <c r="B947" s="3">
        <v>22</v>
      </c>
      <c r="C947" s="4" t="s">
        <v>27</v>
      </c>
      <c r="D947" s="2" t="s">
        <v>73</v>
      </c>
      <c r="E947" s="2" t="s">
        <v>17</v>
      </c>
      <c r="F947" s="5">
        <v>4</v>
      </c>
      <c r="G947" s="1">
        <v>15000000</v>
      </c>
      <c r="H947" s="2">
        <v>2</v>
      </c>
      <c r="I947" s="6">
        <v>4.9768518518518521E-3</v>
      </c>
      <c r="J947" s="2" t="s">
        <v>18</v>
      </c>
      <c r="K947" s="2" t="s">
        <v>35</v>
      </c>
      <c r="L947" s="2" t="s">
        <v>43</v>
      </c>
      <c r="M947" s="2" t="s">
        <v>77</v>
      </c>
      <c r="N947" s="2" t="s">
        <v>54</v>
      </c>
    </row>
    <row r="948" spans="1:14" x14ac:dyDescent="0.5">
      <c r="A948" s="2" t="s">
        <v>14</v>
      </c>
      <c r="B948" s="3">
        <v>25</v>
      </c>
      <c r="C948" s="4" t="s">
        <v>37</v>
      </c>
      <c r="D948" s="2" t="s">
        <v>16</v>
      </c>
      <c r="E948" s="2" t="s">
        <v>42</v>
      </c>
      <c r="F948" s="5">
        <v>1</v>
      </c>
      <c r="G948" s="1">
        <v>19000000</v>
      </c>
      <c r="H948" s="2">
        <v>4</v>
      </c>
      <c r="I948" s="6">
        <v>4.9768518518518521E-3</v>
      </c>
      <c r="J948" s="2" t="s">
        <v>46</v>
      </c>
      <c r="K948" s="2" t="s">
        <v>64</v>
      </c>
      <c r="L948" s="2" t="s">
        <v>30</v>
      </c>
      <c r="M948" s="2" t="s">
        <v>66</v>
      </c>
      <c r="N948" s="2" t="s">
        <v>36</v>
      </c>
    </row>
    <row r="949" spans="1:14" x14ac:dyDescent="0.5">
      <c r="A949" s="2" t="s">
        <v>14</v>
      </c>
      <c r="B949" s="3">
        <v>31</v>
      </c>
      <c r="C949" s="4" t="s">
        <v>37</v>
      </c>
      <c r="D949" s="2" t="s">
        <v>16</v>
      </c>
      <c r="E949" s="2" t="s">
        <v>17</v>
      </c>
      <c r="F949" s="5">
        <v>3</v>
      </c>
      <c r="G949" s="1">
        <v>11000000</v>
      </c>
      <c r="H949" s="2">
        <v>1</v>
      </c>
      <c r="I949" s="6">
        <v>4.9768518518518521E-3</v>
      </c>
      <c r="J949" s="2" t="s">
        <v>18</v>
      </c>
      <c r="K949" s="2" t="s">
        <v>39</v>
      </c>
      <c r="L949" s="2" t="s">
        <v>33</v>
      </c>
      <c r="M949" s="2" t="s">
        <v>76</v>
      </c>
      <c r="N949" s="2" t="s">
        <v>26</v>
      </c>
    </row>
    <row r="950" spans="1:14" x14ac:dyDescent="0.5">
      <c r="A950" s="2" t="s">
        <v>14</v>
      </c>
      <c r="B950" s="3">
        <v>29</v>
      </c>
      <c r="C950" s="4" t="s">
        <v>37</v>
      </c>
      <c r="D950" s="2" t="s">
        <v>49</v>
      </c>
      <c r="E950" s="2" t="s">
        <v>23</v>
      </c>
      <c r="F950" s="5">
        <v>2</v>
      </c>
      <c r="G950" s="1">
        <v>12000000</v>
      </c>
      <c r="H950" s="2">
        <v>3</v>
      </c>
      <c r="I950" s="6">
        <v>4.9768518518518521E-3</v>
      </c>
      <c r="J950" s="2" t="s">
        <v>18</v>
      </c>
      <c r="K950" s="2" t="s">
        <v>39</v>
      </c>
      <c r="L950" s="2" t="s">
        <v>40</v>
      </c>
      <c r="M950" s="2" t="s">
        <v>76</v>
      </c>
      <c r="N950" s="2" t="s">
        <v>26</v>
      </c>
    </row>
    <row r="951" spans="1:14" x14ac:dyDescent="0.5">
      <c r="A951" s="2" t="s">
        <v>14</v>
      </c>
      <c r="B951" s="3">
        <v>2</v>
      </c>
      <c r="C951" s="4" t="s">
        <v>44</v>
      </c>
      <c r="D951" s="2" t="s">
        <v>49</v>
      </c>
      <c r="E951" s="2" t="s">
        <v>68</v>
      </c>
      <c r="F951" s="5">
        <v>2</v>
      </c>
      <c r="G951" s="1">
        <v>38000000</v>
      </c>
      <c r="H951" s="2">
        <v>1</v>
      </c>
      <c r="I951" s="6">
        <v>4.9768518518518521E-3</v>
      </c>
      <c r="J951" s="2" t="s">
        <v>46</v>
      </c>
      <c r="K951" s="2" t="s">
        <v>19</v>
      </c>
      <c r="L951" s="2" t="s">
        <v>30</v>
      </c>
      <c r="M951" s="2" t="s">
        <v>77</v>
      </c>
      <c r="N951" s="2" t="s">
        <v>54</v>
      </c>
    </row>
    <row r="952" spans="1:14" x14ac:dyDescent="0.5">
      <c r="A952" s="2" t="s">
        <v>14</v>
      </c>
      <c r="B952" s="3">
        <v>22</v>
      </c>
      <c r="C952" s="4" t="s">
        <v>44</v>
      </c>
      <c r="D952" s="2" t="s">
        <v>73</v>
      </c>
      <c r="E952" s="2" t="s">
        <v>23</v>
      </c>
      <c r="F952" s="5">
        <v>5</v>
      </c>
      <c r="G952" s="1">
        <v>25000000</v>
      </c>
      <c r="H952" s="2">
        <v>3</v>
      </c>
      <c r="I952" s="6">
        <v>4.9768518518518521E-3</v>
      </c>
      <c r="J952" s="2" t="s">
        <v>18</v>
      </c>
      <c r="K952" s="2" t="s">
        <v>56</v>
      </c>
      <c r="L952" s="2" t="s">
        <v>48</v>
      </c>
      <c r="M952" s="2" t="s">
        <v>76</v>
      </c>
      <c r="N952" s="2" t="s">
        <v>52</v>
      </c>
    </row>
    <row r="953" spans="1:14" x14ac:dyDescent="0.5">
      <c r="A953" s="2" t="s">
        <v>14</v>
      </c>
      <c r="B953" s="3">
        <v>29</v>
      </c>
      <c r="C953" s="4" t="s">
        <v>69</v>
      </c>
      <c r="D953" s="2" t="s">
        <v>16</v>
      </c>
      <c r="E953" s="2" t="s">
        <v>23</v>
      </c>
      <c r="F953" s="5">
        <v>1</v>
      </c>
      <c r="G953" s="1">
        <v>7000000</v>
      </c>
      <c r="H953" s="2">
        <v>1</v>
      </c>
      <c r="I953" s="6">
        <v>4.9768518518518521E-3</v>
      </c>
      <c r="J953" s="2" t="s">
        <v>18</v>
      </c>
      <c r="K953" s="2" t="s">
        <v>35</v>
      </c>
      <c r="L953" s="2" t="s">
        <v>30</v>
      </c>
      <c r="M953" s="2" t="s">
        <v>78</v>
      </c>
      <c r="N953" s="2" t="s">
        <v>62</v>
      </c>
    </row>
    <row r="954" spans="1:14" x14ac:dyDescent="0.5">
      <c r="A954" s="2" t="s">
        <v>14</v>
      </c>
      <c r="B954" s="3">
        <v>19</v>
      </c>
      <c r="C954" s="4" t="s">
        <v>57</v>
      </c>
      <c r="D954" s="2" t="s">
        <v>28</v>
      </c>
      <c r="E954" s="2" t="s">
        <v>45</v>
      </c>
      <c r="F954" s="5">
        <v>2</v>
      </c>
      <c r="G954" s="1">
        <v>12000000</v>
      </c>
      <c r="H954" s="2">
        <v>3</v>
      </c>
      <c r="I954" s="6">
        <v>4.9768518518518521E-3</v>
      </c>
      <c r="J954" s="2" t="s">
        <v>18</v>
      </c>
      <c r="K954" s="2" t="s">
        <v>24</v>
      </c>
      <c r="L954" s="2" t="s">
        <v>48</v>
      </c>
      <c r="M954" s="2" t="s">
        <v>76</v>
      </c>
      <c r="N954" s="2" t="s">
        <v>52</v>
      </c>
    </row>
    <row r="955" spans="1:14" x14ac:dyDescent="0.5">
      <c r="A955" s="2" t="s">
        <v>70</v>
      </c>
      <c r="B955" s="3">
        <v>28</v>
      </c>
      <c r="C955" s="4" t="s">
        <v>27</v>
      </c>
      <c r="D955" s="2" t="s">
        <v>38</v>
      </c>
      <c r="E955" s="2" t="s">
        <v>42</v>
      </c>
      <c r="F955" s="5">
        <v>0</v>
      </c>
      <c r="G955" s="1">
        <v>0</v>
      </c>
      <c r="H955" s="2">
        <v>1</v>
      </c>
      <c r="I955" s="6">
        <v>4.9768518518518521E-3</v>
      </c>
      <c r="J955" s="2"/>
      <c r="K955" s="2"/>
      <c r="L955" s="2" t="s">
        <v>51</v>
      </c>
      <c r="M955" s="2" t="s">
        <v>78</v>
      </c>
      <c r="N955" s="2" t="s">
        <v>66</v>
      </c>
    </row>
    <row r="956" spans="1:14" x14ac:dyDescent="0.5">
      <c r="A956" s="2" t="s">
        <v>70</v>
      </c>
      <c r="B956" s="3">
        <v>5</v>
      </c>
      <c r="C956" s="4" t="s">
        <v>37</v>
      </c>
      <c r="D956" s="2" t="s">
        <v>38</v>
      </c>
      <c r="E956" s="2" t="s">
        <v>42</v>
      </c>
      <c r="F956" s="5">
        <v>0</v>
      </c>
      <c r="G956" s="1">
        <v>0</v>
      </c>
      <c r="H956" s="2">
        <v>2</v>
      </c>
      <c r="I956" s="6">
        <v>4.9768518518518521E-3</v>
      </c>
      <c r="J956" s="2"/>
      <c r="K956" s="2"/>
      <c r="L956" s="2" t="s">
        <v>20</v>
      </c>
      <c r="M956" s="2" t="s">
        <v>78</v>
      </c>
      <c r="N956" s="2" t="s">
        <v>53</v>
      </c>
    </row>
    <row r="957" spans="1:14" x14ac:dyDescent="0.5">
      <c r="A957" s="2" t="s">
        <v>70</v>
      </c>
      <c r="B957" s="3">
        <v>29</v>
      </c>
      <c r="C957" s="4" t="s">
        <v>37</v>
      </c>
      <c r="D957" s="2" t="s">
        <v>32</v>
      </c>
      <c r="E957" s="2" t="s">
        <v>45</v>
      </c>
      <c r="F957" s="5">
        <v>0</v>
      </c>
      <c r="G957" s="1">
        <v>0</v>
      </c>
      <c r="H957" s="2">
        <v>5</v>
      </c>
      <c r="I957" s="6">
        <v>4.9768518518518521E-3</v>
      </c>
      <c r="J957" s="2"/>
      <c r="K957" s="2"/>
      <c r="L957" s="2" t="s">
        <v>25</v>
      </c>
      <c r="M957" s="2" t="s">
        <v>66</v>
      </c>
      <c r="N957" s="2" t="s">
        <v>36</v>
      </c>
    </row>
    <row r="958" spans="1:14" x14ac:dyDescent="0.5">
      <c r="A958" s="2" t="s">
        <v>70</v>
      </c>
      <c r="B958" s="3">
        <v>30</v>
      </c>
      <c r="C958" s="4" t="s">
        <v>44</v>
      </c>
      <c r="D958" s="2" t="s">
        <v>32</v>
      </c>
      <c r="E958" s="2" t="s">
        <v>42</v>
      </c>
      <c r="F958" s="5">
        <v>0</v>
      </c>
      <c r="G958" s="1">
        <v>0</v>
      </c>
      <c r="H958" s="2">
        <v>1</v>
      </c>
      <c r="I958" s="6">
        <v>4.9768518518518521E-3</v>
      </c>
      <c r="J958" s="2"/>
      <c r="K958" s="2"/>
      <c r="L958" s="2" t="s">
        <v>33</v>
      </c>
      <c r="M958" s="2" t="s">
        <v>78</v>
      </c>
      <c r="N958" s="2" t="s">
        <v>66</v>
      </c>
    </row>
    <row r="959" spans="1:14" x14ac:dyDescent="0.5">
      <c r="A959" s="2" t="s">
        <v>70</v>
      </c>
      <c r="B959" s="3">
        <v>15</v>
      </c>
      <c r="C959" s="4" t="s">
        <v>44</v>
      </c>
      <c r="D959" s="2" t="s">
        <v>49</v>
      </c>
      <c r="E959" s="2" t="s">
        <v>42</v>
      </c>
      <c r="F959" s="5">
        <v>0</v>
      </c>
      <c r="G959" s="1">
        <v>0</v>
      </c>
      <c r="H959" s="2">
        <v>4</v>
      </c>
      <c r="I959" s="6">
        <v>4.9768518518518521E-3</v>
      </c>
      <c r="J959" s="2"/>
      <c r="K959" s="2"/>
      <c r="L959" s="2" t="s">
        <v>51</v>
      </c>
      <c r="M959" s="2" t="s">
        <v>78</v>
      </c>
      <c r="N959" s="2" t="s">
        <v>66</v>
      </c>
    </row>
    <row r="960" spans="1:14" x14ac:dyDescent="0.5">
      <c r="A960" s="2" t="s">
        <v>14</v>
      </c>
      <c r="B960" s="3">
        <v>14</v>
      </c>
      <c r="C960" s="4" t="s">
        <v>55</v>
      </c>
      <c r="D960" s="2" t="s">
        <v>32</v>
      </c>
      <c r="E960" s="2" t="s">
        <v>17</v>
      </c>
      <c r="F960" s="5">
        <v>5</v>
      </c>
      <c r="G960" s="1">
        <v>20000000</v>
      </c>
      <c r="H960" s="2">
        <v>6</v>
      </c>
      <c r="I960" s="6">
        <v>5.0231481481481481E-3</v>
      </c>
      <c r="J960" s="2" t="s">
        <v>18</v>
      </c>
      <c r="K960" s="2" t="s">
        <v>47</v>
      </c>
      <c r="L960" s="2" t="s">
        <v>33</v>
      </c>
      <c r="M960" s="2" t="s">
        <v>78</v>
      </c>
      <c r="N960" s="2" t="s">
        <v>53</v>
      </c>
    </row>
    <row r="961" spans="1:14" x14ac:dyDescent="0.5">
      <c r="A961" s="2" t="s">
        <v>14</v>
      </c>
      <c r="B961" s="3">
        <v>11</v>
      </c>
      <c r="C961" s="4" t="s">
        <v>57</v>
      </c>
      <c r="D961" s="2" t="s">
        <v>16</v>
      </c>
      <c r="E961" s="2" t="s">
        <v>23</v>
      </c>
      <c r="F961" s="5">
        <v>1</v>
      </c>
      <c r="G961" s="1">
        <v>19000000</v>
      </c>
      <c r="H961" s="2">
        <v>3</v>
      </c>
      <c r="I961" s="6">
        <v>5.0231481481481481E-3</v>
      </c>
      <c r="J961" s="2" t="s">
        <v>46</v>
      </c>
      <c r="K961" s="2" t="s">
        <v>39</v>
      </c>
      <c r="L961" s="2" t="s">
        <v>48</v>
      </c>
      <c r="M961" s="2" t="s">
        <v>76</v>
      </c>
      <c r="N961" s="2" t="s">
        <v>26</v>
      </c>
    </row>
    <row r="962" spans="1:14" x14ac:dyDescent="0.5">
      <c r="A962" s="2" t="s">
        <v>14</v>
      </c>
      <c r="B962" s="3">
        <v>13</v>
      </c>
      <c r="C962" s="4" t="s">
        <v>59</v>
      </c>
      <c r="D962" s="2" t="s">
        <v>32</v>
      </c>
      <c r="E962" s="2" t="s">
        <v>42</v>
      </c>
      <c r="F962" s="5">
        <v>2</v>
      </c>
      <c r="G962" s="1">
        <v>12000000</v>
      </c>
      <c r="H962" s="2">
        <v>1</v>
      </c>
      <c r="I962" s="6">
        <v>5.0231481481481481E-3</v>
      </c>
      <c r="J962" s="2" t="s">
        <v>18</v>
      </c>
      <c r="K962" s="2" t="s">
        <v>39</v>
      </c>
      <c r="L962" s="2" t="s">
        <v>51</v>
      </c>
      <c r="M962" s="2" t="s">
        <v>76</v>
      </c>
      <c r="N962" s="2" t="s">
        <v>26</v>
      </c>
    </row>
    <row r="963" spans="1:14" x14ac:dyDescent="0.5">
      <c r="A963" s="2" t="s">
        <v>14</v>
      </c>
      <c r="B963" s="3">
        <v>28</v>
      </c>
      <c r="C963" s="4" t="s">
        <v>22</v>
      </c>
      <c r="D963" s="2" t="s">
        <v>32</v>
      </c>
      <c r="E963" s="2" t="s">
        <v>42</v>
      </c>
      <c r="F963" s="5">
        <v>2</v>
      </c>
      <c r="G963" s="1">
        <v>38000000</v>
      </c>
      <c r="H963" s="2">
        <v>5</v>
      </c>
      <c r="I963" s="6">
        <v>5.0231481481481481E-3</v>
      </c>
      <c r="J963" s="2" t="s">
        <v>46</v>
      </c>
      <c r="K963" s="2" t="s">
        <v>56</v>
      </c>
      <c r="L963" s="2" t="s">
        <v>51</v>
      </c>
      <c r="M963" s="2" t="s">
        <v>78</v>
      </c>
      <c r="N963" s="2" t="s">
        <v>41</v>
      </c>
    </row>
    <row r="964" spans="1:14" x14ac:dyDescent="0.5">
      <c r="A964" s="2" t="s">
        <v>14</v>
      </c>
      <c r="B964" s="3">
        <v>30</v>
      </c>
      <c r="C964" s="4" t="s">
        <v>27</v>
      </c>
      <c r="D964" s="2" t="s">
        <v>32</v>
      </c>
      <c r="E964" s="2" t="s">
        <v>17</v>
      </c>
      <c r="F964" s="5">
        <v>1</v>
      </c>
      <c r="G964" s="1">
        <v>7000000</v>
      </c>
      <c r="H964" s="2">
        <v>1</v>
      </c>
      <c r="I964" s="6">
        <v>5.0231481481481481E-3</v>
      </c>
      <c r="J964" s="2" t="s">
        <v>18</v>
      </c>
      <c r="K964" s="2" t="s">
        <v>35</v>
      </c>
      <c r="L964" s="2" t="s">
        <v>30</v>
      </c>
      <c r="M964" s="2" t="s">
        <v>77</v>
      </c>
      <c r="N964" s="2" t="s">
        <v>54</v>
      </c>
    </row>
    <row r="965" spans="1:14" x14ac:dyDescent="0.5">
      <c r="A965" s="2" t="s">
        <v>14</v>
      </c>
      <c r="B965" s="3">
        <v>20</v>
      </c>
      <c r="C965" s="4" t="s">
        <v>27</v>
      </c>
      <c r="D965" s="2" t="s">
        <v>32</v>
      </c>
      <c r="E965" s="2" t="s">
        <v>17</v>
      </c>
      <c r="F965" s="5">
        <v>2</v>
      </c>
      <c r="G965" s="1">
        <v>12000000</v>
      </c>
      <c r="H965" s="2">
        <v>2</v>
      </c>
      <c r="I965" s="6">
        <v>5.0231481481481481E-3</v>
      </c>
      <c r="J965" s="2" t="s">
        <v>18</v>
      </c>
      <c r="K965" s="2" t="s">
        <v>19</v>
      </c>
      <c r="L965" s="2" t="s">
        <v>43</v>
      </c>
      <c r="M965" s="2" t="s">
        <v>78</v>
      </c>
      <c r="N965" s="2" t="s">
        <v>41</v>
      </c>
    </row>
    <row r="966" spans="1:14" x14ac:dyDescent="0.5">
      <c r="A966" s="2" t="s">
        <v>14</v>
      </c>
      <c r="B966" s="3">
        <v>22</v>
      </c>
      <c r="C966" s="4" t="s">
        <v>37</v>
      </c>
      <c r="D966" s="2" t="s">
        <v>16</v>
      </c>
      <c r="E966" s="2" t="s">
        <v>17</v>
      </c>
      <c r="F966" s="5">
        <v>2</v>
      </c>
      <c r="G966" s="1">
        <v>12000000</v>
      </c>
      <c r="H966" s="2">
        <v>2</v>
      </c>
      <c r="I966" s="6">
        <v>5.0231481481481481E-3</v>
      </c>
      <c r="J966" s="2" t="s">
        <v>18</v>
      </c>
      <c r="K966" s="2" t="s">
        <v>29</v>
      </c>
      <c r="L966" s="2" t="s">
        <v>25</v>
      </c>
      <c r="M966" s="2" t="s">
        <v>76</v>
      </c>
      <c r="N966" s="2" t="s">
        <v>52</v>
      </c>
    </row>
    <row r="967" spans="1:14" x14ac:dyDescent="0.5">
      <c r="A967" s="2" t="s">
        <v>14</v>
      </c>
      <c r="B967" s="3">
        <v>17</v>
      </c>
      <c r="C967" s="4" t="s">
        <v>44</v>
      </c>
      <c r="D967" s="2" t="s">
        <v>38</v>
      </c>
      <c r="E967" s="2" t="s">
        <v>45</v>
      </c>
      <c r="F967" s="5">
        <v>3</v>
      </c>
      <c r="G967" s="1">
        <v>15000000</v>
      </c>
      <c r="H967" s="2">
        <v>2</v>
      </c>
      <c r="I967" s="6">
        <v>5.0231481481481481E-3</v>
      </c>
      <c r="J967" s="2" t="s">
        <v>18</v>
      </c>
      <c r="K967" s="2" t="s">
        <v>24</v>
      </c>
      <c r="L967" s="2" t="s">
        <v>25</v>
      </c>
      <c r="M967" s="2" t="s">
        <v>78</v>
      </c>
      <c r="N967" s="2" t="s">
        <v>66</v>
      </c>
    </row>
    <row r="968" spans="1:14" x14ac:dyDescent="0.5">
      <c r="A968" s="2" t="s">
        <v>14</v>
      </c>
      <c r="B968" s="3">
        <v>20</v>
      </c>
      <c r="C968" s="4" t="s">
        <v>44</v>
      </c>
      <c r="D968" s="2" t="s">
        <v>38</v>
      </c>
      <c r="E968" s="2" t="s">
        <v>42</v>
      </c>
      <c r="F968" s="5">
        <v>3</v>
      </c>
      <c r="G968" s="1">
        <v>11000000</v>
      </c>
      <c r="H968" s="2">
        <v>2</v>
      </c>
      <c r="I968" s="6">
        <v>5.0231481481481481E-3</v>
      </c>
      <c r="J968" s="2" t="s">
        <v>18</v>
      </c>
      <c r="K968" s="2" t="s">
        <v>39</v>
      </c>
      <c r="L968" s="2" t="s">
        <v>30</v>
      </c>
      <c r="M968" s="2" t="s">
        <v>76</v>
      </c>
      <c r="N968" s="2" t="s">
        <v>26</v>
      </c>
    </row>
    <row r="969" spans="1:14" x14ac:dyDescent="0.5">
      <c r="A969" s="2" t="s">
        <v>14</v>
      </c>
      <c r="B969" s="3">
        <v>22</v>
      </c>
      <c r="C969" s="4" t="s">
        <v>44</v>
      </c>
      <c r="D969" s="2" t="s">
        <v>16</v>
      </c>
      <c r="E969" s="2" t="s">
        <v>68</v>
      </c>
      <c r="F969" s="5">
        <v>5</v>
      </c>
      <c r="G969" s="1">
        <v>25000000</v>
      </c>
      <c r="H969" s="2">
        <v>4</v>
      </c>
      <c r="I969" s="6">
        <v>5.0231481481481481E-3</v>
      </c>
      <c r="J969" s="2" t="s">
        <v>18</v>
      </c>
      <c r="K969" s="2" t="s">
        <v>24</v>
      </c>
      <c r="L969" s="2" t="s">
        <v>20</v>
      </c>
      <c r="M969" s="2" t="s">
        <v>76</v>
      </c>
      <c r="N969" s="2" t="s">
        <v>52</v>
      </c>
    </row>
    <row r="970" spans="1:14" x14ac:dyDescent="0.5">
      <c r="A970" s="2" t="s">
        <v>14</v>
      </c>
      <c r="B970" s="3">
        <v>3</v>
      </c>
      <c r="C970" s="4" t="s">
        <v>44</v>
      </c>
      <c r="D970" s="2" t="s">
        <v>32</v>
      </c>
      <c r="E970" s="2" t="s">
        <v>17</v>
      </c>
      <c r="F970" s="5">
        <v>4</v>
      </c>
      <c r="G970" s="1">
        <v>15000000</v>
      </c>
      <c r="H970" s="2">
        <v>3</v>
      </c>
      <c r="I970" s="6">
        <v>5.0231481481481481E-3</v>
      </c>
      <c r="J970" s="2" t="s">
        <v>18</v>
      </c>
      <c r="K970" s="2" t="s">
        <v>64</v>
      </c>
      <c r="L970" s="2" t="s">
        <v>51</v>
      </c>
      <c r="M970" s="2" t="s">
        <v>78</v>
      </c>
      <c r="N970" s="2" t="s">
        <v>41</v>
      </c>
    </row>
    <row r="971" spans="1:14" x14ac:dyDescent="0.5">
      <c r="A971" s="2" t="s">
        <v>14</v>
      </c>
      <c r="B971" s="3">
        <v>14</v>
      </c>
      <c r="C971" s="4" t="s">
        <v>55</v>
      </c>
      <c r="D971" s="2" t="s">
        <v>32</v>
      </c>
      <c r="E971" s="2" t="s">
        <v>17</v>
      </c>
      <c r="F971" s="5">
        <v>5</v>
      </c>
      <c r="G971" s="1">
        <v>20000000</v>
      </c>
      <c r="H971" s="2">
        <v>6</v>
      </c>
      <c r="I971" s="6">
        <v>5.0231481481481481E-3</v>
      </c>
      <c r="J971" s="2" t="s">
        <v>18</v>
      </c>
      <c r="K971" s="2" t="s">
        <v>47</v>
      </c>
      <c r="L971" s="2" t="s">
        <v>33</v>
      </c>
      <c r="M971" s="2" t="s">
        <v>78</v>
      </c>
      <c r="N971" s="2" t="s">
        <v>53</v>
      </c>
    </row>
    <row r="972" spans="1:14" x14ac:dyDescent="0.5">
      <c r="A972" s="2" t="s">
        <v>14</v>
      </c>
      <c r="B972" s="3">
        <v>11</v>
      </c>
      <c r="C972" s="4" t="s">
        <v>57</v>
      </c>
      <c r="D972" s="2" t="s">
        <v>16</v>
      </c>
      <c r="E972" s="2" t="s">
        <v>23</v>
      </c>
      <c r="F972" s="5">
        <v>1</v>
      </c>
      <c r="G972" s="1">
        <v>19000000</v>
      </c>
      <c r="H972" s="2">
        <v>3</v>
      </c>
      <c r="I972" s="6">
        <v>5.0231481481481481E-3</v>
      </c>
      <c r="J972" s="2" t="s">
        <v>46</v>
      </c>
      <c r="K972" s="2" t="s">
        <v>39</v>
      </c>
      <c r="L972" s="2" t="s">
        <v>48</v>
      </c>
      <c r="M972" s="2" t="s">
        <v>76</v>
      </c>
      <c r="N972" s="2" t="s">
        <v>26</v>
      </c>
    </row>
    <row r="973" spans="1:14" x14ac:dyDescent="0.5">
      <c r="A973" s="2" t="s">
        <v>14</v>
      </c>
      <c r="B973" s="3">
        <v>13</v>
      </c>
      <c r="C973" s="4" t="s">
        <v>59</v>
      </c>
      <c r="D973" s="2" t="s">
        <v>32</v>
      </c>
      <c r="E973" s="2" t="s">
        <v>42</v>
      </c>
      <c r="F973" s="5">
        <v>2</v>
      </c>
      <c r="G973" s="1">
        <v>12000000</v>
      </c>
      <c r="H973" s="2">
        <v>1</v>
      </c>
      <c r="I973" s="6">
        <v>5.0231481481481481E-3</v>
      </c>
      <c r="J973" s="2" t="s">
        <v>18</v>
      </c>
      <c r="K973" s="2" t="s">
        <v>39</v>
      </c>
      <c r="L973" s="2" t="s">
        <v>51</v>
      </c>
      <c r="M973" s="2" t="s">
        <v>76</v>
      </c>
      <c r="N973" s="2" t="s">
        <v>26</v>
      </c>
    </row>
    <row r="974" spans="1:14" x14ac:dyDescent="0.5">
      <c r="A974" s="2" t="s">
        <v>14</v>
      </c>
      <c r="B974" s="3">
        <v>28</v>
      </c>
      <c r="C974" s="4" t="s">
        <v>22</v>
      </c>
      <c r="D974" s="2" t="s">
        <v>32</v>
      </c>
      <c r="E974" s="2" t="s">
        <v>42</v>
      </c>
      <c r="F974" s="5">
        <v>2</v>
      </c>
      <c r="G974" s="1">
        <v>38000000</v>
      </c>
      <c r="H974" s="2">
        <v>5</v>
      </c>
      <c r="I974" s="6">
        <v>5.0231481481481481E-3</v>
      </c>
      <c r="J974" s="2" t="s">
        <v>46</v>
      </c>
      <c r="K974" s="2" t="s">
        <v>56</v>
      </c>
      <c r="L974" s="2" t="s">
        <v>51</v>
      </c>
      <c r="M974" s="2" t="s">
        <v>78</v>
      </c>
      <c r="N974" s="2" t="s">
        <v>41</v>
      </c>
    </row>
    <row r="975" spans="1:14" x14ac:dyDescent="0.5">
      <c r="A975" s="2" t="s">
        <v>70</v>
      </c>
      <c r="B975" s="3">
        <v>13</v>
      </c>
      <c r="C975" s="4" t="s">
        <v>58</v>
      </c>
      <c r="D975" s="2" t="s">
        <v>49</v>
      </c>
      <c r="E975" s="2" t="s">
        <v>42</v>
      </c>
      <c r="F975" s="5">
        <v>0</v>
      </c>
      <c r="G975" s="1">
        <v>0</v>
      </c>
      <c r="H975" s="2">
        <v>2</v>
      </c>
      <c r="I975" s="6">
        <v>5.0231481481481481E-3</v>
      </c>
      <c r="J975" s="2"/>
      <c r="K975" s="2"/>
      <c r="L975" s="2" t="s">
        <v>48</v>
      </c>
      <c r="M975" s="2" t="s">
        <v>77</v>
      </c>
      <c r="N975" s="2" t="s">
        <v>65</v>
      </c>
    </row>
    <row r="976" spans="1:14" x14ac:dyDescent="0.5">
      <c r="A976" s="2" t="s">
        <v>70</v>
      </c>
      <c r="B976" s="3">
        <v>11</v>
      </c>
      <c r="C976" s="4" t="s">
        <v>44</v>
      </c>
      <c r="D976" s="2" t="s">
        <v>32</v>
      </c>
      <c r="E976" s="2" t="s">
        <v>23</v>
      </c>
      <c r="F976" s="5">
        <v>0</v>
      </c>
      <c r="G976" s="1">
        <v>0</v>
      </c>
      <c r="H976" s="2">
        <v>2</v>
      </c>
      <c r="I976" s="6">
        <v>5.0231481481481481E-3</v>
      </c>
      <c r="J976" s="2"/>
      <c r="K976" s="2"/>
      <c r="L976" s="2" t="s">
        <v>33</v>
      </c>
      <c r="M976" s="2" t="s">
        <v>66</v>
      </c>
      <c r="N976" s="2" t="s">
        <v>36</v>
      </c>
    </row>
    <row r="977" spans="1:14" x14ac:dyDescent="0.5">
      <c r="A977" s="2" t="s">
        <v>70</v>
      </c>
      <c r="B977" s="3">
        <v>13</v>
      </c>
      <c r="C977" s="4" t="s">
        <v>58</v>
      </c>
      <c r="D977" s="2" t="s">
        <v>49</v>
      </c>
      <c r="E977" s="2" t="s">
        <v>42</v>
      </c>
      <c r="F977" s="5">
        <v>0</v>
      </c>
      <c r="G977" s="1">
        <v>0</v>
      </c>
      <c r="H977" s="2">
        <v>2</v>
      </c>
      <c r="I977" s="6">
        <v>5.0231481481481481E-3</v>
      </c>
      <c r="J977" s="2"/>
      <c r="K977" s="2"/>
      <c r="L977" s="2" t="s">
        <v>48</v>
      </c>
      <c r="M977" s="2" t="s">
        <v>77</v>
      </c>
      <c r="N977" s="2" t="s">
        <v>65</v>
      </c>
    </row>
    <row r="978" spans="1:14" x14ac:dyDescent="0.5">
      <c r="A978" s="2" t="s">
        <v>14</v>
      </c>
      <c r="B978" s="3">
        <v>11</v>
      </c>
      <c r="C978" s="4" t="s">
        <v>55</v>
      </c>
      <c r="D978" s="2" t="s">
        <v>16</v>
      </c>
      <c r="E978" s="2" t="s">
        <v>42</v>
      </c>
      <c r="F978" s="5">
        <v>2</v>
      </c>
      <c r="G978" s="1">
        <v>38000000</v>
      </c>
      <c r="H978" s="2">
        <v>4</v>
      </c>
      <c r="I978" s="6">
        <v>5.208333333333333E-3</v>
      </c>
      <c r="J978" s="2" t="s">
        <v>46</v>
      </c>
      <c r="K978" s="2" t="s">
        <v>47</v>
      </c>
      <c r="L978" s="2" t="s">
        <v>51</v>
      </c>
      <c r="M978" s="2" t="s">
        <v>66</v>
      </c>
      <c r="N978" s="2" t="s">
        <v>67</v>
      </c>
    </row>
    <row r="979" spans="1:14" x14ac:dyDescent="0.5">
      <c r="A979" s="2" t="s">
        <v>14</v>
      </c>
      <c r="B979" s="3">
        <v>6</v>
      </c>
      <c r="C979" s="4" t="s">
        <v>55</v>
      </c>
      <c r="D979" s="2" t="s">
        <v>32</v>
      </c>
      <c r="E979" s="2" t="s">
        <v>42</v>
      </c>
      <c r="F979" s="5">
        <v>5</v>
      </c>
      <c r="G979" s="1">
        <v>20000000</v>
      </c>
      <c r="H979" s="2">
        <v>3</v>
      </c>
      <c r="I979" s="6">
        <v>5.208333333333333E-3</v>
      </c>
      <c r="J979" s="2" t="s">
        <v>18</v>
      </c>
      <c r="K979" s="2" t="s">
        <v>29</v>
      </c>
      <c r="L979" s="2" t="s">
        <v>25</v>
      </c>
      <c r="M979" s="2" t="s">
        <v>76</v>
      </c>
      <c r="N979" s="2" t="s">
        <v>26</v>
      </c>
    </row>
    <row r="980" spans="1:14" x14ac:dyDescent="0.5">
      <c r="A980" s="2" t="s">
        <v>14</v>
      </c>
      <c r="B980" s="3">
        <v>1</v>
      </c>
      <c r="C980" s="4" t="s">
        <v>15</v>
      </c>
      <c r="D980" s="2" t="s">
        <v>16</v>
      </c>
      <c r="E980" s="2" t="s">
        <v>45</v>
      </c>
      <c r="F980" s="5">
        <v>2</v>
      </c>
      <c r="G980" s="1">
        <v>12000000</v>
      </c>
      <c r="H980" s="2">
        <v>1</v>
      </c>
      <c r="I980" s="6">
        <v>5.208333333333333E-3</v>
      </c>
      <c r="J980" s="2" t="s">
        <v>18</v>
      </c>
      <c r="K980" s="2" t="s">
        <v>19</v>
      </c>
      <c r="L980" s="2" t="s">
        <v>25</v>
      </c>
      <c r="M980" s="2" t="s">
        <v>77</v>
      </c>
      <c r="N980" s="2" t="s">
        <v>65</v>
      </c>
    </row>
    <row r="981" spans="1:14" x14ac:dyDescent="0.5">
      <c r="A981" s="2" t="s">
        <v>14</v>
      </c>
      <c r="B981" s="3">
        <v>10</v>
      </c>
      <c r="C981" s="4" t="s">
        <v>59</v>
      </c>
      <c r="D981" s="2" t="s">
        <v>38</v>
      </c>
      <c r="E981" s="2" t="s">
        <v>17</v>
      </c>
      <c r="F981" s="5">
        <v>2</v>
      </c>
      <c r="G981" s="1">
        <v>38000000</v>
      </c>
      <c r="H981" s="2">
        <v>2</v>
      </c>
      <c r="I981" s="6">
        <v>5.208333333333333E-3</v>
      </c>
      <c r="J981" s="2" t="s">
        <v>74</v>
      </c>
      <c r="K981" s="2" t="s">
        <v>47</v>
      </c>
      <c r="L981" s="2" t="s">
        <v>43</v>
      </c>
      <c r="M981" s="2" t="s">
        <v>76</v>
      </c>
      <c r="N981" s="2" t="s">
        <v>52</v>
      </c>
    </row>
    <row r="982" spans="1:14" x14ac:dyDescent="0.5">
      <c r="A982" s="2" t="s">
        <v>14</v>
      </c>
      <c r="B982" s="3">
        <v>1</v>
      </c>
      <c r="C982" s="4" t="s">
        <v>59</v>
      </c>
      <c r="D982" s="2" t="s">
        <v>73</v>
      </c>
      <c r="E982" s="2" t="s">
        <v>42</v>
      </c>
      <c r="F982" s="5">
        <v>3</v>
      </c>
      <c r="G982" s="1">
        <v>15000000</v>
      </c>
      <c r="H982" s="2">
        <v>1</v>
      </c>
      <c r="I982" s="6">
        <v>5.208333333333333E-3</v>
      </c>
      <c r="J982" s="2" t="s">
        <v>18</v>
      </c>
      <c r="K982" s="2" t="s">
        <v>56</v>
      </c>
      <c r="L982" s="2" t="s">
        <v>43</v>
      </c>
      <c r="M982" s="2" t="s">
        <v>78</v>
      </c>
      <c r="N982" s="2" t="s">
        <v>62</v>
      </c>
    </row>
    <row r="983" spans="1:14" x14ac:dyDescent="0.5">
      <c r="A983" s="2" t="s">
        <v>14</v>
      </c>
      <c r="B983" s="3">
        <v>30</v>
      </c>
      <c r="C983" s="4" t="s">
        <v>27</v>
      </c>
      <c r="D983" s="2" t="s">
        <v>32</v>
      </c>
      <c r="E983" s="2" t="s">
        <v>42</v>
      </c>
      <c r="F983" s="5">
        <v>1</v>
      </c>
      <c r="G983" s="1">
        <v>7000000</v>
      </c>
      <c r="H983" s="2">
        <v>2</v>
      </c>
      <c r="I983" s="6">
        <v>5.208333333333333E-3</v>
      </c>
      <c r="J983" s="2" t="s">
        <v>18</v>
      </c>
      <c r="K983" s="2" t="s">
        <v>29</v>
      </c>
      <c r="L983" s="2" t="s">
        <v>43</v>
      </c>
      <c r="M983" s="2" t="s">
        <v>78</v>
      </c>
      <c r="N983" s="2" t="s">
        <v>63</v>
      </c>
    </row>
    <row r="984" spans="1:14" x14ac:dyDescent="0.5">
      <c r="A984" s="2" t="s">
        <v>14</v>
      </c>
      <c r="B984" s="3">
        <v>27</v>
      </c>
      <c r="C984" s="4" t="s">
        <v>27</v>
      </c>
      <c r="D984" s="2" t="s">
        <v>16</v>
      </c>
      <c r="E984" s="2" t="s">
        <v>23</v>
      </c>
      <c r="F984" s="5">
        <v>1</v>
      </c>
      <c r="G984" s="1">
        <v>7000000</v>
      </c>
      <c r="H984" s="2">
        <v>1</v>
      </c>
      <c r="I984" s="6">
        <v>5.208333333333333E-3</v>
      </c>
      <c r="J984" s="2" t="s">
        <v>18</v>
      </c>
      <c r="K984" s="2" t="s">
        <v>50</v>
      </c>
      <c r="L984" s="2" t="s">
        <v>51</v>
      </c>
      <c r="M984" s="2" t="s">
        <v>66</v>
      </c>
      <c r="N984" s="2" t="s">
        <v>67</v>
      </c>
    </row>
    <row r="985" spans="1:14" x14ac:dyDescent="0.5">
      <c r="A985" s="2" t="s">
        <v>14</v>
      </c>
      <c r="B985" s="3">
        <v>15</v>
      </c>
      <c r="C985" s="4" t="s">
        <v>37</v>
      </c>
      <c r="D985" s="2" t="s">
        <v>32</v>
      </c>
      <c r="E985" s="2" t="s">
        <v>17</v>
      </c>
      <c r="F985" s="5">
        <v>1</v>
      </c>
      <c r="G985" s="1">
        <v>19000000</v>
      </c>
      <c r="H985" s="2">
        <v>2</v>
      </c>
      <c r="I985" s="6">
        <v>5.208333333333333E-3</v>
      </c>
      <c r="J985" s="2" t="s">
        <v>46</v>
      </c>
      <c r="K985" s="2" t="s">
        <v>19</v>
      </c>
      <c r="L985" s="2" t="s">
        <v>30</v>
      </c>
      <c r="M985" s="2" t="s">
        <v>77</v>
      </c>
      <c r="N985" s="2" t="s">
        <v>65</v>
      </c>
    </row>
    <row r="986" spans="1:14" x14ac:dyDescent="0.5">
      <c r="A986" s="2" t="s">
        <v>14</v>
      </c>
      <c r="B986" s="3">
        <v>5</v>
      </c>
      <c r="C986" s="4" t="s">
        <v>37</v>
      </c>
      <c r="D986" s="2" t="s">
        <v>16</v>
      </c>
      <c r="E986" s="2" t="s">
        <v>42</v>
      </c>
      <c r="F986" s="5">
        <v>4</v>
      </c>
      <c r="G986" s="1">
        <v>15000000</v>
      </c>
      <c r="H986" s="2">
        <v>6</v>
      </c>
      <c r="I986" s="6">
        <v>5.208333333333333E-3</v>
      </c>
      <c r="J986" s="2" t="s">
        <v>18</v>
      </c>
      <c r="K986" s="2" t="s">
        <v>50</v>
      </c>
      <c r="L986" s="2" t="s">
        <v>30</v>
      </c>
      <c r="M986" s="2" t="s">
        <v>66</v>
      </c>
      <c r="N986" s="2" t="s">
        <v>36</v>
      </c>
    </row>
    <row r="987" spans="1:14" x14ac:dyDescent="0.5">
      <c r="A987" s="2" t="s">
        <v>14</v>
      </c>
      <c r="B987" s="3">
        <v>6</v>
      </c>
      <c r="C987" s="4" t="s">
        <v>37</v>
      </c>
      <c r="D987" s="2" t="s">
        <v>49</v>
      </c>
      <c r="E987" s="2" t="s">
        <v>23</v>
      </c>
      <c r="F987" s="5">
        <v>5</v>
      </c>
      <c r="G987" s="1">
        <v>20000000</v>
      </c>
      <c r="H987" s="2">
        <v>6</v>
      </c>
      <c r="I987" s="6">
        <v>5.208333333333333E-3</v>
      </c>
      <c r="J987" s="2" t="s">
        <v>18</v>
      </c>
      <c r="K987" s="2" t="s">
        <v>29</v>
      </c>
      <c r="L987" s="2" t="s">
        <v>30</v>
      </c>
      <c r="M987" s="2" t="s">
        <v>78</v>
      </c>
      <c r="N987" s="2" t="s">
        <v>62</v>
      </c>
    </row>
    <row r="988" spans="1:14" x14ac:dyDescent="0.5">
      <c r="A988" s="2" t="s">
        <v>14</v>
      </c>
      <c r="B988" s="3">
        <v>12</v>
      </c>
      <c r="C988" s="4" t="s">
        <v>37</v>
      </c>
      <c r="D988" s="2" t="s">
        <v>73</v>
      </c>
      <c r="E988" s="2" t="s">
        <v>17</v>
      </c>
      <c r="F988" s="5">
        <v>2</v>
      </c>
      <c r="G988" s="1">
        <v>12000000</v>
      </c>
      <c r="H988" s="2">
        <v>2</v>
      </c>
      <c r="I988" s="6">
        <v>5.208333333333333E-3</v>
      </c>
      <c r="J988" s="2" t="s">
        <v>18</v>
      </c>
      <c r="K988" s="2" t="s">
        <v>19</v>
      </c>
      <c r="L988" s="2" t="s">
        <v>40</v>
      </c>
      <c r="M988" s="2" t="s">
        <v>77</v>
      </c>
      <c r="N988" s="2" t="s">
        <v>54</v>
      </c>
    </row>
    <row r="989" spans="1:14" x14ac:dyDescent="0.5">
      <c r="A989" s="2" t="s">
        <v>14</v>
      </c>
      <c r="B989" s="3">
        <v>28</v>
      </c>
      <c r="C989" s="4" t="s">
        <v>37</v>
      </c>
      <c r="D989" s="2" t="s">
        <v>28</v>
      </c>
      <c r="E989" s="2" t="s">
        <v>23</v>
      </c>
      <c r="F989" s="5">
        <v>2</v>
      </c>
      <c r="G989" s="1">
        <v>12000000</v>
      </c>
      <c r="H989" s="2">
        <v>2</v>
      </c>
      <c r="I989" s="6">
        <v>5.208333333333333E-3</v>
      </c>
      <c r="J989" s="2" t="s">
        <v>18</v>
      </c>
      <c r="K989" s="2" t="s">
        <v>19</v>
      </c>
      <c r="L989" s="2" t="s">
        <v>20</v>
      </c>
      <c r="M989" s="2" t="s">
        <v>78</v>
      </c>
      <c r="N989" s="2" t="s">
        <v>21</v>
      </c>
    </row>
    <row r="990" spans="1:14" x14ac:dyDescent="0.5">
      <c r="A990" s="2" t="s">
        <v>14</v>
      </c>
      <c r="B990" s="3">
        <v>8</v>
      </c>
      <c r="C990" s="4" t="s">
        <v>37</v>
      </c>
      <c r="D990" s="2" t="s">
        <v>16</v>
      </c>
      <c r="E990" s="2" t="s">
        <v>23</v>
      </c>
      <c r="F990" s="5">
        <v>2</v>
      </c>
      <c r="G990" s="1">
        <v>12000000</v>
      </c>
      <c r="H990" s="2">
        <v>3</v>
      </c>
      <c r="I990" s="6">
        <v>5.208333333333333E-3</v>
      </c>
      <c r="J990" s="2" t="s">
        <v>18</v>
      </c>
      <c r="K990" s="2" t="s">
        <v>29</v>
      </c>
      <c r="L990" s="2" t="s">
        <v>33</v>
      </c>
      <c r="M990" s="2" t="s">
        <v>76</v>
      </c>
      <c r="N990" s="2" t="s">
        <v>75</v>
      </c>
    </row>
    <row r="991" spans="1:14" x14ac:dyDescent="0.5">
      <c r="A991" s="2" t="s">
        <v>14</v>
      </c>
      <c r="B991" s="3">
        <v>7</v>
      </c>
      <c r="C991" s="4" t="s">
        <v>37</v>
      </c>
      <c r="D991" s="2" t="s">
        <v>38</v>
      </c>
      <c r="E991" s="2" t="s">
        <v>42</v>
      </c>
      <c r="F991" s="5">
        <v>2</v>
      </c>
      <c r="G991" s="1">
        <v>12000000</v>
      </c>
      <c r="H991" s="2">
        <v>3</v>
      </c>
      <c r="I991" s="6">
        <v>5.208333333333333E-3</v>
      </c>
      <c r="J991" s="2" t="s">
        <v>18</v>
      </c>
      <c r="K991" s="2" t="s">
        <v>56</v>
      </c>
      <c r="L991" s="2" t="s">
        <v>40</v>
      </c>
      <c r="M991" s="2" t="s">
        <v>78</v>
      </c>
      <c r="N991" s="2" t="s">
        <v>63</v>
      </c>
    </row>
    <row r="992" spans="1:14" x14ac:dyDescent="0.5">
      <c r="A992" s="2" t="s">
        <v>14</v>
      </c>
      <c r="B992" s="3">
        <v>9</v>
      </c>
      <c r="C992" s="4" t="s">
        <v>37</v>
      </c>
      <c r="D992" s="2" t="s">
        <v>49</v>
      </c>
      <c r="E992" s="2" t="s">
        <v>42</v>
      </c>
      <c r="F992" s="5">
        <v>3</v>
      </c>
      <c r="G992" s="1">
        <v>15000000</v>
      </c>
      <c r="H992" s="2">
        <v>1</v>
      </c>
      <c r="I992" s="6">
        <v>5.208333333333333E-3</v>
      </c>
      <c r="J992" s="2" t="s">
        <v>18</v>
      </c>
      <c r="K992" s="2" t="s">
        <v>29</v>
      </c>
      <c r="L992" s="2" t="s">
        <v>48</v>
      </c>
      <c r="M992" s="2" t="s">
        <v>66</v>
      </c>
      <c r="N992" s="2" t="s">
        <v>36</v>
      </c>
    </row>
    <row r="993" spans="1:14" x14ac:dyDescent="0.5">
      <c r="A993" s="2" t="s">
        <v>14</v>
      </c>
      <c r="B993" s="3">
        <v>16</v>
      </c>
      <c r="C993" s="4" t="s">
        <v>44</v>
      </c>
      <c r="D993" s="2" t="s">
        <v>28</v>
      </c>
      <c r="E993" s="2" t="s">
        <v>23</v>
      </c>
      <c r="F993" s="5">
        <v>1</v>
      </c>
      <c r="G993" s="1">
        <v>19000000</v>
      </c>
      <c r="H993" s="2">
        <v>1</v>
      </c>
      <c r="I993" s="6">
        <v>5.208333333333333E-3</v>
      </c>
      <c r="J993" s="2" t="s">
        <v>46</v>
      </c>
      <c r="K993" s="2" t="s">
        <v>19</v>
      </c>
      <c r="L993" s="2" t="s">
        <v>33</v>
      </c>
      <c r="M993" s="2" t="s">
        <v>76</v>
      </c>
      <c r="N993" s="2" t="s">
        <v>31</v>
      </c>
    </row>
    <row r="994" spans="1:14" x14ac:dyDescent="0.5">
      <c r="A994" s="2" t="s">
        <v>14</v>
      </c>
      <c r="B994" s="3">
        <v>22</v>
      </c>
      <c r="C994" s="4" t="s">
        <v>44</v>
      </c>
      <c r="D994" s="2" t="s">
        <v>28</v>
      </c>
      <c r="E994" s="2" t="s">
        <v>23</v>
      </c>
      <c r="F994" s="5">
        <v>3</v>
      </c>
      <c r="G994" s="1">
        <v>11000000</v>
      </c>
      <c r="H994" s="2">
        <v>3</v>
      </c>
      <c r="I994" s="6">
        <v>5.208333333333333E-3</v>
      </c>
      <c r="J994" s="2" t="s">
        <v>18</v>
      </c>
      <c r="K994" s="2" t="s">
        <v>19</v>
      </c>
      <c r="L994" s="2" t="s">
        <v>30</v>
      </c>
      <c r="M994" s="2" t="s">
        <v>77</v>
      </c>
      <c r="N994" s="2" t="s">
        <v>65</v>
      </c>
    </row>
    <row r="995" spans="1:14" x14ac:dyDescent="0.5">
      <c r="A995" s="2" t="s">
        <v>14</v>
      </c>
      <c r="B995" s="3">
        <v>5</v>
      </c>
      <c r="C995" s="4" t="s">
        <v>44</v>
      </c>
      <c r="D995" s="2" t="s">
        <v>16</v>
      </c>
      <c r="E995" s="2" t="s">
        <v>42</v>
      </c>
      <c r="F995" s="5">
        <v>3</v>
      </c>
      <c r="G995" s="1">
        <v>15000000</v>
      </c>
      <c r="H995" s="2">
        <v>2</v>
      </c>
      <c r="I995" s="6">
        <v>5.208333333333333E-3</v>
      </c>
      <c r="J995" s="2" t="s">
        <v>18</v>
      </c>
      <c r="K995" s="2" t="s">
        <v>64</v>
      </c>
      <c r="L995" s="2" t="s">
        <v>40</v>
      </c>
      <c r="M995" s="2" t="s">
        <v>66</v>
      </c>
      <c r="N995" s="2" t="s">
        <v>67</v>
      </c>
    </row>
    <row r="996" spans="1:14" x14ac:dyDescent="0.5">
      <c r="A996" s="2" t="s">
        <v>14</v>
      </c>
      <c r="B996" s="3">
        <v>29</v>
      </c>
      <c r="C996" s="4" t="s">
        <v>44</v>
      </c>
      <c r="D996" s="2" t="s">
        <v>38</v>
      </c>
      <c r="E996" s="2" t="s">
        <v>42</v>
      </c>
      <c r="F996" s="5">
        <v>3</v>
      </c>
      <c r="G996" s="1">
        <v>15000000</v>
      </c>
      <c r="H996" s="2">
        <v>4</v>
      </c>
      <c r="I996" s="6">
        <v>5.208333333333333E-3</v>
      </c>
      <c r="J996" s="2" t="s">
        <v>18</v>
      </c>
      <c r="K996" s="2" t="s">
        <v>19</v>
      </c>
      <c r="L996" s="2" t="s">
        <v>25</v>
      </c>
      <c r="M996" s="2" t="s">
        <v>78</v>
      </c>
      <c r="N996" s="2" t="s">
        <v>63</v>
      </c>
    </row>
    <row r="997" spans="1:14" x14ac:dyDescent="0.5">
      <c r="A997" s="2" t="s">
        <v>14</v>
      </c>
      <c r="B997" s="3">
        <v>12</v>
      </c>
      <c r="C997" s="4" t="s">
        <v>44</v>
      </c>
      <c r="D997" s="2" t="s">
        <v>16</v>
      </c>
      <c r="E997" s="2" t="s">
        <v>45</v>
      </c>
      <c r="F997" s="5">
        <v>4</v>
      </c>
      <c r="G997" s="1">
        <v>15000000</v>
      </c>
      <c r="H997" s="2">
        <v>2</v>
      </c>
      <c r="I997" s="6">
        <v>5.208333333333333E-3</v>
      </c>
      <c r="J997" s="2" t="s">
        <v>18</v>
      </c>
      <c r="K997" s="2" t="s">
        <v>19</v>
      </c>
      <c r="L997" s="2" t="s">
        <v>48</v>
      </c>
      <c r="M997" s="2" t="s">
        <v>78</v>
      </c>
      <c r="N997" s="2" t="s">
        <v>41</v>
      </c>
    </row>
    <row r="998" spans="1:14" x14ac:dyDescent="0.5">
      <c r="A998" s="2" t="s">
        <v>14</v>
      </c>
      <c r="B998" s="3">
        <v>11</v>
      </c>
      <c r="C998" s="4" t="s">
        <v>55</v>
      </c>
      <c r="D998" s="2" t="s">
        <v>16</v>
      </c>
      <c r="E998" s="2" t="s">
        <v>42</v>
      </c>
      <c r="F998" s="5">
        <v>2</v>
      </c>
      <c r="G998" s="1">
        <v>38000000</v>
      </c>
      <c r="H998" s="2">
        <v>4</v>
      </c>
      <c r="I998" s="6">
        <v>5.208333333333333E-3</v>
      </c>
      <c r="J998" s="2" t="s">
        <v>46</v>
      </c>
      <c r="K998" s="2" t="s">
        <v>47</v>
      </c>
      <c r="L998" s="2" t="s">
        <v>51</v>
      </c>
      <c r="M998" s="2" t="s">
        <v>66</v>
      </c>
      <c r="N998" s="2" t="s">
        <v>67</v>
      </c>
    </row>
    <row r="999" spans="1:14" x14ac:dyDescent="0.5">
      <c r="A999" s="2" t="s">
        <v>14</v>
      </c>
      <c r="B999" s="3">
        <v>6</v>
      </c>
      <c r="C999" s="4" t="s">
        <v>55</v>
      </c>
      <c r="D999" s="2" t="s">
        <v>32</v>
      </c>
      <c r="E999" s="2" t="s">
        <v>42</v>
      </c>
      <c r="F999" s="5">
        <v>5</v>
      </c>
      <c r="G999" s="1">
        <v>20000000</v>
      </c>
      <c r="H999" s="2">
        <v>3</v>
      </c>
      <c r="I999" s="6">
        <v>5.208333333333333E-3</v>
      </c>
      <c r="J999" s="2" t="s">
        <v>18</v>
      </c>
      <c r="K999" s="2" t="s">
        <v>29</v>
      </c>
      <c r="L999" s="2" t="s">
        <v>25</v>
      </c>
      <c r="M999" s="2" t="s">
        <v>76</v>
      </c>
      <c r="N999" s="2" t="s">
        <v>26</v>
      </c>
    </row>
    <row r="1000" spans="1:14" x14ac:dyDescent="0.5">
      <c r="A1000" s="2" t="s">
        <v>14</v>
      </c>
      <c r="B1000" s="3">
        <v>1</v>
      </c>
      <c r="C1000" s="4" t="s">
        <v>15</v>
      </c>
      <c r="D1000" s="2" t="s">
        <v>16</v>
      </c>
      <c r="E1000" s="2" t="s">
        <v>45</v>
      </c>
      <c r="F1000" s="5">
        <v>2</v>
      </c>
      <c r="G1000" s="1">
        <v>12000000</v>
      </c>
      <c r="H1000" s="2">
        <v>1</v>
      </c>
      <c r="I1000" s="6">
        <v>5.208333333333333E-3</v>
      </c>
      <c r="J1000" s="2" t="s">
        <v>18</v>
      </c>
      <c r="K1000" s="2" t="s">
        <v>19</v>
      </c>
      <c r="L1000" s="2" t="s">
        <v>25</v>
      </c>
      <c r="M1000" s="2" t="s">
        <v>77</v>
      </c>
      <c r="N1000" s="2" t="s">
        <v>65</v>
      </c>
    </row>
    <row r="1001" spans="1:14" x14ac:dyDescent="0.5">
      <c r="A1001" s="2" t="s">
        <v>14</v>
      </c>
      <c r="B1001" s="3">
        <v>10</v>
      </c>
      <c r="C1001" s="4" t="s">
        <v>59</v>
      </c>
      <c r="D1001" s="2" t="s">
        <v>38</v>
      </c>
      <c r="E1001" s="2" t="s">
        <v>17</v>
      </c>
      <c r="F1001" s="5">
        <v>2</v>
      </c>
      <c r="G1001" s="1">
        <v>38000000</v>
      </c>
      <c r="H1001" s="2">
        <v>2</v>
      </c>
      <c r="I1001" s="6">
        <v>5.208333333333333E-3</v>
      </c>
      <c r="J1001" s="2" t="s">
        <v>74</v>
      </c>
      <c r="K1001" s="2" t="s">
        <v>47</v>
      </c>
      <c r="L1001" s="2" t="s">
        <v>43</v>
      </c>
      <c r="M1001" s="2" t="s">
        <v>76</v>
      </c>
      <c r="N1001" s="2" t="s">
        <v>52</v>
      </c>
    </row>
    <row r="1002" spans="1:14" x14ac:dyDescent="0.5">
      <c r="A1002" s="2" t="s">
        <v>14</v>
      </c>
      <c r="B1002" s="3">
        <v>1</v>
      </c>
      <c r="C1002" s="4" t="s">
        <v>59</v>
      </c>
      <c r="D1002" s="2" t="s">
        <v>73</v>
      </c>
      <c r="E1002" s="2" t="s">
        <v>42</v>
      </c>
      <c r="F1002" s="5">
        <v>3</v>
      </c>
      <c r="G1002" s="1">
        <v>15000000</v>
      </c>
      <c r="H1002" s="2">
        <v>1</v>
      </c>
      <c r="I1002" s="6">
        <v>5.208333333333333E-3</v>
      </c>
      <c r="J1002" s="2" t="s">
        <v>18</v>
      </c>
      <c r="K1002" s="2" t="s">
        <v>56</v>
      </c>
      <c r="L1002" s="2" t="s">
        <v>43</v>
      </c>
      <c r="M1002" s="2" t="s">
        <v>78</v>
      </c>
      <c r="N1002" s="2" t="s">
        <v>62</v>
      </c>
    </row>
    <row r="1003" spans="1:14" x14ac:dyDescent="0.5">
      <c r="A1003" s="2" t="s">
        <v>70</v>
      </c>
      <c r="B1003" s="3">
        <v>7</v>
      </c>
      <c r="C1003" s="4" t="s">
        <v>72</v>
      </c>
      <c r="D1003" s="2" t="s">
        <v>28</v>
      </c>
      <c r="E1003" s="2" t="s">
        <v>17</v>
      </c>
      <c r="F1003" s="5">
        <v>0</v>
      </c>
      <c r="G1003" s="1">
        <v>0</v>
      </c>
      <c r="H1003" s="2">
        <v>3</v>
      </c>
      <c r="I1003" s="6">
        <v>5.208333333333333E-3</v>
      </c>
      <c r="J1003" s="2"/>
      <c r="K1003" s="2"/>
      <c r="L1003" s="2" t="s">
        <v>51</v>
      </c>
      <c r="M1003" s="2" t="s">
        <v>77</v>
      </c>
      <c r="N1003" s="2" t="s">
        <v>65</v>
      </c>
    </row>
    <row r="1004" spans="1:14" x14ac:dyDescent="0.5">
      <c r="A1004" s="2" t="s">
        <v>70</v>
      </c>
      <c r="B1004" s="3">
        <v>12</v>
      </c>
      <c r="C1004" s="4" t="s">
        <v>22</v>
      </c>
      <c r="D1004" s="2" t="s">
        <v>49</v>
      </c>
      <c r="E1004" s="2" t="s">
        <v>23</v>
      </c>
      <c r="F1004" s="5">
        <v>0</v>
      </c>
      <c r="G1004" s="1">
        <v>0</v>
      </c>
      <c r="H1004" s="2">
        <v>2</v>
      </c>
      <c r="I1004" s="6">
        <v>5.208333333333333E-3</v>
      </c>
      <c r="J1004" s="2"/>
      <c r="K1004" s="2"/>
      <c r="L1004" s="2" t="s">
        <v>30</v>
      </c>
      <c r="M1004" s="2" t="s">
        <v>76</v>
      </c>
      <c r="N1004" s="2" t="s">
        <v>31</v>
      </c>
    </row>
    <row r="1005" spans="1:14" x14ac:dyDescent="0.5">
      <c r="A1005" s="2" t="s">
        <v>70</v>
      </c>
      <c r="B1005" s="3">
        <v>1</v>
      </c>
      <c r="C1005" s="4" t="s">
        <v>27</v>
      </c>
      <c r="D1005" s="2" t="s">
        <v>32</v>
      </c>
      <c r="E1005" s="2" t="s">
        <v>42</v>
      </c>
      <c r="F1005" s="5">
        <v>0</v>
      </c>
      <c r="G1005" s="1">
        <v>0</v>
      </c>
      <c r="H1005" s="2">
        <v>4</v>
      </c>
      <c r="I1005" s="6">
        <v>5.208333333333333E-3</v>
      </c>
      <c r="J1005" s="2"/>
      <c r="K1005" s="2"/>
      <c r="L1005" s="2" t="s">
        <v>30</v>
      </c>
      <c r="M1005" s="2" t="s">
        <v>78</v>
      </c>
      <c r="N1005" s="2" t="s">
        <v>63</v>
      </c>
    </row>
    <row r="1006" spans="1:14" x14ac:dyDescent="0.5">
      <c r="A1006" s="2" t="s">
        <v>70</v>
      </c>
      <c r="B1006" s="3">
        <v>29</v>
      </c>
      <c r="C1006" s="4" t="s">
        <v>27</v>
      </c>
      <c r="D1006" s="2" t="s">
        <v>38</v>
      </c>
      <c r="E1006" s="2" t="s">
        <v>42</v>
      </c>
      <c r="F1006" s="5">
        <v>0</v>
      </c>
      <c r="G1006" s="1">
        <v>0</v>
      </c>
      <c r="H1006" s="2">
        <v>2</v>
      </c>
      <c r="I1006" s="6">
        <v>5.208333333333333E-3</v>
      </c>
      <c r="J1006" s="2"/>
      <c r="K1006" s="2"/>
      <c r="L1006" s="2" t="s">
        <v>40</v>
      </c>
      <c r="M1006" s="2" t="s">
        <v>76</v>
      </c>
      <c r="N1006" s="2" t="s">
        <v>52</v>
      </c>
    </row>
    <row r="1007" spans="1:14" x14ac:dyDescent="0.5">
      <c r="A1007" s="2" t="s">
        <v>70</v>
      </c>
      <c r="B1007" s="3">
        <v>26</v>
      </c>
      <c r="C1007" s="4" t="s">
        <v>37</v>
      </c>
      <c r="D1007" s="2" t="s">
        <v>38</v>
      </c>
      <c r="E1007" s="2" t="s">
        <v>17</v>
      </c>
      <c r="F1007" s="5">
        <v>0</v>
      </c>
      <c r="G1007" s="1">
        <v>0</v>
      </c>
      <c r="H1007" s="2">
        <v>3</v>
      </c>
      <c r="I1007" s="6">
        <v>5.208333333333333E-3</v>
      </c>
      <c r="J1007" s="2"/>
      <c r="K1007" s="2"/>
      <c r="L1007" s="2" t="s">
        <v>30</v>
      </c>
      <c r="M1007" s="2" t="s">
        <v>78</v>
      </c>
      <c r="N1007" s="2" t="s">
        <v>41</v>
      </c>
    </row>
    <row r="1008" spans="1:14" x14ac:dyDescent="0.5">
      <c r="A1008" s="2" t="s">
        <v>70</v>
      </c>
      <c r="B1008" s="3">
        <v>30</v>
      </c>
      <c r="C1008" s="4" t="s">
        <v>69</v>
      </c>
      <c r="D1008" s="2" t="s">
        <v>49</v>
      </c>
      <c r="E1008" s="2" t="s">
        <v>17</v>
      </c>
      <c r="F1008" s="5">
        <v>0</v>
      </c>
      <c r="G1008" s="1">
        <v>0</v>
      </c>
      <c r="H1008" s="2">
        <v>7</v>
      </c>
      <c r="I1008" s="6">
        <v>5.208333333333333E-3</v>
      </c>
      <c r="J1008" s="2"/>
      <c r="K1008" s="2"/>
      <c r="L1008" s="2" t="s">
        <v>43</v>
      </c>
      <c r="M1008" s="2" t="s">
        <v>76</v>
      </c>
      <c r="N1008" s="2" t="s">
        <v>52</v>
      </c>
    </row>
    <row r="1009" spans="1:14" x14ac:dyDescent="0.5">
      <c r="A1009" s="2" t="s">
        <v>70</v>
      </c>
      <c r="B1009" s="3">
        <v>7</v>
      </c>
      <c r="C1009" s="4" t="s">
        <v>72</v>
      </c>
      <c r="D1009" s="2" t="s">
        <v>28</v>
      </c>
      <c r="E1009" s="2" t="s">
        <v>17</v>
      </c>
      <c r="F1009" s="5">
        <v>0</v>
      </c>
      <c r="G1009" s="1">
        <v>0</v>
      </c>
      <c r="H1009" s="2">
        <v>3</v>
      </c>
      <c r="I1009" s="6">
        <v>5.208333333333333E-3</v>
      </c>
      <c r="J1009" s="2"/>
      <c r="K1009" s="2"/>
      <c r="L1009" s="2" t="s">
        <v>51</v>
      </c>
      <c r="M1009" s="2" t="s">
        <v>77</v>
      </c>
      <c r="N1009" s="2" t="s">
        <v>65</v>
      </c>
    </row>
    <row r="1010" spans="1:14" x14ac:dyDescent="0.5">
      <c r="A1010" s="2" t="s">
        <v>14</v>
      </c>
      <c r="B1010" s="3">
        <v>16</v>
      </c>
      <c r="C1010" s="4" t="s">
        <v>57</v>
      </c>
      <c r="D1010" s="2" t="s">
        <v>38</v>
      </c>
      <c r="E1010" s="2" t="s">
        <v>23</v>
      </c>
      <c r="F1010" s="5">
        <v>3</v>
      </c>
      <c r="G1010" s="1">
        <v>11000000</v>
      </c>
      <c r="H1010" s="2">
        <v>3</v>
      </c>
      <c r="I1010" s="6">
        <v>5.5555555555555558E-3</v>
      </c>
      <c r="J1010" s="2" t="s">
        <v>18</v>
      </c>
      <c r="K1010" s="2" t="s">
        <v>24</v>
      </c>
      <c r="L1010" s="2" t="s">
        <v>30</v>
      </c>
      <c r="M1010" s="2" t="s">
        <v>78</v>
      </c>
      <c r="N1010" s="2" t="s">
        <v>41</v>
      </c>
    </row>
    <row r="1011" spans="1:14" x14ac:dyDescent="0.5">
      <c r="A1011" s="2" t="s">
        <v>14</v>
      </c>
      <c r="B1011" s="3">
        <v>13</v>
      </c>
      <c r="C1011" s="4" t="s">
        <v>27</v>
      </c>
      <c r="D1011" s="2" t="s">
        <v>73</v>
      </c>
      <c r="E1011" s="2" t="s">
        <v>23</v>
      </c>
      <c r="F1011" s="5">
        <v>2</v>
      </c>
      <c r="G1011" s="1">
        <v>10000000</v>
      </c>
      <c r="H1011" s="2">
        <v>2</v>
      </c>
      <c r="I1011" s="6">
        <v>5.5555555555555558E-3</v>
      </c>
      <c r="J1011" s="2" t="s">
        <v>18</v>
      </c>
      <c r="K1011" s="2" t="s">
        <v>19</v>
      </c>
      <c r="L1011" s="2" t="s">
        <v>33</v>
      </c>
      <c r="M1011" s="2" t="s">
        <v>78</v>
      </c>
      <c r="N1011" s="2" t="s">
        <v>41</v>
      </c>
    </row>
    <row r="1012" spans="1:14" x14ac:dyDescent="0.5">
      <c r="A1012" s="2" t="s">
        <v>14</v>
      </c>
      <c r="B1012" s="3">
        <v>16</v>
      </c>
      <c r="C1012" s="4" t="s">
        <v>27</v>
      </c>
      <c r="D1012" s="2" t="s">
        <v>16</v>
      </c>
      <c r="E1012" s="2" t="s">
        <v>42</v>
      </c>
      <c r="F1012" s="5">
        <v>2</v>
      </c>
      <c r="G1012" s="1">
        <v>12000000</v>
      </c>
      <c r="H1012" s="2">
        <v>2</v>
      </c>
      <c r="I1012" s="6">
        <v>5.5555555555555558E-3</v>
      </c>
      <c r="J1012" s="2" t="s">
        <v>18</v>
      </c>
      <c r="K1012" s="2" t="s">
        <v>39</v>
      </c>
      <c r="L1012" s="2" t="s">
        <v>51</v>
      </c>
      <c r="M1012" s="2" t="s">
        <v>76</v>
      </c>
      <c r="N1012" s="2" t="s">
        <v>26</v>
      </c>
    </row>
    <row r="1013" spans="1:14" x14ac:dyDescent="0.5">
      <c r="A1013" s="2" t="s">
        <v>14</v>
      </c>
      <c r="B1013" s="3">
        <v>26</v>
      </c>
      <c r="C1013" s="4" t="s">
        <v>37</v>
      </c>
      <c r="D1013" s="2" t="s">
        <v>32</v>
      </c>
      <c r="E1013" s="2" t="s">
        <v>42</v>
      </c>
      <c r="F1013" s="5">
        <v>2</v>
      </c>
      <c r="G1013" s="1">
        <v>38000000</v>
      </c>
      <c r="H1013" s="2">
        <v>5</v>
      </c>
      <c r="I1013" s="6">
        <v>5.5555555555555558E-3</v>
      </c>
      <c r="J1013" s="2" t="s">
        <v>46</v>
      </c>
      <c r="K1013" s="2" t="s">
        <v>29</v>
      </c>
      <c r="L1013" s="2" t="s">
        <v>48</v>
      </c>
      <c r="M1013" s="2" t="s">
        <v>76</v>
      </c>
      <c r="N1013" s="2" t="s">
        <v>31</v>
      </c>
    </row>
    <row r="1014" spans="1:14" x14ac:dyDescent="0.5">
      <c r="A1014" s="2" t="s">
        <v>14</v>
      </c>
      <c r="B1014" s="3">
        <v>9</v>
      </c>
      <c r="C1014" s="4" t="s">
        <v>37</v>
      </c>
      <c r="D1014" s="2" t="s">
        <v>28</v>
      </c>
      <c r="E1014" s="2" t="s">
        <v>42</v>
      </c>
      <c r="F1014" s="5">
        <v>4</v>
      </c>
      <c r="G1014" s="1">
        <v>20000000</v>
      </c>
      <c r="H1014" s="2">
        <v>1</v>
      </c>
      <c r="I1014" s="6">
        <v>5.5555555555555558E-3</v>
      </c>
      <c r="J1014" s="2" t="s">
        <v>61</v>
      </c>
      <c r="K1014" s="2" t="s">
        <v>29</v>
      </c>
      <c r="L1014" s="2" t="s">
        <v>43</v>
      </c>
      <c r="M1014" s="2" t="s">
        <v>76</v>
      </c>
      <c r="N1014" s="2" t="s">
        <v>71</v>
      </c>
    </row>
    <row r="1015" spans="1:14" x14ac:dyDescent="0.5">
      <c r="A1015" s="2" t="s">
        <v>14</v>
      </c>
      <c r="B1015" s="3">
        <v>28</v>
      </c>
      <c r="C1015" s="4" t="s">
        <v>37</v>
      </c>
      <c r="D1015" s="2" t="s">
        <v>28</v>
      </c>
      <c r="E1015" s="2" t="s">
        <v>42</v>
      </c>
      <c r="F1015" s="5">
        <v>1</v>
      </c>
      <c r="G1015" s="1">
        <v>7000000</v>
      </c>
      <c r="H1015" s="2">
        <v>2</v>
      </c>
      <c r="I1015" s="6">
        <v>5.5555555555555558E-3</v>
      </c>
      <c r="J1015" s="2" t="s">
        <v>18</v>
      </c>
      <c r="K1015" s="2" t="s">
        <v>29</v>
      </c>
      <c r="L1015" s="2" t="s">
        <v>48</v>
      </c>
      <c r="M1015" s="2" t="s">
        <v>76</v>
      </c>
      <c r="N1015" s="2" t="s">
        <v>52</v>
      </c>
    </row>
    <row r="1016" spans="1:14" x14ac:dyDescent="0.5">
      <c r="A1016" s="2" t="s">
        <v>14</v>
      </c>
      <c r="B1016" s="3">
        <v>30</v>
      </c>
      <c r="C1016" s="4" t="s">
        <v>37</v>
      </c>
      <c r="D1016" s="2" t="s">
        <v>32</v>
      </c>
      <c r="E1016" s="2" t="s">
        <v>17</v>
      </c>
      <c r="F1016" s="5">
        <v>3</v>
      </c>
      <c r="G1016" s="1">
        <v>15000000</v>
      </c>
      <c r="H1016" s="2">
        <v>4</v>
      </c>
      <c r="I1016" s="6">
        <v>5.5555555555555558E-3</v>
      </c>
      <c r="J1016" s="2" t="s">
        <v>18</v>
      </c>
      <c r="K1016" s="2" t="s">
        <v>24</v>
      </c>
      <c r="L1016" s="2" t="s">
        <v>33</v>
      </c>
      <c r="M1016" s="2" t="s">
        <v>78</v>
      </c>
      <c r="N1016" s="2" t="s">
        <v>63</v>
      </c>
    </row>
    <row r="1017" spans="1:14" x14ac:dyDescent="0.5">
      <c r="A1017" s="2" t="s">
        <v>14</v>
      </c>
      <c r="B1017" s="3">
        <v>5</v>
      </c>
      <c r="C1017" s="4" t="s">
        <v>44</v>
      </c>
      <c r="D1017" s="2" t="s">
        <v>28</v>
      </c>
      <c r="E1017" s="2" t="s">
        <v>17</v>
      </c>
      <c r="F1017" s="5">
        <v>5</v>
      </c>
      <c r="G1017" s="1">
        <v>25000000</v>
      </c>
      <c r="H1017" s="2">
        <v>2</v>
      </c>
      <c r="I1017" s="6">
        <v>5.5555555555555558E-3</v>
      </c>
      <c r="J1017" s="2" t="s">
        <v>18</v>
      </c>
      <c r="K1017" s="2" t="s">
        <v>19</v>
      </c>
      <c r="L1017" s="2" t="s">
        <v>25</v>
      </c>
      <c r="M1017" s="2" t="s">
        <v>66</v>
      </c>
      <c r="N1017" s="2" t="s">
        <v>36</v>
      </c>
    </row>
    <row r="1018" spans="1:14" x14ac:dyDescent="0.5">
      <c r="A1018" s="2" t="s">
        <v>14</v>
      </c>
      <c r="B1018" s="3">
        <v>16</v>
      </c>
      <c r="C1018" s="4" t="s">
        <v>57</v>
      </c>
      <c r="D1018" s="2" t="s">
        <v>38</v>
      </c>
      <c r="E1018" s="2" t="s">
        <v>23</v>
      </c>
      <c r="F1018" s="5">
        <v>3</v>
      </c>
      <c r="G1018" s="1">
        <v>11000000</v>
      </c>
      <c r="H1018" s="2">
        <v>3</v>
      </c>
      <c r="I1018" s="6">
        <v>5.5555555555555558E-3</v>
      </c>
      <c r="J1018" s="2" t="s">
        <v>18</v>
      </c>
      <c r="K1018" s="2" t="s">
        <v>24</v>
      </c>
      <c r="L1018" s="2" t="s">
        <v>30</v>
      </c>
      <c r="M1018" s="2" t="s">
        <v>78</v>
      </c>
      <c r="N1018" s="2" t="s">
        <v>41</v>
      </c>
    </row>
    <row r="1019" spans="1:14" x14ac:dyDescent="0.5">
      <c r="A1019" s="2" t="s">
        <v>70</v>
      </c>
      <c r="B1019" s="3">
        <v>12</v>
      </c>
      <c r="C1019" s="4" t="s">
        <v>27</v>
      </c>
      <c r="D1019" s="2" t="s">
        <v>32</v>
      </c>
      <c r="E1019" s="2" t="s">
        <v>42</v>
      </c>
      <c r="F1019" s="5">
        <v>0</v>
      </c>
      <c r="G1019" s="1">
        <v>0</v>
      </c>
      <c r="H1019" s="2">
        <v>3</v>
      </c>
      <c r="I1019" s="6">
        <v>5.5555555555555558E-3</v>
      </c>
      <c r="J1019" s="2"/>
      <c r="K1019" s="2"/>
      <c r="L1019" s="2" t="s">
        <v>30</v>
      </c>
      <c r="M1019" s="2" t="s">
        <v>66</v>
      </c>
      <c r="N1019" s="2" t="s">
        <v>67</v>
      </c>
    </row>
    <row r="1020" spans="1:14" x14ac:dyDescent="0.5">
      <c r="A1020" s="2" t="s">
        <v>70</v>
      </c>
      <c r="B1020" s="3">
        <v>1</v>
      </c>
      <c r="C1020" s="4" t="s">
        <v>37</v>
      </c>
      <c r="D1020" s="2" t="s">
        <v>49</v>
      </c>
      <c r="E1020" s="2" t="s">
        <v>42</v>
      </c>
      <c r="F1020" s="5">
        <v>0</v>
      </c>
      <c r="G1020" s="1">
        <v>0</v>
      </c>
      <c r="H1020" s="2">
        <v>1</v>
      </c>
      <c r="I1020" s="6">
        <v>5.5555555555555558E-3</v>
      </c>
      <c r="J1020" s="2"/>
      <c r="K1020" s="2"/>
      <c r="L1020" s="2" t="s">
        <v>30</v>
      </c>
      <c r="M1020" s="2" t="s">
        <v>66</v>
      </c>
      <c r="N1020" s="2" t="s">
        <v>67</v>
      </c>
    </row>
    <row r="1021" spans="1:14" x14ac:dyDescent="0.5">
      <c r="A1021" s="2" t="s">
        <v>70</v>
      </c>
      <c r="B1021" s="3">
        <v>5</v>
      </c>
      <c r="C1021" s="4" t="s">
        <v>37</v>
      </c>
      <c r="D1021" s="2" t="s">
        <v>49</v>
      </c>
      <c r="E1021" s="2" t="s">
        <v>45</v>
      </c>
      <c r="F1021" s="5">
        <v>0</v>
      </c>
      <c r="G1021" s="1">
        <v>0</v>
      </c>
      <c r="H1021" s="2">
        <v>4</v>
      </c>
      <c r="I1021" s="6">
        <v>5.5555555555555558E-3</v>
      </c>
      <c r="J1021" s="2"/>
      <c r="K1021" s="2"/>
      <c r="L1021" s="2" t="s">
        <v>43</v>
      </c>
      <c r="M1021" s="2" t="s">
        <v>77</v>
      </c>
      <c r="N1021" s="2" t="s">
        <v>65</v>
      </c>
    </row>
    <row r="1022" spans="1:14" x14ac:dyDescent="0.5">
      <c r="A1022" s="2" t="s">
        <v>70</v>
      </c>
      <c r="B1022" s="3">
        <v>27</v>
      </c>
      <c r="C1022" s="4" t="s">
        <v>44</v>
      </c>
      <c r="D1022" s="2" t="s">
        <v>16</v>
      </c>
      <c r="E1022" s="2" t="s">
        <v>17</v>
      </c>
      <c r="F1022" s="5">
        <v>0</v>
      </c>
      <c r="G1022" s="1">
        <v>0</v>
      </c>
      <c r="H1022" s="2">
        <v>1</v>
      </c>
      <c r="I1022" s="6">
        <v>5.5555555555555558E-3</v>
      </c>
      <c r="J1022" s="2"/>
      <c r="K1022" s="2"/>
      <c r="L1022" s="2" t="s">
        <v>30</v>
      </c>
      <c r="M1022" s="2" t="s">
        <v>76</v>
      </c>
      <c r="N1022" s="2" t="s">
        <v>52</v>
      </c>
    </row>
    <row r="1023" spans="1:14" x14ac:dyDescent="0.5">
      <c r="A1023" s="2" t="s">
        <v>70</v>
      </c>
      <c r="B1023" s="3">
        <v>16</v>
      </c>
      <c r="C1023" s="4" t="s">
        <v>44</v>
      </c>
      <c r="D1023" s="2" t="s">
        <v>16</v>
      </c>
      <c r="E1023" s="2" t="s">
        <v>17</v>
      </c>
      <c r="F1023" s="5">
        <v>0</v>
      </c>
      <c r="G1023" s="1">
        <v>0</v>
      </c>
      <c r="H1023" s="2">
        <v>1</v>
      </c>
      <c r="I1023" s="6">
        <v>5.5555555555555558E-3</v>
      </c>
      <c r="J1023" s="2"/>
      <c r="K1023" s="2"/>
      <c r="L1023" s="2" t="s">
        <v>40</v>
      </c>
      <c r="M1023" s="2" t="s">
        <v>78</v>
      </c>
      <c r="N1023" s="2" t="s">
        <v>21</v>
      </c>
    </row>
    <row r="1024" spans="1:14" x14ac:dyDescent="0.5">
      <c r="A1024" s="2" t="s">
        <v>14</v>
      </c>
      <c r="B1024" s="3">
        <v>11</v>
      </c>
      <c r="C1024" s="4" t="s">
        <v>57</v>
      </c>
      <c r="D1024" s="2" t="s">
        <v>32</v>
      </c>
      <c r="E1024" s="2" t="s">
        <v>42</v>
      </c>
      <c r="F1024" s="5">
        <v>4</v>
      </c>
      <c r="G1024" s="1">
        <v>20000000</v>
      </c>
      <c r="H1024" s="2">
        <v>1</v>
      </c>
      <c r="I1024" s="6">
        <v>5.6712962962962958E-3</v>
      </c>
      <c r="J1024" s="2" t="s">
        <v>18</v>
      </c>
      <c r="K1024" s="2" t="s">
        <v>56</v>
      </c>
      <c r="L1024" s="2" t="s">
        <v>20</v>
      </c>
      <c r="M1024" s="2" t="s">
        <v>78</v>
      </c>
      <c r="N1024" s="2" t="s">
        <v>62</v>
      </c>
    </row>
    <row r="1025" spans="1:14" x14ac:dyDescent="0.5">
      <c r="A1025" s="2" t="s">
        <v>14</v>
      </c>
      <c r="B1025" s="3">
        <v>1</v>
      </c>
      <c r="C1025" s="4" t="s">
        <v>59</v>
      </c>
      <c r="D1025" s="2" t="s">
        <v>38</v>
      </c>
      <c r="E1025" s="2" t="s">
        <v>23</v>
      </c>
      <c r="F1025" s="5">
        <v>2</v>
      </c>
      <c r="G1025" s="1">
        <v>12000000</v>
      </c>
      <c r="H1025" s="2">
        <v>5</v>
      </c>
      <c r="I1025" s="6">
        <v>5.6712962962962958E-3</v>
      </c>
      <c r="J1025" s="2" t="s">
        <v>18</v>
      </c>
      <c r="K1025" s="2" t="s">
        <v>35</v>
      </c>
      <c r="L1025" s="2" t="s">
        <v>40</v>
      </c>
      <c r="M1025" s="2" t="s">
        <v>66</v>
      </c>
      <c r="N1025" s="2" t="s">
        <v>36</v>
      </c>
    </row>
    <row r="1026" spans="1:14" x14ac:dyDescent="0.5">
      <c r="A1026" s="2" t="s">
        <v>14</v>
      </c>
      <c r="B1026" s="3">
        <v>10</v>
      </c>
      <c r="C1026" s="4" t="s">
        <v>27</v>
      </c>
      <c r="D1026" s="2" t="s">
        <v>38</v>
      </c>
      <c r="E1026" s="2" t="s">
        <v>42</v>
      </c>
      <c r="F1026" s="5">
        <v>2</v>
      </c>
      <c r="G1026" s="1">
        <v>38000000</v>
      </c>
      <c r="H1026" s="2">
        <v>2</v>
      </c>
      <c r="I1026" s="6">
        <v>5.6712962962962958E-3</v>
      </c>
      <c r="J1026" s="2" t="s">
        <v>74</v>
      </c>
      <c r="K1026" s="2" t="s">
        <v>47</v>
      </c>
      <c r="L1026" s="2" t="s">
        <v>48</v>
      </c>
      <c r="M1026" s="2" t="s">
        <v>78</v>
      </c>
      <c r="N1026" s="2" t="s">
        <v>63</v>
      </c>
    </row>
    <row r="1027" spans="1:14" x14ac:dyDescent="0.5">
      <c r="A1027" s="2" t="s">
        <v>14</v>
      </c>
      <c r="B1027" s="3">
        <v>11</v>
      </c>
      <c r="C1027" s="4" t="s">
        <v>27</v>
      </c>
      <c r="D1027" s="2" t="s">
        <v>16</v>
      </c>
      <c r="E1027" s="2" t="s">
        <v>23</v>
      </c>
      <c r="F1027" s="5">
        <v>2</v>
      </c>
      <c r="G1027" s="1">
        <v>12000000</v>
      </c>
      <c r="H1027" s="2">
        <v>4</v>
      </c>
      <c r="I1027" s="6">
        <v>5.6712962962962958E-3</v>
      </c>
      <c r="J1027" s="2" t="s">
        <v>18</v>
      </c>
      <c r="K1027" s="2" t="s">
        <v>39</v>
      </c>
      <c r="L1027" s="2" t="s">
        <v>30</v>
      </c>
      <c r="M1027" s="2" t="s">
        <v>76</v>
      </c>
      <c r="N1027" s="2" t="s">
        <v>31</v>
      </c>
    </row>
    <row r="1028" spans="1:14" x14ac:dyDescent="0.5">
      <c r="A1028" s="2" t="s">
        <v>14</v>
      </c>
      <c r="B1028" s="3">
        <v>12</v>
      </c>
      <c r="C1028" s="4" t="s">
        <v>27</v>
      </c>
      <c r="D1028" s="2" t="s">
        <v>38</v>
      </c>
      <c r="E1028" s="2" t="s">
        <v>17</v>
      </c>
      <c r="F1028" s="5">
        <v>3</v>
      </c>
      <c r="G1028" s="1">
        <v>15000000</v>
      </c>
      <c r="H1028" s="2">
        <v>4</v>
      </c>
      <c r="I1028" s="6">
        <v>5.6712962962962958E-3</v>
      </c>
      <c r="J1028" s="2" t="s">
        <v>18</v>
      </c>
      <c r="K1028" s="2" t="s">
        <v>24</v>
      </c>
      <c r="L1028" s="2" t="s">
        <v>30</v>
      </c>
      <c r="M1028" s="2" t="s">
        <v>76</v>
      </c>
      <c r="N1028" s="2" t="s">
        <v>31</v>
      </c>
    </row>
    <row r="1029" spans="1:14" x14ac:dyDescent="0.5">
      <c r="A1029" s="2" t="s">
        <v>14</v>
      </c>
      <c r="B1029" s="3">
        <v>27</v>
      </c>
      <c r="C1029" s="4" t="s">
        <v>37</v>
      </c>
      <c r="D1029" s="2" t="s">
        <v>32</v>
      </c>
      <c r="E1029" s="2" t="s">
        <v>45</v>
      </c>
      <c r="F1029" s="5">
        <v>1</v>
      </c>
      <c r="G1029" s="1">
        <v>19000000</v>
      </c>
      <c r="H1029" s="2">
        <v>1</v>
      </c>
      <c r="I1029" s="6">
        <v>5.6712962962962958E-3</v>
      </c>
      <c r="J1029" s="2" t="s">
        <v>46</v>
      </c>
      <c r="K1029" s="2" t="s">
        <v>19</v>
      </c>
      <c r="L1029" s="2" t="s">
        <v>33</v>
      </c>
      <c r="M1029" s="2" t="s">
        <v>78</v>
      </c>
      <c r="N1029" s="2" t="s">
        <v>41</v>
      </c>
    </row>
    <row r="1030" spans="1:14" x14ac:dyDescent="0.5">
      <c r="A1030" s="2" t="s">
        <v>14</v>
      </c>
      <c r="B1030" s="3">
        <v>30</v>
      </c>
      <c r="C1030" s="4" t="s">
        <v>37</v>
      </c>
      <c r="D1030" s="2" t="s">
        <v>38</v>
      </c>
      <c r="E1030" s="2" t="s">
        <v>42</v>
      </c>
      <c r="F1030" s="5">
        <v>4</v>
      </c>
      <c r="G1030" s="1">
        <v>11000000</v>
      </c>
      <c r="H1030" s="2">
        <v>3</v>
      </c>
      <c r="I1030" s="6">
        <v>5.6712962962962958E-3</v>
      </c>
      <c r="J1030" s="2" t="s">
        <v>61</v>
      </c>
      <c r="K1030" s="2" t="s">
        <v>39</v>
      </c>
      <c r="L1030" s="2" t="s">
        <v>43</v>
      </c>
      <c r="M1030" s="2" t="s">
        <v>76</v>
      </c>
      <c r="N1030" s="2" t="s">
        <v>26</v>
      </c>
    </row>
    <row r="1031" spans="1:14" x14ac:dyDescent="0.5">
      <c r="A1031" s="2" t="s">
        <v>14</v>
      </c>
      <c r="B1031" s="3">
        <v>27</v>
      </c>
      <c r="C1031" s="4" t="s">
        <v>37</v>
      </c>
      <c r="D1031" s="2" t="s">
        <v>28</v>
      </c>
      <c r="E1031" s="2" t="s">
        <v>17</v>
      </c>
      <c r="F1031" s="5">
        <v>5</v>
      </c>
      <c r="G1031" s="1">
        <v>25000000</v>
      </c>
      <c r="H1031" s="2">
        <v>2</v>
      </c>
      <c r="I1031" s="6">
        <v>5.6712962962962958E-3</v>
      </c>
      <c r="J1031" s="2" t="s">
        <v>18</v>
      </c>
      <c r="K1031" s="2" t="s">
        <v>39</v>
      </c>
      <c r="L1031" s="2" t="s">
        <v>40</v>
      </c>
      <c r="M1031" s="2" t="s">
        <v>76</v>
      </c>
      <c r="N1031" s="2" t="s">
        <v>52</v>
      </c>
    </row>
    <row r="1032" spans="1:14" x14ac:dyDescent="0.5">
      <c r="A1032" s="2" t="s">
        <v>14</v>
      </c>
      <c r="B1032" s="3">
        <v>9</v>
      </c>
      <c r="C1032" s="4" t="s">
        <v>37</v>
      </c>
      <c r="D1032" s="2" t="s">
        <v>16</v>
      </c>
      <c r="E1032" s="2" t="s">
        <v>42</v>
      </c>
      <c r="F1032" s="5">
        <v>3</v>
      </c>
      <c r="G1032" s="1">
        <v>15000000</v>
      </c>
      <c r="H1032" s="2">
        <v>4</v>
      </c>
      <c r="I1032" s="6">
        <v>5.6712962962962958E-3</v>
      </c>
      <c r="J1032" s="2" t="s">
        <v>18</v>
      </c>
      <c r="K1032" s="2" t="s">
        <v>56</v>
      </c>
      <c r="L1032" s="2" t="s">
        <v>33</v>
      </c>
      <c r="M1032" s="2" t="s">
        <v>66</v>
      </c>
      <c r="N1032" s="2" t="s">
        <v>67</v>
      </c>
    </row>
    <row r="1033" spans="1:14" x14ac:dyDescent="0.5">
      <c r="A1033" s="2" t="s">
        <v>14</v>
      </c>
      <c r="B1033" s="3">
        <v>22</v>
      </c>
      <c r="C1033" s="4" t="s">
        <v>44</v>
      </c>
      <c r="D1033" s="2" t="s">
        <v>73</v>
      </c>
      <c r="E1033" s="2" t="s">
        <v>42</v>
      </c>
      <c r="F1033" s="5">
        <v>3</v>
      </c>
      <c r="G1033" s="1">
        <v>15000000</v>
      </c>
      <c r="H1033" s="2">
        <v>1</v>
      </c>
      <c r="I1033" s="6">
        <v>5.6712962962962958E-3</v>
      </c>
      <c r="J1033" s="2" t="s">
        <v>18</v>
      </c>
      <c r="K1033" s="2" t="s">
        <v>29</v>
      </c>
      <c r="L1033" s="2" t="s">
        <v>48</v>
      </c>
      <c r="M1033" s="2" t="s">
        <v>66</v>
      </c>
      <c r="N1033" s="2" t="s">
        <v>36</v>
      </c>
    </row>
    <row r="1034" spans="1:14" x14ac:dyDescent="0.5">
      <c r="A1034" s="2" t="s">
        <v>14</v>
      </c>
      <c r="B1034" s="3">
        <v>23</v>
      </c>
      <c r="C1034" s="4" t="s">
        <v>69</v>
      </c>
      <c r="D1034" s="2" t="s">
        <v>38</v>
      </c>
      <c r="E1034" s="2" t="s">
        <v>42</v>
      </c>
      <c r="F1034" s="5">
        <v>5</v>
      </c>
      <c r="G1034" s="1">
        <v>21000000</v>
      </c>
      <c r="H1034" s="2">
        <v>1</v>
      </c>
      <c r="I1034" s="6">
        <v>5.6712962962962958E-3</v>
      </c>
      <c r="J1034" s="2" t="s">
        <v>18</v>
      </c>
      <c r="K1034" s="2" t="s">
        <v>64</v>
      </c>
      <c r="L1034" s="2" t="s">
        <v>25</v>
      </c>
      <c r="M1034" s="2" t="s">
        <v>78</v>
      </c>
      <c r="N1034" s="2" t="s">
        <v>41</v>
      </c>
    </row>
    <row r="1035" spans="1:14" x14ac:dyDescent="0.5">
      <c r="A1035" s="2" t="s">
        <v>14</v>
      </c>
      <c r="B1035" s="3">
        <v>11</v>
      </c>
      <c r="C1035" s="4" t="s">
        <v>57</v>
      </c>
      <c r="D1035" s="2" t="s">
        <v>32</v>
      </c>
      <c r="E1035" s="2" t="s">
        <v>42</v>
      </c>
      <c r="F1035" s="5">
        <v>4</v>
      </c>
      <c r="G1035" s="1">
        <v>20000000</v>
      </c>
      <c r="H1035" s="2">
        <v>1</v>
      </c>
      <c r="I1035" s="6">
        <v>5.6712962962962958E-3</v>
      </c>
      <c r="J1035" s="2" t="s">
        <v>18</v>
      </c>
      <c r="K1035" s="2" t="s">
        <v>56</v>
      </c>
      <c r="L1035" s="2" t="s">
        <v>20</v>
      </c>
      <c r="M1035" s="2" t="s">
        <v>78</v>
      </c>
      <c r="N1035" s="2" t="s">
        <v>62</v>
      </c>
    </row>
    <row r="1036" spans="1:14" x14ac:dyDescent="0.5">
      <c r="A1036" s="2" t="s">
        <v>14</v>
      </c>
      <c r="B1036" s="3">
        <v>1</v>
      </c>
      <c r="C1036" s="4" t="s">
        <v>59</v>
      </c>
      <c r="D1036" s="2" t="s">
        <v>38</v>
      </c>
      <c r="E1036" s="2" t="s">
        <v>23</v>
      </c>
      <c r="F1036" s="5">
        <v>2</v>
      </c>
      <c r="G1036" s="1">
        <v>12000000</v>
      </c>
      <c r="H1036" s="2">
        <v>5</v>
      </c>
      <c r="I1036" s="6">
        <v>5.6712962962962958E-3</v>
      </c>
      <c r="J1036" s="2" t="s">
        <v>18</v>
      </c>
      <c r="K1036" s="2" t="s">
        <v>35</v>
      </c>
      <c r="L1036" s="2" t="s">
        <v>40</v>
      </c>
      <c r="M1036" s="2" t="s">
        <v>66</v>
      </c>
      <c r="N1036" s="2" t="s">
        <v>36</v>
      </c>
    </row>
    <row r="1037" spans="1:14" x14ac:dyDescent="0.5">
      <c r="A1037" s="2" t="s">
        <v>70</v>
      </c>
      <c r="B1037" s="3">
        <v>18</v>
      </c>
      <c r="C1037" s="4" t="s">
        <v>58</v>
      </c>
      <c r="D1037" s="2" t="s">
        <v>16</v>
      </c>
      <c r="E1037" s="2" t="s">
        <v>42</v>
      </c>
      <c r="F1037" s="5">
        <v>0</v>
      </c>
      <c r="G1037" s="1">
        <v>0</v>
      </c>
      <c r="H1037" s="2">
        <v>1</v>
      </c>
      <c r="I1037" s="6">
        <v>5.6712962962962958E-3</v>
      </c>
      <c r="J1037" s="2"/>
      <c r="K1037" s="2"/>
      <c r="L1037" s="2" t="s">
        <v>20</v>
      </c>
      <c r="M1037" s="2" t="s">
        <v>76</v>
      </c>
      <c r="N1037" s="2" t="s">
        <v>31</v>
      </c>
    </row>
    <row r="1038" spans="1:14" x14ac:dyDescent="0.5">
      <c r="A1038" s="2" t="s">
        <v>70</v>
      </c>
      <c r="B1038" s="3">
        <v>2</v>
      </c>
      <c r="C1038" s="4" t="s">
        <v>72</v>
      </c>
      <c r="D1038" s="2" t="s">
        <v>16</v>
      </c>
      <c r="E1038" s="2" t="s">
        <v>23</v>
      </c>
      <c r="F1038" s="5">
        <v>0</v>
      </c>
      <c r="G1038" s="1">
        <v>0</v>
      </c>
      <c r="H1038" s="2">
        <v>4</v>
      </c>
      <c r="I1038" s="6">
        <v>5.6712962962962958E-3</v>
      </c>
      <c r="J1038" s="2"/>
      <c r="K1038" s="2"/>
      <c r="L1038" s="2" t="s">
        <v>51</v>
      </c>
      <c r="M1038" s="2" t="s">
        <v>77</v>
      </c>
      <c r="N1038" s="2" t="s">
        <v>54</v>
      </c>
    </row>
    <row r="1039" spans="1:14" x14ac:dyDescent="0.5">
      <c r="A1039" s="2" t="s">
        <v>70</v>
      </c>
      <c r="B1039" s="3">
        <v>18</v>
      </c>
      <c r="C1039" s="4" t="s">
        <v>58</v>
      </c>
      <c r="D1039" s="2" t="s">
        <v>16</v>
      </c>
      <c r="E1039" s="2" t="s">
        <v>42</v>
      </c>
      <c r="F1039" s="5">
        <v>0</v>
      </c>
      <c r="G1039" s="1">
        <v>0</v>
      </c>
      <c r="H1039" s="2">
        <v>1</v>
      </c>
      <c r="I1039" s="6">
        <v>5.6712962962962958E-3</v>
      </c>
      <c r="J1039" s="2"/>
      <c r="K1039" s="2"/>
      <c r="L1039" s="2" t="s">
        <v>20</v>
      </c>
      <c r="M1039" s="2" t="s">
        <v>76</v>
      </c>
      <c r="N1039" s="2" t="s">
        <v>31</v>
      </c>
    </row>
    <row r="1040" spans="1:14" x14ac:dyDescent="0.5">
      <c r="A1040" s="2" t="s">
        <v>70</v>
      </c>
      <c r="B1040" s="3">
        <v>2</v>
      </c>
      <c r="C1040" s="4" t="s">
        <v>72</v>
      </c>
      <c r="D1040" s="2" t="s">
        <v>16</v>
      </c>
      <c r="E1040" s="2" t="s">
        <v>23</v>
      </c>
      <c r="F1040" s="5">
        <v>0</v>
      </c>
      <c r="G1040" s="1">
        <v>0</v>
      </c>
      <c r="H1040" s="2">
        <v>4</v>
      </c>
      <c r="I1040" s="6">
        <v>5.6712962962962958E-3</v>
      </c>
      <c r="J1040" s="2"/>
      <c r="K1040" s="2"/>
      <c r="L1040" s="2" t="s">
        <v>51</v>
      </c>
      <c r="M1040" s="2" t="s">
        <v>77</v>
      </c>
      <c r="N1040" s="2" t="s">
        <v>54</v>
      </c>
    </row>
    <row r="1041" spans="1:14" x14ac:dyDescent="0.5">
      <c r="A1041" s="2" t="s">
        <v>14</v>
      </c>
      <c r="B1041" s="3">
        <v>13</v>
      </c>
      <c r="C1041" s="4" t="s">
        <v>55</v>
      </c>
      <c r="D1041" s="2" t="s">
        <v>16</v>
      </c>
      <c r="E1041" s="2" t="s">
        <v>42</v>
      </c>
      <c r="F1041" s="5">
        <v>4</v>
      </c>
      <c r="G1041" s="1">
        <v>15000000</v>
      </c>
      <c r="H1041" s="2">
        <v>5</v>
      </c>
      <c r="I1041" s="6">
        <v>5.6944444444444438E-3</v>
      </c>
      <c r="J1041" s="2" t="s">
        <v>18</v>
      </c>
      <c r="K1041" s="2" t="s">
        <v>35</v>
      </c>
      <c r="L1041" s="2" t="s">
        <v>48</v>
      </c>
      <c r="M1041" s="2" t="s">
        <v>76</v>
      </c>
      <c r="N1041" s="2" t="s">
        <v>52</v>
      </c>
    </row>
    <row r="1042" spans="1:14" x14ac:dyDescent="0.5">
      <c r="A1042" s="2" t="s">
        <v>14</v>
      </c>
      <c r="B1042" s="3">
        <v>11</v>
      </c>
      <c r="C1042" s="4" t="s">
        <v>57</v>
      </c>
      <c r="D1042" s="2" t="s">
        <v>28</v>
      </c>
      <c r="E1042" s="2" t="s">
        <v>17</v>
      </c>
      <c r="F1042" s="5">
        <v>2</v>
      </c>
      <c r="G1042" s="1">
        <v>38000000</v>
      </c>
      <c r="H1042" s="2">
        <v>2</v>
      </c>
      <c r="I1042" s="6">
        <v>5.6944444444444438E-3</v>
      </c>
      <c r="J1042" s="2" t="s">
        <v>46</v>
      </c>
      <c r="K1042" s="2" t="s">
        <v>19</v>
      </c>
      <c r="L1042" s="2" t="s">
        <v>25</v>
      </c>
      <c r="M1042" s="2" t="s">
        <v>78</v>
      </c>
      <c r="N1042" s="2" t="s">
        <v>62</v>
      </c>
    </row>
    <row r="1043" spans="1:14" x14ac:dyDescent="0.5">
      <c r="A1043" s="2" t="s">
        <v>14</v>
      </c>
      <c r="B1043" s="3">
        <v>12</v>
      </c>
      <c r="C1043" s="4" t="s">
        <v>59</v>
      </c>
      <c r="D1043" s="2" t="s">
        <v>16</v>
      </c>
      <c r="E1043" s="2" t="s">
        <v>42</v>
      </c>
      <c r="F1043" s="5">
        <v>1</v>
      </c>
      <c r="G1043" s="1">
        <v>7000000</v>
      </c>
      <c r="H1043" s="2">
        <v>1</v>
      </c>
      <c r="I1043" s="6">
        <v>5.6944444444444438E-3</v>
      </c>
      <c r="J1043" s="2" t="s">
        <v>18</v>
      </c>
      <c r="K1043" s="2" t="s">
        <v>39</v>
      </c>
      <c r="L1043" s="2" t="s">
        <v>20</v>
      </c>
      <c r="M1043" s="2" t="s">
        <v>77</v>
      </c>
      <c r="N1043" s="2" t="s">
        <v>65</v>
      </c>
    </row>
    <row r="1044" spans="1:14" x14ac:dyDescent="0.5">
      <c r="A1044" s="2" t="s">
        <v>14</v>
      </c>
      <c r="B1044" s="3">
        <v>27</v>
      </c>
      <c r="C1044" s="4" t="s">
        <v>22</v>
      </c>
      <c r="D1044" s="2" t="s">
        <v>32</v>
      </c>
      <c r="E1044" s="2" t="s">
        <v>68</v>
      </c>
      <c r="F1044" s="5">
        <v>5</v>
      </c>
      <c r="G1044" s="1">
        <v>25000000</v>
      </c>
      <c r="H1044" s="2">
        <v>4</v>
      </c>
      <c r="I1044" s="6">
        <v>5.6944444444444438E-3</v>
      </c>
      <c r="J1044" s="2" t="s">
        <v>18</v>
      </c>
      <c r="K1044" s="2" t="s">
        <v>56</v>
      </c>
      <c r="L1044" s="2" t="s">
        <v>51</v>
      </c>
      <c r="M1044" s="2" t="s">
        <v>78</v>
      </c>
      <c r="N1044" s="2" t="s">
        <v>63</v>
      </c>
    </row>
    <row r="1045" spans="1:14" x14ac:dyDescent="0.5">
      <c r="A1045" s="2" t="s">
        <v>14</v>
      </c>
      <c r="B1045" s="3">
        <v>30</v>
      </c>
      <c r="C1045" s="4" t="s">
        <v>27</v>
      </c>
      <c r="D1045" s="2" t="s">
        <v>32</v>
      </c>
      <c r="E1045" s="2" t="s">
        <v>42</v>
      </c>
      <c r="F1045" s="5">
        <v>1</v>
      </c>
      <c r="G1045" s="1">
        <v>19000000</v>
      </c>
      <c r="H1045" s="2">
        <v>5</v>
      </c>
      <c r="I1045" s="6">
        <v>5.6944444444444438E-3</v>
      </c>
      <c r="J1045" s="2" t="s">
        <v>46</v>
      </c>
      <c r="K1045" s="2" t="s">
        <v>56</v>
      </c>
      <c r="L1045" s="2" t="s">
        <v>40</v>
      </c>
      <c r="M1045" s="2" t="s">
        <v>78</v>
      </c>
      <c r="N1045" s="2" t="s">
        <v>63</v>
      </c>
    </row>
    <row r="1046" spans="1:14" x14ac:dyDescent="0.5">
      <c r="A1046" s="2" t="s">
        <v>14</v>
      </c>
      <c r="B1046" s="3">
        <v>19</v>
      </c>
      <c r="C1046" s="4" t="s">
        <v>27</v>
      </c>
      <c r="D1046" s="2" t="s">
        <v>32</v>
      </c>
      <c r="E1046" s="2" t="s">
        <v>68</v>
      </c>
      <c r="F1046" s="5">
        <v>5</v>
      </c>
      <c r="G1046" s="1">
        <v>20000000</v>
      </c>
      <c r="H1046" s="2">
        <v>5</v>
      </c>
      <c r="I1046" s="6">
        <v>5.6944444444444438E-3</v>
      </c>
      <c r="J1046" s="2" t="s">
        <v>18</v>
      </c>
      <c r="K1046" s="2" t="s">
        <v>39</v>
      </c>
      <c r="L1046" s="2" t="s">
        <v>33</v>
      </c>
      <c r="M1046" s="2" t="s">
        <v>78</v>
      </c>
      <c r="N1046" s="2" t="s">
        <v>53</v>
      </c>
    </row>
    <row r="1047" spans="1:14" x14ac:dyDescent="0.5">
      <c r="A1047" s="2" t="s">
        <v>14</v>
      </c>
      <c r="B1047" s="3">
        <v>12</v>
      </c>
      <c r="C1047" s="4" t="s">
        <v>27</v>
      </c>
      <c r="D1047" s="2" t="s">
        <v>16</v>
      </c>
      <c r="E1047" s="2" t="s">
        <v>42</v>
      </c>
      <c r="F1047" s="5">
        <v>3</v>
      </c>
      <c r="G1047" s="1">
        <v>11000000</v>
      </c>
      <c r="H1047" s="2">
        <v>5</v>
      </c>
      <c r="I1047" s="6">
        <v>5.6944444444444438E-3</v>
      </c>
      <c r="J1047" s="2" t="s">
        <v>18</v>
      </c>
      <c r="K1047" s="2" t="s">
        <v>64</v>
      </c>
      <c r="L1047" s="2" t="s">
        <v>25</v>
      </c>
      <c r="M1047" s="2" t="s">
        <v>66</v>
      </c>
      <c r="N1047" s="2" t="s">
        <v>67</v>
      </c>
    </row>
    <row r="1048" spans="1:14" x14ac:dyDescent="0.5">
      <c r="A1048" s="2" t="s">
        <v>14</v>
      </c>
      <c r="B1048" s="3">
        <v>21</v>
      </c>
      <c r="C1048" s="4" t="s">
        <v>37</v>
      </c>
      <c r="D1048" s="2" t="s">
        <v>16</v>
      </c>
      <c r="E1048" s="2" t="s">
        <v>23</v>
      </c>
      <c r="F1048" s="5">
        <v>2</v>
      </c>
      <c r="G1048" s="1">
        <v>12000000</v>
      </c>
      <c r="H1048" s="2">
        <v>1</v>
      </c>
      <c r="I1048" s="6">
        <v>5.6944444444444438E-3</v>
      </c>
      <c r="J1048" s="2" t="s">
        <v>18</v>
      </c>
      <c r="K1048" s="2" t="s">
        <v>47</v>
      </c>
      <c r="L1048" s="2" t="s">
        <v>20</v>
      </c>
      <c r="M1048" s="2" t="s">
        <v>76</v>
      </c>
      <c r="N1048" s="2" t="s">
        <v>71</v>
      </c>
    </row>
    <row r="1049" spans="1:14" x14ac:dyDescent="0.5">
      <c r="A1049" s="2" t="s">
        <v>14</v>
      </c>
      <c r="B1049" s="3">
        <v>17</v>
      </c>
      <c r="C1049" s="4" t="s">
        <v>44</v>
      </c>
      <c r="D1049" s="2" t="s">
        <v>38</v>
      </c>
      <c r="E1049" s="2" t="s">
        <v>42</v>
      </c>
      <c r="F1049" s="5">
        <v>2</v>
      </c>
      <c r="G1049" s="1">
        <v>12000000</v>
      </c>
      <c r="H1049" s="2">
        <v>4</v>
      </c>
      <c r="I1049" s="6">
        <v>5.6944444444444438E-3</v>
      </c>
      <c r="J1049" s="2" t="s">
        <v>18</v>
      </c>
      <c r="K1049" s="2" t="s">
        <v>64</v>
      </c>
      <c r="L1049" s="2" t="s">
        <v>20</v>
      </c>
      <c r="M1049" s="2" t="s">
        <v>66</v>
      </c>
      <c r="N1049" s="2" t="s">
        <v>36</v>
      </c>
    </row>
    <row r="1050" spans="1:14" x14ac:dyDescent="0.5">
      <c r="A1050" s="2" t="s">
        <v>14</v>
      </c>
      <c r="B1050" s="3">
        <v>15</v>
      </c>
      <c r="C1050" s="4" t="s">
        <v>69</v>
      </c>
      <c r="D1050" s="2" t="s">
        <v>28</v>
      </c>
      <c r="E1050" s="2" t="s">
        <v>68</v>
      </c>
      <c r="F1050" s="5">
        <v>4</v>
      </c>
      <c r="G1050" s="1">
        <v>20000000</v>
      </c>
      <c r="H1050" s="2">
        <v>2</v>
      </c>
      <c r="I1050" s="6">
        <v>5.6944444444444438E-3</v>
      </c>
      <c r="J1050" s="2" t="s">
        <v>61</v>
      </c>
      <c r="K1050" s="2" t="s">
        <v>29</v>
      </c>
      <c r="L1050" s="2" t="s">
        <v>43</v>
      </c>
      <c r="M1050" s="2" t="s">
        <v>76</v>
      </c>
      <c r="N1050" s="2" t="s">
        <v>52</v>
      </c>
    </row>
    <row r="1051" spans="1:14" x14ac:dyDescent="0.5">
      <c r="A1051" s="2" t="s">
        <v>14</v>
      </c>
      <c r="B1051" s="3">
        <v>1</v>
      </c>
      <c r="C1051" s="4" t="s">
        <v>69</v>
      </c>
      <c r="D1051" s="2" t="s">
        <v>38</v>
      </c>
      <c r="E1051" s="2" t="s">
        <v>42</v>
      </c>
      <c r="F1051" s="5">
        <v>3</v>
      </c>
      <c r="G1051" s="1">
        <v>12000000</v>
      </c>
      <c r="H1051" s="2">
        <v>4</v>
      </c>
      <c r="I1051" s="6">
        <v>5.6944444444444438E-3</v>
      </c>
      <c r="J1051" s="2" t="s">
        <v>18</v>
      </c>
      <c r="K1051" s="2" t="s">
        <v>19</v>
      </c>
      <c r="L1051" s="2" t="s">
        <v>43</v>
      </c>
      <c r="M1051" s="2" t="s">
        <v>77</v>
      </c>
      <c r="N1051" s="2" t="s">
        <v>54</v>
      </c>
    </row>
    <row r="1052" spans="1:14" x14ac:dyDescent="0.5">
      <c r="A1052" s="2" t="s">
        <v>14</v>
      </c>
      <c r="B1052" s="3">
        <v>13</v>
      </c>
      <c r="C1052" s="4" t="s">
        <v>55</v>
      </c>
      <c r="D1052" s="2" t="s">
        <v>16</v>
      </c>
      <c r="E1052" s="2" t="s">
        <v>42</v>
      </c>
      <c r="F1052" s="5">
        <v>4</v>
      </c>
      <c r="G1052" s="1">
        <v>15000000</v>
      </c>
      <c r="H1052" s="2">
        <v>5</v>
      </c>
      <c r="I1052" s="6">
        <v>5.6944444444444438E-3</v>
      </c>
      <c r="J1052" s="2" t="s">
        <v>18</v>
      </c>
      <c r="K1052" s="2" t="s">
        <v>35</v>
      </c>
      <c r="L1052" s="2" t="s">
        <v>48</v>
      </c>
      <c r="M1052" s="2" t="s">
        <v>76</v>
      </c>
      <c r="N1052" s="2" t="s">
        <v>52</v>
      </c>
    </row>
    <row r="1053" spans="1:14" x14ac:dyDescent="0.5">
      <c r="A1053" s="2" t="s">
        <v>14</v>
      </c>
      <c r="B1053" s="3">
        <v>11</v>
      </c>
      <c r="C1053" s="4" t="s">
        <v>57</v>
      </c>
      <c r="D1053" s="2" t="s">
        <v>28</v>
      </c>
      <c r="E1053" s="2" t="s">
        <v>17</v>
      </c>
      <c r="F1053" s="5">
        <v>2</v>
      </c>
      <c r="G1053" s="1">
        <v>38000000</v>
      </c>
      <c r="H1053" s="2">
        <v>2</v>
      </c>
      <c r="I1053" s="6">
        <v>5.6944444444444438E-3</v>
      </c>
      <c r="J1053" s="2" t="s">
        <v>46</v>
      </c>
      <c r="K1053" s="2" t="s">
        <v>19</v>
      </c>
      <c r="L1053" s="2" t="s">
        <v>25</v>
      </c>
      <c r="M1053" s="2" t="s">
        <v>78</v>
      </c>
      <c r="N1053" s="2" t="s">
        <v>62</v>
      </c>
    </row>
    <row r="1054" spans="1:14" x14ac:dyDescent="0.5">
      <c r="A1054" s="2" t="s">
        <v>14</v>
      </c>
      <c r="B1054" s="3">
        <v>12</v>
      </c>
      <c r="C1054" s="4" t="s">
        <v>59</v>
      </c>
      <c r="D1054" s="2" t="s">
        <v>16</v>
      </c>
      <c r="E1054" s="2" t="s">
        <v>42</v>
      </c>
      <c r="F1054" s="5">
        <v>1</v>
      </c>
      <c r="G1054" s="1">
        <v>7000000</v>
      </c>
      <c r="H1054" s="2">
        <v>1</v>
      </c>
      <c r="I1054" s="6">
        <v>5.6944444444444438E-3</v>
      </c>
      <c r="J1054" s="2" t="s">
        <v>18</v>
      </c>
      <c r="K1054" s="2" t="s">
        <v>39</v>
      </c>
      <c r="L1054" s="2" t="s">
        <v>20</v>
      </c>
      <c r="M1054" s="2" t="s">
        <v>77</v>
      </c>
      <c r="N1054" s="2" t="s">
        <v>65</v>
      </c>
    </row>
    <row r="1055" spans="1:14" x14ac:dyDescent="0.5">
      <c r="A1055" s="2" t="s">
        <v>14</v>
      </c>
      <c r="B1055" s="3">
        <v>27</v>
      </c>
      <c r="C1055" s="4" t="s">
        <v>22</v>
      </c>
      <c r="D1055" s="2" t="s">
        <v>32</v>
      </c>
      <c r="E1055" s="2" t="s">
        <v>68</v>
      </c>
      <c r="F1055" s="5">
        <v>5</v>
      </c>
      <c r="G1055" s="1">
        <v>25000000</v>
      </c>
      <c r="H1055" s="2">
        <v>4</v>
      </c>
      <c r="I1055" s="6">
        <v>5.6944444444444438E-3</v>
      </c>
      <c r="J1055" s="2" t="s">
        <v>18</v>
      </c>
      <c r="K1055" s="2" t="s">
        <v>56</v>
      </c>
      <c r="L1055" s="2" t="s">
        <v>51</v>
      </c>
      <c r="M1055" s="2" t="s">
        <v>78</v>
      </c>
      <c r="N1055" s="2" t="s">
        <v>63</v>
      </c>
    </row>
    <row r="1056" spans="1:14" x14ac:dyDescent="0.5">
      <c r="A1056" s="2" t="s">
        <v>70</v>
      </c>
      <c r="B1056" s="3">
        <v>12</v>
      </c>
      <c r="C1056" s="4" t="s">
        <v>58</v>
      </c>
      <c r="D1056" s="2" t="s">
        <v>49</v>
      </c>
      <c r="E1056" s="2" t="s">
        <v>23</v>
      </c>
      <c r="F1056" s="5">
        <v>0</v>
      </c>
      <c r="G1056" s="1">
        <v>0</v>
      </c>
      <c r="H1056" s="2">
        <v>3</v>
      </c>
      <c r="I1056" s="6">
        <v>5.6944444444444438E-3</v>
      </c>
      <c r="J1056" s="2"/>
      <c r="K1056" s="2"/>
      <c r="L1056" s="2" t="s">
        <v>51</v>
      </c>
      <c r="M1056" s="2" t="s">
        <v>77</v>
      </c>
      <c r="N1056" s="2" t="s">
        <v>54</v>
      </c>
    </row>
    <row r="1057" spans="1:14" x14ac:dyDescent="0.5">
      <c r="A1057" s="2" t="s">
        <v>70</v>
      </c>
      <c r="B1057" s="3">
        <v>25</v>
      </c>
      <c r="C1057" s="4" t="s">
        <v>44</v>
      </c>
      <c r="D1057" s="2" t="s">
        <v>16</v>
      </c>
      <c r="E1057" s="2" t="s">
        <v>42</v>
      </c>
      <c r="F1057" s="5">
        <v>0</v>
      </c>
      <c r="G1057" s="1">
        <v>0</v>
      </c>
      <c r="H1057" s="2">
        <v>1</v>
      </c>
      <c r="I1057" s="6">
        <v>5.6944444444444438E-3</v>
      </c>
      <c r="J1057" s="2"/>
      <c r="K1057" s="2"/>
      <c r="L1057" s="2" t="s">
        <v>48</v>
      </c>
      <c r="M1057" s="2" t="s">
        <v>66</v>
      </c>
      <c r="N1057" s="2" t="s">
        <v>67</v>
      </c>
    </row>
    <row r="1058" spans="1:14" x14ac:dyDescent="0.5">
      <c r="A1058" s="2" t="s">
        <v>70</v>
      </c>
      <c r="B1058" s="3">
        <v>12</v>
      </c>
      <c r="C1058" s="4" t="s">
        <v>58</v>
      </c>
      <c r="D1058" s="2" t="s">
        <v>49</v>
      </c>
      <c r="E1058" s="2" t="s">
        <v>23</v>
      </c>
      <c r="F1058" s="5">
        <v>0</v>
      </c>
      <c r="G1058" s="1">
        <v>0</v>
      </c>
      <c r="H1058" s="2">
        <v>3</v>
      </c>
      <c r="I1058" s="6">
        <v>5.6944444444444438E-3</v>
      </c>
      <c r="J1058" s="2"/>
      <c r="K1058" s="2"/>
      <c r="L1058" s="2" t="s">
        <v>51</v>
      </c>
      <c r="M1058" s="2" t="s">
        <v>77</v>
      </c>
      <c r="N1058" s="2" t="s">
        <v>54</v>
      </c>
    </row>
    <row r="1059" spans="1:14" x14ac:dyDescent="0.5">
      <c r="A1059" s="2" t="s">
        <v>14</v>
      </c>
      <c r="B1059" s="3">
        <v>12</v>
      </c>
      <c r="C1059" s="4" t="s">
        <v>22</v>
      </c>
      <c r="D1059" s="2" t="s">
        <v>16</v>
      </c>
      <c r="E1059" s="2" t="s">
        <v>42</v>
      </c>
      <c r="F1059" s="5">
        <v>3</v>
      </c>
      <c r="G1059" s="1">
        <v>15000000</v>
      </c>
      <c r="H1059" s="2">
        <v>1</v>
      </c>
      <c r="I1059" s="6">
        <v>5.7870370370370376E-3</v>
      </c>
      <c r="J1059" s="2" t="s">
        <v>18</v>
      </c>
      <c r="K1059" s="2" t="s">
        <v>35</v>
      </c>
      <c r="L1059" s="2" t="s">
        <v>40</v>
      </c>
      <c r="M1059" s="2" t="s">
        <v>76</v>
      </c>
      <c r="N1059" s="2" t="s">
        <v>26</v>
      </c>
    </row>
    <row r="1060" spans="1:14" x14ac:dyDescent="0.5">
      <c r="A1060" s="2" t="s">
        <v>14</v>
      </c>
      <c r="B1060" s="3">
        <v>30</v>
      </c>
      <c r="C1060" s="4" t="s">
        <v>27</v>
      </c>
      <c r="D1060" s="2" t="s">
        <v>28</v>
      </c>
      <c r="E1060" s="2" t="s">
        <v>42</v>
      </c>
      <c r="F1060" s="5">
        <v>2</v>
      </c>
      <c r="G1060" s="1">
        <v>12000000</v>
      </c>
      <c r="H1060" s="2">
        <v>2</v>
      </c>
      <c r="I1060" s="6">
        <v>5.7870370370370376E-3</v>
      </c>
      <c r="J1060" s="2" t="s">
        <v>18</v>
      </c>
      <c r="K1060" s="2" t="s">
        <v>64</v>
      </c>
      <c r="L1060" s="2" t="s">
        <v>30</v>
      </c>
      <c r="M1060" s="2" t="s">
        <v>77</v>
      </c>
      <c r="N1060" s="2" t="s">
        <v>54</v>
      </c>
    </row>
    <row r="1061" spans="1:14" x14ac:dyDescent="0.5">
      <c r="A1061" s="2" t="s">
        <v>14</v>
      </c>
      <c r="B1061" s="3">
        <v>6</v>
      </c>
      <c r="C1061" s="4" t="s">
        <v>27</v>
      </c>
      <c r="D1061" s="2" t="s">
        <v>32</v>
      </c>
      <c r="E1061" s="2" t="s">
        <v>42</v>
      </c>
      <c r="F1061" s="5">
        <v>5</v>
      </c>
      <c r="G1061" s="1">
        <v>20000000</v>
      </c>
      <c r="H1061" s="2">
        <v>2</v>
      </c>
      <c r="I1061" s="6">
        <v>5.7870370370370376E-3</v>
      </c>
      <c r="J1061" s="2" t="s">
        <v>18</v>
      </c>
      <c r="K1061" s="2" t="s">
        <v>39</v>
      </c>
      <c r="L1061" s="2" t="s">
        <v>43</v>
      </c>
      <c r="M1061" s="2" t="s">
        <v>78</v>
      </c>
      <c r="N1061" s="2" t="s">
        <v>53</v>
      </c>
    </row>
    <row r="1062" spans="1:14" x14ac:dyDescent="0.5">
      <c r="A1062" s="2" t="s">
        <v>14</v>
      </c>
      <c r="B1062" s="3">
        <v>21</v>
      </c>
      <c r="C1062" s="4" t="s">
        <v>37</v>
      </c>
      <c r="D1062" s="2" t="s">
        <v>28</v>
      </c>
      <c r="E1062" s="2" t="s">
        <v>23</v>
      </c>
      <c r="F1062" s="5">
        <v>1</v>
      </c>
      <c r="G1062" s="1">
        <v>7000000</v>
      </c>
      <c r="H1062" s="2">
        <v>2</v>
      </c>
      <c r="I1062" s="6">
        <v>5.7870370370370376E-3</v>
      </c>
      <c r="J1062" s="2" t="s">
        <v>18</v>
      </c>
      <c r="K1062" s="2" t="s">
        <v>19</v>
      </c>
      <c r="L1062" s="2" t="s">
        <v>30</v>
      </c>
      <c r="M1062" s="2" t="s">
        <v>76</v>
      </c>
      <c r="N1062" s="2" t="s">
        <v>75</v>
      </c>
    </row>
    <row r="1063" spans="1:14" x14ac:dyDescent="0.5">
      <c r="A1063" s="2" t="s">
        <v>14</v>
      </c>
      <c r="B1063" s="3">
        <v>22</v>
      </c>
      <c r="C1063" s="4" t="s">
        <v>37</v>
      </c>
      <c r="D1063" s="2" t="s">
        <v>49</v>
      </c>
      <c r="E1063" s="2" t="s">
        <v>23</v>
      </c>
      <c r="F1063" s="5">
        <v>3</v>
      </c>
      <c r="G1063" s="1">
        <v>15000000</v>
      </c>
      <c r="H1063" s="2">
        <v>5</v>
      </c>
      <c r="I1063" s="6">
        <v>5.7870370370370376E-3</v>
      </c>
      <c r="J1063" s="2" t="s">
        <v>18</v>
      </c>
      <c r="K1063" s="2" t="s">
        <v>39</v>
      </c>
      <c r="L1063" s="2" t="s">
        <v>48</v>
      </c>
      <c r="M1063" s="2" t="s">
        <v>78</v>
      </c>
      <c r="N1063" s="2" t="s">
        <v>66</v>
      </c>
    </row>
    <row r="1064" spans="1:14" x14ac:dyDescent="0.5">
      <c r="A1064" s="2" t="s">
        <v>14</v>
      </c>
      <c r="B1064" s="3">
        <v>12</v>
      </c>
      <c r="C1064" s="4" t="s">
        <v>37</v>
      </c>
      <c r="D1064" s="2" t="s">
        <v>28</v>
      </c>
      <c r="E1064" s="2" t="s">
        <v>42</v>
      </c>
      <c r="F1064" s="5">
        <v>4</v>
      </c>
      <c r="G1064" s="1">
        <v>15000000</v>
      </c>
      <c r="H1064" s="2">
        <v>4</v>
      </c>
      <c r="I1064" s="6">
        <v>5.7870370370370376E-3</v>
      </c>
      <c r="J1064" s="2" t="s">
        <v>18</v>
      </c>
      <c r="K1064" s="2" t="s">
        <v>56</v>
      </c>
      <c r="L1064" s="2" t="s">
        <v>33</v>
      </c>
      <c r="M1064" s="2" t="s">
        <v>76</v>
      </c>
      <c r="N1064" s="2" t="s">
        <v>52</v>
      </c>
    </row>
    <row r="1065" spans="1:14" x14ac:dyDescent="0.5">
      <c r="A1065" s="2" t="s">
        <v>14</v>
      </c>
      <c r="B1065" s="3">
        <v>23</v>
      </c>
      <c r="C1065" s="4" t="s">
        <v>44</v>
      </c>
      <c r="D1065" s="2" t="s">
        <v>28</v>
      </c>
      <c r="E1065" s="2" t="s">
        <v>23</v>
      </c>
      <c r="F1065" s="5">
        <v>2</v>
      </c>
      <c r="G1065" s="1">
        <v>12000000</v>
      </c>
      <c r="H1065" s="2">
        <v>1</v>
      </c>
      <c r="I1065" s="6">
        <v>5.7870370370370376E-3</v>
      </c>
      <c r="J1065" s="2" t="s">
        <v>18</v>
      </c>
      <c r="K1065" s="2" t="s">
        <v>35</v>
      </c>
      <c r="L1065" s="2" t="s">
        <v>25</v>
      </c>
      <c r="M1065" s="2" t="s">
        <v>78</v>
      </c>
      <c r="N1065" s="2" t="s">
        <v>41</v>
      </c>
    </row>
    <row r="1066" spans="1:14" x14ac:dyDescent="0.5">
      <c r="A1066" s="2" t="s">
        <v>14</v>
      </c>
      <c r="B1066" s="3">
        <v>29</v>
      </c>
      <c r="C1066" s="4" t="s">
        <v>44</v>
      </c>
      <c r="D1066" s="2" t="s">
        <v>38</v>
      </c>
      <c r="E1066" s="2" t="s">
        <v>17</v>
      </c>
      <c r="F1066" s="5">
        <v>2</v>
      </c>
      <c r="G1066" s="1">
        <v>12000000</v>
      </c>
      <c r="H1066" s="2">
        <v>2</v>
      </c>
      <c r="I1066" s="6">
        <v>5.7870370370370376E-3</v>
      </c>
      <c r="J1066" s="2" t="s">
        <v>18</v>
      </c>
      <c r="K1066" s="2" t="s">
        <v>39</v>
      </c>
      <c r="L1066" s="2" t="s">
        <v>48</v>
      </c>
      <c r="M1066" s="2" t="s">
        <v>78</v>
      </c>
      <c r="N1066" s="2" t="s">
        <v>53</v>
      </c>
    </row>
    <row r="1067" spans="1:14" x14ac:dyDescent="0.5">
      <c r="A1067" s="2" t="s">
        <v>14</v>
      </c>
      <c r="B1067" s="3">
        <v>21</v>
      </c>
      <c r="C1067" s="4" t="s">
        <v>69</v>
      </c>
      <c r="D1067" s="2" t="s">
        <v>16</v>
      </c>
      <c r="E1067" s="2" t="s">
        <v>42</v>
      </c>
      <c r="F1067" s="5">
        <v>1</v>
      </c>
      <c r="G1067" s="1">
        <v>19000000</v>
      </c>
      <c r="H1067" s="2">
        <v>2</v>
      </c>
      <c r="I1067" s="6">
        <v>5.7870370370370376E-3</v>
      </c>
      <c r="J1067" s="2" t="s">
        <v>46</v>
      </c>
      <c r="K1067" s="2" t="s">
        <v>56</v>
      </c>
      <c r="L1067" s="2" t="s">
        <v>30</v>
      </c>
      <c r="M1067" s="2" t="s">
        <v>78</v>
      </c>
      <c r="N1067" s="2" t="s">
        <v>66</v>
      </c>
    </row>
    <row r="1068" spans="1:14" x14ac:dyDescent="0.5">
      <c r="A1068" s="2" t="s">
        <v>14</v>
      </c>
      <c r="B1068" s="3">
        <v>24</v>
      </c>
      <c r="C1068" s="4" t="s">
        <v>69</v>
      </c>
      <c r="D1068" s="2" t="s">
        <v>16</v>
      </c>
      <c r="E1068" s="2" t="s">
        <v>23</v>
      </c>
      <c r="F1068" s="5">
        <v>3</v>
      </c>
      <c r="G1068" s="1">
        <v>15000000</v>
      </c>
      <c r="H1068" s="2">
        <v>1</v>
      </c>
      <c r="I1068" s="6">
        <v>5.7870370370370376E-3</v>
      </c>
      <c r="J1068" s="2" t="s">
        <v>18</v>
      </c>
      <c r="K1068" s="2" t="s">
        <v>24</v>
      </c>
      <c r="L1068" s="2" t="s">
        <v>33</v>
      </c>
      <c r="M1068" s="2" t="s">
        <v>76</v>
      </c>
      <c r="N1068" s="2" t="s">
        <v>26</v>
      </c>
    </row>
    <row r="1069" spans="1:14" x14ac:dyDescent="0.5">
      <c r="A1069" s="2" t="s">
        <v>70</v>
      </c>
      <c r="B1069" s="3">
        <v>20</v>
      </c>
      <c r="C1069" s="4" t="s">
        <v>27</v>
      </c>
      <c r="D1069" s="2" t="s">
        <v>16</v>
      </c>
      <c r="E1069" s="2" t="s">
        <v>42</v>
      </c>
      <c r="F1069" s="5">
        <v>0</v>
      </c>
      <c r="G1069" s="1">
        <v>0</v>
      </c>
      <c r="H1069" s="2">
        <v>1</v>
      </c>
      <c r="I1069" s="6">
        <v>5.7870370370370376E-3</v>
      </c>
      <c r="J1069" s="2"/>
      <c r="K1069" s="2"/>
      <c r="L1069" s="2" t="s">
        <v>48</v>
      </c>
      <c r="M1069" s="2" t="s">
        <v>76</v>
      </c>
      <c r="N1069" s="2" t="s">
        <v>52</v>
      </c>
    </row>
    <row r="1070" spans="1:14" x14ac:dyDescent="0.5">
      <c r="A1070" s="2" t="s">
        <v>70</v>
      </c>
      <c r="B1070" s="3">
        <v>8</v>
      </c>
      <c r="C1070" s="4" t="s">
        <v>37</v>
      </c>
      <c r="D1070" s="2" t="s">
        <v>38</v>
      </c>
      <c r="E1070" s="2" t="s">
        <v>42</v>
      </c>
      <c r="F1070" s="5">
        <v>0</v>
      </c>
      <c r="G1070" s="1">
        <v>0</v>
      </c>
      <c r="H1070" s="2">
        <v>5</v>
      </c>
      <c r="I1070" s="6">
        <v>5.7870370370370376E-3</v>
      </c>
      <c r="J1070" s="2"/>
      <c r="K1070" s="2"/>
      <c r="L1070" s="2" t="s">
        <v>20</v>
      </c>
      <c r="M1070" s="2" t="s">
        <v>77</v>
      </c>
      <c r="N1070" s="2" t="s">
        <v>54</v>
      </c>
    </row>
    <row r="1071" spans="1:14" x14ac:dyDescent="0.5">
      <c r="A1071" s="2" t="s">
        <v>70</v>
      </c>
      <c r="B1071" s="3">
        <v>31</v>
      </c>
      <c r="C1071" s="4" t="s">
        <v>69</v>
      </c>
      <c r="D1071" s="2" t="s">
        <v>16</v>
      </c>
      <c r="E1071" s="2" t="s">
        <v>42</v>
      </c>
      <c r="F1071" s="5">
        <v>0</v>
      </c>
      <c r="G1071" s="1">
        <v>0</v>
      </c>
      <c r="H1071" s="2">
        <v>1</v>
      </c>
      <c r="I1071" s="6">
        <v>5.7870370370370376E-3</v>
      </c>
      <c r="J1071" s="2"/>
      <c r="K1071" s="2"/>
      <c r="L1071" s="2" t="s">
        <v>51</v>
      </c>
      <c r="M1071" s="2" t="s">
        <v>66</v>
      </c>
      <c r="N1071" s="2" t="s">
        <v>36</v>
      </c>
    </row>
    <row r="1072" spans="1:14" x14ac:dyDescent="0.5">
      <c r="A1072" s="2" t="s">
        <v>14</v>
      </c>
      <c r="B1072" s="3">
        <v>30</v>
      </c>
      <c r="C1072" s="4" t="s">
        <v>22</v>
      </c>
      <c r="D1072" s="2" t="s">
        <v>28</v>
      </c>
      <c r="E1072" s="2" t="s">
        <v>17</v>
      </c>
      <c r="F1072" s="5">
        <v>2</v>
      </c>
      <c r="G1072" s="1">
        <v>38000000</v>
      </c>
      <c r="H1072" s="2">
        <v>2</v>
      </c>
      <c r="I1072" s="6">
        <v>6.0185185185185177E-3</v>
      </c>
      <c r="J1072" s="2" t="s">
        <v>46</v>
      </c>
      <c r="K1072" s="2" t="s">
        <v>56</v>
      </c>
      <c r="L1072" s="2" t="s">
        <v>20</v>
      </c>
      <c r="M1072" s="2" t="s">
        <v>76</v>
      </c>
      <c r="N1072" s="2" t="s">
        <v>31</v>
      </c>
    </row>
    <row r="1073" spans="1:14" x14ac:dyDescent="0.5">
      <c r="A1073" s="2" t="s">
        <v>14</v>
      </c>
      <c r="B1073" s="3">
        <v>28</v>
      </c>
      <c r="C1073" s="4" t="s">
        <v>27</v>
      </c>
      <c r="D1073" s="2" t="s">
        <v>16</v>
      </c>
      <c r="E1073" s="2" t="s">
        <v>42</v>
      </c>
      <c r="F1073" s="5">
        <v>2</v>
      </c>
      <c r="G1073" s="1">
        <v>12000000</v>
      </c>
      <c r="H1073" s="2">
        <v>2</v>
      </c>
      <c r="I1073" s="6">
        <v>6.0185185185185177E-3</v>
      </c>
      <c r="J1073" s="2" t="s">
        <v>18</v>
      </c>
      <c r="K1073" s="2" t="s">
        <v>29</v>
      </c>
      <c r="L1073" s="2" t="s">
        <v>30</v>
      </c>
      <c r="M1073" s="2" t="s">
        <v>66</v>
      </c>
      <c r="N1073" s="2" t="s">
        <v>67</v>
      </c>
    </row>
    <row r="1074" spans="1:14" x14ac:dyDescent="0.5">
      <c r="A1074" s="2" t="s">
        <v>14</v>
      </c>
      <c r="B1074" s="3">
        <v>28</v>
      </c>
      <c r="C1074" s="4" t="s">
        <v>27</v>
      </c>
      <c r="D1074" s="2" t="s">
        <v>38</v>
      </c>
      <c r="E1074" s="2" t="s">
        <v>23</v>
      </c>
      <c r="F1074" s="5">
        <v>3</v>
      </c>
      <c r="G1074" s="1">
        <v>15000000</v>
      </c>
      <c r="H1074" s="2">
        <v>2</v>
      </c>
      <c r="I1074" s="6">
        <v>6.0185185185185177E-3</v>
      </c>
      <c r="J1074" s="2" t="s">
        <v>18</v>
      </c>
      <c r="K1074" s="2" t="s">
        <v>19</v>
      </c>
      <c r="L1074" s="2" t="s">
        <v>30</v>
      </c>
      <c r="M1074" s="2" t="s">
        <v>66</v>
      </c>
      <c r="N1074" s="2" t="s">
        <v>67</v>
      </c>
    </row>
    <row r="1075" spans="1:14" x14ac:dyDescent="0.5">
      <c r="A1075" s="2" t="s">
        <v>14</v>
      </c>
      <c r="B1075" s="3">
        <v>30</v>
      </c>
      <c r="C1075" s="4" t="s">
        <v>27</v>
      </c>
      <c r="D1075" s="2" t="s">
        <v>73</v>
      </c>
      <c r="E1075" s="2" t="s">
        <v>23</v>
      </c>
      <c r="F1075" s="5">
        <v>3</v>
      </c>
      <c r="G1075" s="1">
        <v>15000000</v>
      </c>
      <c r="H1075" s="2">
        <v>4</v>
      </c>
      <c r="I1075" s="6">
        <v>6.0185185185185177E-3</v>
      </c>
      <c r="J1075" s="2" t="s">
        <v>18</v>
      </c>
      <c r="K1075" s="2" t="s">
        <v>56</v>
      </c>
      <c r="L1075" s="2" t="s">
        <v>33</v>
      </c>
      <c r="M1075" s="2" t="s">
        <v>76</v>
      </c>
      <c r="N1075" s="2" t="s">
        <v>26</v>
      </c>
    </row>
    <row r="1076" spans="1:14" x14ac:dyDescent="0.5">
      <c r="A1076" s="2" t="s">
        <v>14</v>
      </c>
      <c r="B1076" s="3">
        <v>30</v>
      </c>
      <c r="C1076" s="4" t="s">
        <v>27</v>
      </c>
      <c r="D1076" s="2" t="s">
        <v>32</v>
      </c>
      <c r="E1076" s="2" t="s">
        <v>17</v>
      </c>
      <c r="F1076" s="5">
        <v>2</v>
      </c>
      <c r="G1076" s="1">
        <v>12000000</v>
      </c>
      <c r="H1076" s="2">
        <v>2</v>
      </c>
      <c r="I1076" s="6">
        <v>6.0185185185185177E-3</v>
      </c>
      <c r="J1076" s="2" t="s">
        <v>18</v>
      </c>
      <c r="K1076" s="2" t="s">
        <v>56</v>
      </c>
      <c r="L1076" s="2" t="s">
        <v>43</v>
      </c>
      <c r="M1076" s="2" t="s">
        <v>76</v>
      </c>
      <c r="N1076" s="2" t="s">
        <v>26</v>
      </c>
    </row>
    <row r="1077" spans="1:14" x14ac:dyDescent="0.5">
      <c r="A1077" s="2" t="s">
        <v>14</v>
      </c>
      <c r="B1077" s="3">
        <v>6</v>
      </c>
      <c r="C1077" s="4" t="s">
        <v>27</v>
      </c>
      <c r="D1077" s="2" t="s">
        <v>73</v>
      </c>
      <c r="E1077" s="2" t="s">
        <v>23</v>
      </c>
      <c r="F1077" s="5">
        <v>3</v>
      </c>
      <c r="G1077" s="1">
        <v>15000000</v>
      </c>
      <c r="H1077" s="2">
        <v>4</v>
      </c>
      <c r="I1077" s="6">
        <v>6.0185185185185177E-3</v>
      </c>
      <c r="J1077" s="2" t="s">
        <v>18</v>
      </c>
      <c r="K1077" s="2" t="s">
        <v>39</v>
      </c>
      <c r="L1077" s="2" t="s">
        <v>48</v>
      </c>
      <c r="M1077" s="2" t="s">
        <v>76</v>
      </c>
      <c r="N1077" s="2" t="s">
        <v>26</v>
      </c>
    </row>
    <row r="1078" spans="1:14" x14ac:dyDescent="0.5">
      <c r="A1078" s="2" t="s">
        <v>14</v>
      </c>
      <c r="B1078" s="3">
        <v>27</v>
      </c>
      <c r="C1078" s="4" t="s">
        <v>37</v>
      </c>
      <c r="D1078" s="2" t="s">
        <v>16</v>
      </c>
      <c r="E1078" s="2" t="s">
        <v>23</v>
      </c>
      <c r="F1078" s="5">
        <v>4</v>
      </c>
      <c r="G1078" s="1">
        <v>20000000</v>
      </c>
      <c r="H1078" s="2">
        <v>5</v>
      </c>
      <c r="I1078" s="6">
        <v>6.0185185185185177E-3</v>
      </c>
      <c r="J1078" s="2" t="s">
        <v>61</v>
      </c>
      <c r="K1078" s="2" t="s">
        <v>56</v>
      </c>
      <c r="L1078" s="2" t="s">
        <v>51</v>
      </c>
      <c r="M1078" s="2" t="s">
        <v>76</v>
      </c>
      <c r="N1078" s="2" t="s">
        <v>52</v>
      </c>
    </row>
    <row r="1079" spans="1:14" x14ac:dyDescent="0.5">
      <c r="A1079" s="2" t="s">
        <v>14</v>
      </c>
      <c r="B1079" s="3">
        <v>11</v>
      </c>
      <c r="C1079" s="4" t="s">
        <v>37</v>
      </c>
      <c r="D1079" s="2" t="s">
        <v>49</v>
      </c>
      <c r="E1079" s="2" t="s">
        <v>17</v>
      </c>
      <c r="F1079" s="5">
        <v>1</v>
      </c>
      <c r="G1079" s="1">
        <v>7000000</v>
      </c>
      <c r="H1079" s="2">
        <v>1</v>
      </c>
      <c r="I1079" s="6">
        <v>6.0185185185185177E-3</v>
      </c>
      <c r="J1079" s="2" t="s">
        <v>18</v>
      </c>
      <c r="K1079" s="2" t="s">
        <v>19</v>
      </c>
      <c r="L1079" s="2" t="s">
        <v>30</v>
      </c>
      <c r="M1079" s="2" t="s">
        <v>77</v>
      </c>
      <c r="N1079" s="2" t="s">
        <v>54</v>
      </c>
    </row>
    <row r="1080" spans="1:14" x14ac:dyDescent="0.5">
      <c r="A1080" s="2" t="s">
        <v>14</v>
      </c>
      <c r="B1080" s="3">
        <v>29</v>
      </c>
      <c r="C1080" s="4" t="s">
        <v>37</v>
      </c>
      <c r="D1080" s="2" t="s">
        <v>38</v>
      </c>
      <c r="E1080" s="2" t="s">
        <v>42</v>
      </c>
      <c r="F1080" s="5">
        <v>2</v>
      </c>
      <c r="G1080" s="1">
        <v>12000000</v>
      </c>
      <c r="H1080" s="2">
        <v>2</v>
      </c>
      <c r="I1080" s="6">
        <v>6.0185185185185177E-3</v>
      </c>
      <c r="J1080" s="2" t="s">
        <v>18</v>
      </c>
      <c r="K1080" s="2" t="s">
        <v>35</v>
      </c>
      <c r="L1080" s="2" t="s">
        <v>30</v>
      </c>
      <c r="M1080" s="2" t="s">
        <v>78</v>
      </c>
      <c r="N1080" s="2" t="s">
        <v>41</v>
      </c>
    </row>
    <row r="1081" spans="1:14" x14ac:dyDescent="0.5">
      <c r="A1081" s="2" t="s">
        <v>14</v>
      </c>
      <c r="B1081" s="3">
        <v>7</v>
      </c>
      <c r="C1081" s="4" t="s">
        <v>37</v>
      </c>
      <c r="D1081" s="2" t="s">
        <v>38</v>
      </c>
      <c r="E1081" s="2" t="s">
        <v>17</v>
      </c>
      <c r="F1081" s="5">
        <v>2</v>
      </c>
      <c r="G1081" s="1">
        <v>12000000</v>
      </c>
      <c r="H1081" s="2">
        <v>7</v>
      </c>
      <c r="I1081" s="6">
        <v>6.0185185185185177E-3</v>
      </c>
      <c r="J1081" s="2" t="s">
        <v>18</v>
      </c>
      <c r="K1081" s="2" t="s">
        <v>19</v>
      </c>
      <c r="L1081" s="2" t="s">
        <v>20</v>
      </c>
      <c r="M1081" s="2" t="s">
        <v>77</v>
      </c>
      <c r="N1081" s="2" t="s">
        <v>65</v>
      </c>
    </row>
    <row r="1082" spans="1:14" x14ac:dyDescent="0.5">
      <c r="A1082" s="2" t="s">
        <v>14</v>
      </c>
      <c r="B1082" s="3">
        <v>8</v>
      </c>
      <c r="C1082" s="4" t="s">
        <v>37</v>
      </c>
      <c r="D1082" s="2" t="s">
        <v>16</v>
      </c>
      <c r="E1082" s="2" t="s">
        <v>42</v>
      </c>
      <c r="F1082" s="5">
        <v>3</v>
      </c>
      <c r="G1082" s="1">
        <v>15000000</v>
      </c>
      <c r="H1082" s="2">
        <v>2</v>
      </c>
      <c r="I1082" s="6">
        <v>6.0185185185185177E-3</v>
      </c>
      <c r="J1082" s="2" t="s">
        <v>18</v>
      </c>
      <c r="K1082" s="2" t="s">
        <v>24</v>
      </c>
      <c r="L1082" s="2" t="s">
        <v>43</v>
      </c>
      <c r="M1082" s="2" t="s">
        <v>76</v>
      </c>
      <c r="N1082" s="2" t="s">
        <v>71</v>
      </c>
    </row>
    <row r="1083" spans="1:14" x14ac:dyDescent="0.5">
      <c r="A1083" s="2" t="s">
        <v>14</v>
      </c>
      <c r="B1083" s="3">
        <v>11</v>
      </c>
      <c r="C1083" s="4" t="s">
        <v>37</v>
      </c>
      <c r="D1083" s="2" t="s">
        <v>28</v>
      </c>
      <c r="E1083" s="2" t="s">
        <v>68</v>
      </c>
      <c r="F1083" s="5">
        <v>4</v>
      </c>
      <c r="G1083" s="1">
        <v>20000000</v>
      </c>
      <c r="H1083" s="2">
        <v>5</v>
      </c>
      <c r="I1083" s="6">
        <v>6.0185185185185177E-3</v>
      </c>
      <c r="J1083" s="2" t="s">
        <v>18</v>
      </c>
      <c r="K1083" s="2" t="s">
        <v>39</v>
      </c>
      <c r="L1083" s="2" t="s">
        <v>51</v>
      </c>
      <c r="M1083" s="2" t="s">
        <v>77</v>
      </c>
      <c r="N1083" s="2" t="s">
        <v>54</v>
      </c>
    </row>
    <row r="1084" spans="1:14" x14ac:dyDescent="0.5">
      <c r="A1084" s="2" t="s">
        <v>14</v>
      </c>
      <c r="B1084" s="3">
        <v>22</v>
      </c>
      <c r="C1084" s="4" t="s">
        <v>44</v>
      </c>
      <c r="D1084" s="2" t="s">
        <v>28</v>
      </c>
      <c r="E1084" s="2" t="s">
        <v>17</v>
      </c>
      <c r="F1084" s="5">
        <v>1</v>
      </c>
      <c r="G1084" s="1">
        <v>19000000</v>
      </c>
      <c r="H1084" s="2">
        <v>1</v>
      </c>
      <c r="I1084" s="6">
        <v>6.0185185185185177E-3</v>
      </c>
      <c r="J1084" s="2" t="s">
        <v>46</v>
      </c>
      <c r="K1084" s="2" t="s">
        <v>29</v>
      </c>
      <c r="L1084" s="2" t="s">
        <v>40</v>
      </c>
      <c r="M1084" s="2" t="s">
        <v>76</v>
      </c>
      <c r="N1084" s="2" t="s">
        <v>26</v>
      </c>
    </row>
    <row r="1085" spans="1:14" x14ac:dyDescent="0.5">
      <c r="A1085" s="2" t="s">
        <v>14</v>
      </c>
      <c r="B1085" s="3">
        <v>6</v>
      </c>
      <c r="C1085" s="4" t="s">
        <v>44</v>
      </c>
      <c r="D1085" s="2" t="s">
        <v>16</v>
      </c>
      <c r="E1085" s="2" t="s">
        <v>42</v>
      </c>
      <c r="F1085" s="5">
        <v>4</v>
      </c>
      <c r="G1085" s="1">
        <v>20000000</v>
      </c>
      <c r="H1085" s="2">
        <v>1</v>
      </c>
      <c r="I1085" s="6">
        <v>6.0185185185185177E-3</v>
      </c>
      <c r="J1085" s="2" t="s">
        <v>61</v>
      </c>
      <c r="K1085" s="2" t="s">
        <v>64</v>
      </c>
      <c r="L1085" s="2" t="s">
        <v>30</v>
      </c>
      <c r="M1085" s="2" t="s">
        <v>78</v>
      </c>
      <c r="N1085" s="2" t="s">
        <v>66</v>
      </c>
    </row>
    <row r="1086" spans="1:14" x14ac:dyDescent="0.5">
      <c r="A1086" s="2" t="s">
        <v>14</v>
      </c>
      <c r="B1086" s="3">
        <v>1</v>
      </c>
      <c r="C1086" s="4" t="s">
        <v>44</v>
      </c>
      <c r="D1086" s="2" t="s">
        <v>32</v>
      </c>
      <c r="E1086" s="2" t="s">
        <v>17</v>
      </c>
      <c r="F1086" s="5">
        <v>2</v>
      </c>
      <c r="G1086" s="1">
        <v>12000000</v>
      </c>
      <c r="H1086" s="2">
        <v>1</v>
      </c>
      <c r="I1086" s="6">
        <v>6.0185185185185177E-3</v>
      </c>
      <c r="J1086" s="2" t="s">
        <v>18</v>
      </c>
      <c r="K1086" s="2" t="s">
        <v>29</v>
      </c>
      <c r="L1086" s="2" t="s">
        <v>30</v>
      </c>
      <c r="M1086" s="2" t="s">
        <v>78</v>
      </c>
      <c r="N1086" s="2" t="s">
        <v>53</v>
      </c>
    </row>
    <row r="1087" spans="1:14" x14ac:dyDescent="0.5">
      <c r="A1087" s="2" t="s">
        <v>14</v>
      </c>
      <c r="B1087" s="3">
        <v>14</v>
      </c>
      <c r="C1087" s="4" t="s">
        <v>44</v>
      </c>
      <c r="D1087" s="2" t="s">
        <v>38</v>
      </c>
      <c r="E1087" s="2" t="s">
        <v>42</v>
      </c>
      <c r="F1087" s="5">
        <v>5</v>
      </c>
      <c r="G1087" s="1">
        <v>25000000</v>
      </c>
      <c r="H1087" s="2">
        <v>1</v>
      </c>
      <c r="I1087" s="6">
        <v>6.0185185185185177E-3</v>
      </c>
      <c r="J1087" s="2" t="s">
        <v>18</v>
      </c>
      <c r="K1087" s="2" t="s">
        <v>50</v>
      </c>
      <c r="L1087" s="2" t="s">
        <v>30</v>
      </c>
      <c r="M1087" s="2" t="s">
        <v>76</v>
      </c>
      <c r="N1087" s="2" t="s">
        <v>31</v>
      </c>
    </row>
    <row r="1088" spans="1:14" x14ac:dyDescent="0.5">
      <c r="A1088" s="2" t="s">
        <v>14</v>
      </c>
      <c r="B1088" s="3">
        <v>10</v>
      </c>
      <c r="C1088" s="4" t="s">
        <v>44</v>
      </c>
      <c r="D1088" s="2" t="s">
        <v>16</v>
      </c>
      <c r="E1088" s="2" t="s">
        <v>23</v>
      </c>
      <c r="F1088" s="5">
        <v>1</v>
      </c>
      <c r="G1088" s="1">
        <v>7000000</v>
      </c>
      <c r="H1088" s="2">
        <v>2</v>
      </c>
      <c r="I1088" s="6">
        <v>6.0185185185185177E-3</v>
      </c>
      <c r="J1088" s="2" t="s">
        <v>18</v>
      </c>
      <c r="K1088" s="2" t="s">
        <v>64</v>
      </c>
      <c r="L1088" s="2" t="s">
        <v>48</v>
      </c>
      <c r="M1088" s="2" t="s">
        <v>78</v>
      </c>
      <c r="N1088" s="2" t="s">
        <v>66</v>
      </c>
    </row>
    <row r="1089" spans="1:14" x14ac:dyDescent="0.5">
      <c r="A1089" s="2" t="s">
        <v>14</v>
      </c>
      <c r="B1089" s="3">
        <v>13</v>
      </c>
      <c r="C1089" s="4" t="s">
        <v>69</v>
      </c>
      <c r="D1089" s="2" t="s">
        <v>32</v>
      </c>
      <c r="E1089" s="2" t="s">
        <v>42</v>
      </c>
      <c r="F1089" s="5">
        <v>1</v>
      </c>
      <c r="G1089" s="1">
        <v>19000000</v>
      </c>
      <c r="H1089" s="2">
        <v>2</v>
      </c>
      <c r="I1089" s="6">
        <v>6.0185185185185177E-3</v>
      </c>
      <c r="J1089" s="2" t="s">
        <v>46</v>
      </c>
      <c r="K1089" s="2" t="s">
        <v>19</v>
      </c>
      <c r="L1089" s="2" t="s">
        <v>51</v>
      </c>
      <c r="M1089" s="2" t="s">
        <v>78</v>
      </c>
      <c r="N1089" s="2" t="s">
        <v>41</v>
      </c>
    </row>
    <row r="1090" spans="1:14" x14ac:dyDescent="0.5">
      <c r="A1090" s="2" t="s">
        <v>14</v>
      </c>
      <c r="B1090" s="3">
        <v>16</v>
      </c>
      <c r="C1090" s="4" t="s">
        <v>69</v>
      </c>
      <c r="D1090" s="2" t="s">
        <v>16</v>
      </c>
      <c r="E1090" s="2" t="s">
        <v>17</v>
      </c>
      <c r="F1090" s="5">
        <v>5</v>
      </c>
      <c r="G1090" s="1">
        <v>20000000</v>
      </c>
      <c r="H1090" s="2">
        <v>4</v>
      </c>
      <c r="I1090" s="6">
        <v>6.0185185185185177E-3</v>
      </c>
      <c r="J1090" s="2" t="s">
        <v>18</v>
      </c>
      <c r="K1090" s="2" t="s">
        <v>56</v>
      </c>
      <c r="L1090" s="2" t="s">
        <v>33</v>
      </c>
      <c r="M1090" s="2" t="s">
        <v>76</v>
      </c>
      <c r="N1090" s="2" t="s">
        <v>52</v>
      </c>
    </row>
    <row r="1091" spans="1:14" x14ac:dyDescent="0.5">
      <c r="A1091" s="2" t="s">
        <v>14</v>
      </c>
      <c r="B1091" s="3">
        <v>17</v>
      </c>
      <c r="C1091" s="4" t="s">
        <v>69</v>
      </c>
      <c r="D1091" s="2" t="s">
        <v>32</v>
      </c>
      <c r="E1091" s="2" t="s">
        <v>42</v>
      </c>
      <c r="F1091" s="5">
        <v>5</v>
      </c>
      <c r="G1091" s="1">
        <v>21000000</v>
      </c>
      <c r="H1091" s="2">
        <v>6</v>
      </c>
      <c r="I1091" s="6">
        <v>6.0185185185185177E-3</v>
      </c>
      <c r="J1091" s="2" t="s">
        <v>18</v>
      </c>
      <c r="K1091" s="2" t="s">
        <v>29</v>
      </c>
      <c r="L1091" s="2" t="s">
        <v>33</v>
      </c>
      <c r="M1091" s="2" t="s">
        <v>66</v>
      </c>
      <c r="N1091" s="2" t="s">
        <v>36</v>
      </c>
    </row>
    <row r="1092" spans="1:14" x14ac:dyDescent="0.5">
      <c r="A1092" s="2" t="s">
        <v>14</v>
      </c>
      <c r="B1092" s="3">
        <v>30</v>
      </c>
      <c r="C1092" s="4" t="s">
        <v>22</v>
      </c>
      <c r="D1092" s="2" t="s">
        <v>28</v>
      </c>
      <c r="E1092" s="2" t="s">
        <v>17</v>
      </c>
      <c r="F1092" s="5">
        <v>2</v>
      </c>
      <c r="G1092" s="1">
        <v>38000000</v>
      </c>
      <c r="H1092" s="2">
        <v>2</v>
      </c>
      <c r="I1092" s="6">
        <v>6.0185185185185177E-3</v>
      </c>
      <c r="J1092" s="2" t="s">
        <v>46</v>
      </c>
      <c r="K1092" s="2" t="s">
        <v>56</v>
      </c>
      <c r="L1092" s="2" t="s">
        <v>20</v>
      </c>
      <c r="M1092" s="2" t="s">
        <v>76</v>
      </c>
      <c r="N1092" s="2" t="s">
        <v>31</v>
      </c>
    </row>
    <row r="1093" spans="1:14" x14ac:dyDescent="0.5">
      <c r="A1093" s="2" t="s">
        <v>70</v>
      </c>
      <c r="B1093" s="3">
        <v>5</v>
      </c>
      <c r="C1093" s="4" t="s">
        <v>55</v>
      </c>
      <c r="D1093" s="2" t="s">
        <v>16</v>
      </c>
      <c r="E1093" s="2" t="s">
        <v>45</v>
      </c>
      <c r="F1093" s="5">
        <v>0</v>
      </c>
      <c r="G1093" s="1">
        <v>0</v>
      </c>
      <c r="H1093" s="2">
        <v>4</v>
      </c>
      <c r="I1093" s="6">
        <v>6.0185185185185177E-3</v>
      </c>
      <c r="J1093" s="2"/>
      <c r="K1093" s="2"/>
      <c r="L1093" s="2" t="s">
        <v>48</v>
      </c>
      <c r="M1093" s="2" t="s">
        <v>76</v>
      </c>
      <c r="N1093" s="2" t="s">
        <v>26</v>
      </c>
    </row>
    <row r="1094" spans="1:14" x14ac:dyDescent="0.5">
      <c r="A1094" s="2" t="s">
        <v>70</v>
      </c>
      <c r="B1094" s="3">
        <v>10</v>
      </c>
      <c r="C1094" s="4" t="s">
        <v>72</v>
      </c>
      <c r="D1094" s="2" t="s">
        <v>38</v>
      </c>
      <c r="E1094" s="2" t="s">
        <v>23</v>
      </c>
      <c r="F1094" s="5">
        <v>0</v>
      </c>
      <c r="G1094" s="1">
        <v>0</v>
      </c>
      <c r="H1094" s="2">
        <v>3</v>
      </c>
      <c r="I1094" s="6">
        <v>6.0185185185185177E-3</v>
      </c>
      <c r="J1094" s="2"/>
      <c r="K1094" s="2"/>
      <c r="L1094" s="2" t="s">
        <v>51</v>
      </c>
      <c r="M1094" s="2" t="s">
        <v>66</v>
      </c>
      <c r="N1094" s="2" t="s">
        <v>36</v>
      </c>
    </row>
    <row r="1095" spans="1:14" x14ac:dyDescent="0.5">
      <c r="A1095" s="2" t="s">
        <v>70</v>
      </c>
      <c r="B1095" s="3">
        <v>12</v>
      </c>
      <c r="C1095" s="4" t="s">
        <v>22</v>
      </c>
      <c r="D1095" s="2" t="s">
        <v>38</v>
      </c>
      <c r="E1095" s="2" t="s">
        <v>45</v>
      </c>
      <c r="F1095" s="5">
        <v>0</v>
      </c>
      <c r="G1095" s="1">
        <v>0</v>
      </c>
      <c r="H1095" s="2">
        <v>1</v>
      </c>
      <c r="I1095" s="6">
        <v>6.0185185185185177E-3</v>
      </c>
      <c r="J1095" s="2"/>
      <c r="K1095" s="2"/>
      <c r="L1095" s="2" t="s">
        <v>30</v>
      </c>
      <c r="M1095" s="2" t="s">
        <v>78</v>
      </c>
      <c r="N1095" s="2" t="s">
        <v>66</v>
      </c>
    </row>
    <row r="1096" spans="1:14" x14ac:dyDescent="0.5">
      <c r="A1096" s="2" t="s">
        <v>70</v>
      </c>
      <c r="B1096" s="3">
        <v>30</v>
      </c>
      <c r="C1096" s="4" t="s">
        <v>27</v>
      </c>
      <c r="D1096" s="2" t="s">
        <v>38</v>
      </c>
      <c r="E1096" s="2" t="s">
        <v>23</v>
      </c>
      <c r="F1096" s="5">
        <v>0</v>
      </c>
      <c r="G1096" s="1">
        <v>0</v>
      </c>
      <c r="H1096" s="2">
        <v>2</v>
      </c>
      <c r="I1096" s="6">
        <v>6.0185185185185177E-3</v>
      </c>
      <c r="J1096" s="2"/>
      <c r="K1096" s="2"/>
      <c r="L1096" s="2" t="s">
        <v>51</v>
      </c>
      <c r="M1096" s="2" t="s">
        <v>78</v>
      </c>
      <c r="N1096" s="2" t="s">
        <v>41</v>
      </c>
    </row>
    <row r="1097" spans="1:14" x14ac:dyDescent="0.5">
      <c r="A1097" s="2" t="s">
        <v>70</v>
      </c>
      <c r="B1097" s="3">
        <v>30</v>
      </c>
      <c r="C1097" s="4" t="s">
        <v>69</v>
      </c>
      <c r="D1097" s="2" t="s">
        <v>16</v>
      </c>
      <c r="E1097" s="2" t="s">
        <v>42</v>
      </c>
      <c r="F1097" s="5">
        <v>0</v>
      </c>
      <c r="G1097" s="1">
        <v>0</v>
      </c>
      <c r="H1097" s="2">
        <v>5</v>
      </c>
      <c r="I1097" s="6">
        <v>6.0185185185185177E-3</v>
      </c>
      <c r="J1097" s="2"/>
      <c r="K1097" s="2"/>
      <c r="L1097" s="2" t="s">
        <v>30</v>
      </c>
      <c r="M1097" s="2" t="s">
        <v>77</v>
      </c>
      <c r="N1097" s="2" t="s">
        <v>54</v>
      </c>
    </row>
    <row r="1098" spans="1:14" x14ac:dyDescent="0.5">
      <c r="A1098" s="2" t="s">
        <v>70</v>
      </c>
      <c r="B1098" s="3">
        <v>30</v>
      </c>
      <c r="C1098" s="4" t="s">
        <v>69</v>
      </c>
      <c r="D1098" s="2" t="s">
        <v>49</v>
      </c>
      <c r="E1098" s="2" t="s">
        <v>17</v>
      </c>
      <c r="F1098" s="5">
        <v>0</v>
      </c>
      <c r="G1098" s="1">
        <v>0</v>
      </c>
      <c r="H1098" s="2">
        <v>3</v>
      </c>
      <c r="I1098" s="6">
        <v>6.0185185185185177E-3</v>
      </c>
      <c r="J1098" s="2"/>
      <c r="K1098" s="2"/>
      <c r="L1098" s="2" t="s">
        <v>40</v>
      </c>
      <c r="M1098" s="2" t="s">
        <v>66</v>
      </c>
      <c r="N1098" s="2" t="s">
        <v>67</v>
      </c>
    </row>
    <row r="1099" spans="1:14" x14ac:dyDescent="0.5">
      <c r="A1099" s="2" t="s">
        <v>70</v>
      </c>
      <c r="B1099" s="3">
        <v>5</v>
      </c>
      <c r="C1099" s="4" t="s">
        <v>55</v>
      </c>
      <c r="D1099" s="2" t="s">
        <v>16</v>
      </c>
      <c r="E1099" s="2" t="s">
        <v>45</v>
      </c>
      <c r="F1099" s="5">
        <v>0</v>
      </c>
      <c r="G1099" s="1">
        <v>0</v>
      </c>
      <c r="H1099" s="2">
        <v>4</v>
      </c>
      <c r="I1099" s="6">
        <v>6.0185185185185177E-3</v>
      </c>
      <c r="J1099" s="2"/>
      <c r="K1099" s="2"/>
      <c r="L1099" s="2" t="s">
        <v>48</v>
      </c>
      <c r="M1099" s="2" t="s">
        <v>76</v>
      </c>
      <c r="N1099" s="2" t="s">
        <v>26</v>
      </c>
    </row>
    <row r="1100" spans="1:14" x14ac:dyDescent="0.5">
      <c r="A1100" s="2" t="s">
        <v>70</v>
      </c>
      <c r="B1100" s="3">
        <v>10</v>
      </c>
      <c r="C1100" s="4" t="s">
        <v>72</v>
      </c>
      <c r="D1100" s="2" t="s">
        <v>38</v>
      </c>
      <c r="E1100" s="2" t="s">
        <v>23</v>
      </c>
      <c r="F1100" s="5">
        <v>0</v>
      </c>
      <c r="G1100" s="1">
        <v>0</v>
      </c>
      <c r="H1100" s="2">
        <v>3</v>
      </c>
      <c r="I1100" s="6">
        <v>6.0185185185185177E-3</v>
      </c>
      <c r="J1100" s="2"/>
      <c r="K1100" s="2"/>
      <c r="L1100" s="2" t="s">
        <v>51</v>
      </c>
      <c r="M1100" s="2" t="s">
        <v>66</v>
      </c>
      <c r="N1100" s="2" t="s">
        <v>36</v>
      </c>
    </row>
    <row r="1101" spans="1:14" x14ac:dyDescent="0.5">
      <c r="A1101" s="2" t="s">
        <v>14</v>
      </c>
      <c r="B1101" s="3">
        <v>26</v>
      </c>
      <c r="C1101" s="4" t="s">
        <v>22</v>
      </c>
      <c r="D1101" s="2" t="s">
        <v>28</v>
      </c>
      <c r="E1101" s="2" t="s">
        <v>42</v>
      </c>
      <c r="F1101" s="5">
        <v>3</v>
      </c>
      <c r="G1101" s="1">
        <v>15000000</v>
      </c>
      <c r="H1101" s="2">
        <v>2</v>
      </c>
      <c r="I1101" s="6">
        <v>6.2499999999999995E-3</v>
      </c>
      <c r="J1101" s="2" t="s">
        <v>18</v>
      </c>
      <c r="K1101" s="2" t="s">
        <v>35</v>
      </c>
      <c r="L1101" s="2" t="s">
        <v>20</v>
      </c>
      <c r="M1101" s="2" t="s">
        <v>78</v>
      </c>
      <c r="N1101" s="2" t="s">
        <v>63</v>
      </c>
    </row>
    <row r="1102" spans="1:14" x14ac:dyDescent="0.5">
      <c r="A1102" s="2" t="s">
        <v>14</v>
      </c>
      <c r="B1102" s="3">
        <v>27</v>
      </c>
      <c r="C1102" s="4" t="s">
        <v>27</v>
      </c>
      <c r="D1102" s="2" t="s">
        <v>32</v>
      </c>
      <c r="E1102" s="2" t="s">
        <v>23</v>
      </c>
      <c r="F1102" s="5">
        <v>3</v>
      </c>
      <c r="G1102" s="1">
        <v>15000000</v>
      </c>
      <c r="H1102" s="2">
        <v>4</v>
      </c>
      <c r="I1102" s="6">
        <v>6.2499999999999995E-3</v>
      </c>
      <c r="J1102" s="2" t="s">
        <v>18</v>
      </c>
      <c r="K1102" s="2" t="s">
        <v>56</v>
      </c>
      <c r="L1102" s="2" t="s">
        <v>40</v>
      </c>
      <c r="M1102" s="2" t="s">
        <v>76</v>
      </c>
      <c r="N1102" s="2" t="s">
        <v>31</v>
      </c>
    </row>
    <row r="1103" spans="1:14" x14ac:dyDescent="0.5">
      <c r="A1103" s="2" t="s">
        <v>14</v>
      </c>
      <c r="B1103" s="3">
        <v>30</v>
      </c>
      <c r="C1103" s="4" t="s">
        <v>27</v>
      </c>
      <c r="D1103" s="2" t="s">
        <v>73</v>
      </c>
      <c r="E1103" s="2" t="s">
        <v>45</v>
      </c>
      <c r="F1103" s="5">
        <v>3</v>
      </c>
      <c r="G1103" s="1">
        <v>15000000</v>
      </c>
      <c r="H1103" s="2">
        <v>2</v>
      </c>
      <c r="I1103" s="6">
        <v>6.2499999999999995E-3</v>
      </c>
      <c r="J1103" s="2" t="s">
        <v>18</v>
      </c>
      <c r="K1103" s="2" t="s">
        <v>19</v>
      </c>
      <c r="L1103" s="2" t="s">
        <v>43</v>
      </c>
      <c r="M1103" s="2" t="s">
        <v>77</v>
      </c>
      <c r="N1103" s="2" t="s">
        <v>65</v>
      </c>
    </row>
    <row r="1104" spans="1:14" x14ac:dyDescent="0.5">
      <c r="A1104" s="2" t="s">
        <v>14</v>
      </c>
      <c r="B1104" s="3">
        <v>5</v>
      </c>
      <c r="C1104" s="4" t="s">
        <v>37</v>
      </c>
      <c r="D1104" s="2" t="s">
        <v>32</v>
      </c>
      <c r="E1104" s="2" t="s">
        <v>42</v>
      </c>
      <c r="F1104" s="5">
        <v>1</v>
      </c>
      <c r="G1104" s="1">
        <v>7000000</v>
      </c>
      <c r="H1104" s="2">
        <v>4</v>
      </c>
      <c r="I1104" s="6">
        <v>6.2499999999999995E-3</v>
      </c>
      <c r="J1104" s="2" t="s">
        <v>18</v>
      </c>
      <c r="K1104" s="2" t="s">
        <v>29</v>
      </c>
      <c r="L1104" s="2" t="s">
        <v>30</v>
      </c>
      <c r="M1104" s="2" t="s">
        <v>78</v>
      </c>
      <c r="N1104" s="2" t="s">
        <v>66</v>
      </c>
    </row>
    <row r="1105" spans="1:14" x14ac:dyDescent="0.5">
      <c r="A1105" s="2" t="s">
        <v>14</v>
      </c>
      <c r="B1105" s="3">
        <v>28</v>
      </c>
      <c r="C1105" s="4" t="s">
        <v>37</v>
      </c>
      <c r="D1105" s="2" t="s">
        <v>16</v>
      </c>
      <c r="E1105" s="2" t="s">
        <v>42</v>
      </c>
      <c r="F1105" s="5">
        <v>5</v>
      </c>
      <c r="G1105" s="1">
        <v>20000000</v>
      </c>
      <c r="H1105" s="2">
        <v>2</v>
      </c>
      <c r="I1105" s="6">
        <v>6.2499999999999995E-3</v>
      </c>
      <c r="J1105" s="2" t="s">
        <v>18</v>
      </c>
      <c r="K1105" s="2" t="s">
        <v>56</v>
      </c>
      <c r="L1105" s="2" t="s">
        <v>25</v>
      </c>
      <c r="M1105" s="2" t="s">
        <v>76</v>
      </c>
      <c r="N1105" s="2" t="s">
        <v>52</v>
      </c>
    </row>
    <row r="1106" spans="1:14" x14ac:dyDescent="0.5">
      <c r="A1106" s="2" t="s">
        <v>14</v>
      </c>
      <c r="B1106" s="3">
        <v>7</v>
      </c>
      <c r="C1106" s="4" t="s">
        <v>37</v>
      </c>
      <c r="D1106" s="2" t="s">
        <v>16</v>
      </c>
      <c r="E1106" s="2" t="s">
        <v>42</v>
      </c>
      <c r="F1106" s="5">
        <v>2</v>
      </c>
      <c r="G1106" s="1">
        <v>12000000</v>
      </c>
      <c r="H1106" s="2">
        <v>2</v>
      </c>
      <c r="I1106" s="6">
        <v>6.2499999999999995E-3</v>
      </c>
      <c r="J1106" s="2" t="s">
        <v>18</v>
      </c>
      <c r="K1106" s="2" t="s">
        <v>19</v>
      </c>
      <c r="L1106" s="2" t="s">
        <v>48</v>
      </c>
      <c r="M1106" s="2" t="s">
        <v>78</v>
      </c>
      <c r="N1106" s="2" t="s">
        <v>63</v>
      </c>
    </row>
    <row r="1107" spans="1:14" x14ac:dyDescent="0.5">
      <c r="A1107" s="2" t="s">
        <v>14</v>
      </c>
      <c r="B1107" s="3">
        <v>20</v>
      </c>
      <c r="C1107" s="4" t="s">
        <v>44</v>
      </c>
      <c r="D1107" s="2" t="s">
        <v>16</v>
      </c>
      <c r="E1107" s="2" t="s">
        <v>42</v>
      </c>
      <c r="F1107" s="5">
        <v>4</v>
      </c>
      <c r="G1107" s="1">
        <v>20000000</v>
      </c>
      <c r="H1107" s="2">
        <v>2</v>
      </c>
      <c r="I1107" s="6">
        <v>6.2499999999999995E-3</v>
      </c>
      <c r="J1107" s="2" t="s">
        <v>61</v>
      </c>
      <c r="K1107" s="2" t="s">
        <v>39</v>
      </c>
      <c r="L1107" s="2" t="s">
        <v>51</v>
      </c>
      <c r="M1107" s="2" t="s">
        <v>76</v>
      </c>
      <c r="N1107" s="2" t="s">
        <v>31</v>
      </c>
    </row>
    <row r="1108" spans="1:14" x14ac:dyDescent="0.5">
      <c r="A1108" s="2" t="s">
        <v>14</v>
      </c>
      <c r="B1108" s="3">
        <v>15</v>
      </c>
      <c r="C1108" s="4" t="s">
        <v>44</v>
      </c>
      <c r="D1108" s="2" t="s">
        <v>73</v>
      </c>
      <c r="E1108" s="2" t="s">
        <v>23</v>
      </c>
      <c r="F1108" s="5">
        <v>2</v>
      </c>
      <c r="G1108" s="1">
        <v>12000000</v>
      </c>
      <c r="H1108" s="2">
        <v>3</v>
      </c>
      <c r="I1108" s="6">
        <v>6.2499999999999995E-3</v>
      </c>
      <c r="J1108" s="2" t="s">
        <v>18</v>
      </c>
      <c r="K1108" s="2" t="s">
        <v>64</v>
      </c>
      <c r="L1108" s="2" t="s">
        <v>33</v>
      </c>
      <c r="M1108" s="2" t="s">
        <v>78</v>
      </c>
      <c r="N1108" s="2" t="s">
        <v>66</v>
      </c>
    </row>
    <row r="1109" spans="1:14" x14ac:dyDescent="0.5">
      <c r="A1109" s="2" t="s">
        <v>14</v>
      </c>
      <c r="B1109" s="3">
        <v>18</v>
      </c>
      <c r="C1109" s="4" t="s">
        <v>44</v>
      </c>
      <c r="D1109" s="2" t="s">
        <v>16</v>
      </c>
      <c r="E1109" s="2" t="s">
        <v>23</v>
      </c>
      <c r="F1109" s="5">
        <v>2</v>
      </c>
      <c r="G1109" s="1">
        <v>12000000</v>
      </c>
      <c r="H1109" s="2">
        <v>1</v>
      </c>
      <c r="I1109" s="6">
        <v>6.2499999999999995E-3</v>
      </c>
      <c r="J1109" s="2" t="s">
        <v>18</v>
      </c>
      <c r="K1109" s="2" t="s">
        <v>56</v>
      </c>
      <c r="L1109" s="2" t="s">
        <v>40</v>
      </c>
      <c r="M1109" s="2" t="s">
        <v>76</v>
      </c>
      <c r="N1109" s="2" t="s">
        <v>52</v>
      </c>
    </row>
    <row r="1110" spans="1:14" x14ac:dyDescent="0.5">
      <c r="A1110" s="2" t="s">
        <v>14</v>
      </c>
      <c r="B1110" s="3">
        <v>3</v>
      </c>
      <c r="C1110" s="4" t="s">
        <v>44</v>
      </c>
      <c r="D1110" s="2" t="s">
        <v>38</v>
      </c>
      <c r="E1110" s="2" t="s">
        <v>17</v>
      </c>
      <c r="F1110" s="5">
        <v>4</v>
      </c>
      <c r="G1110" s="1">
        <v>20000000</v>
      </c>
      <c r="H1110" s="2">
        <v>1</v>
      </c>
      <c r="I1110" s="6">
        <v>6.2499999999999995E-3</v>
      </c>
      <c r="J1110" s="2" t="s">
        <v>18</v>
      </c>
      <c r="K1110" s="2" t="s">
        <v>39</v>
      </c>
      <c r="L1110" s="2" t="s">
        <v>43</v>
      </c>
      <c r="M1110" s="2" t="s">
        <v>78</v>
      </c>
      <c r="N1110" s="2" t="s">
        <v>53</v>
      </c>
    </row>
    <row r="1111" spans="1:14" x14ac:dyDescent="0.5">
      <c r="A1111" s="2" t="s">
        <v>70</v>
      </c>
      <c r="B1111" s="3">
        <v>11</v>
      </c>
      <c r="C1111" s="4" t="s">
        <v>58</v>
      </c>
      <c r="D1111" s="2" t="s">
        <v>16</v>
      </c>
      <c r="E1111" s="2" t="s">
        <v>17</v>
      </c>
      <c r="F1111" s="5">
        <v>0</v>
      </c>
      <c r="G1111" s="1">
        <v>0</v>
      </c>
      <c r="H1111" s="2">
        <v>1</v>
      </c>
      <c r="I1111" s="6">
        <v>6.2499999999999995E-3</v>
      </c>
      <c r="J1111" s="2"/>
      <c r="K1111" s="2"/>
      <c r="L1111" s="2" t="s">
        <v>30</v>
      </c>
      <c r="M1111" s="2" t="s">
        <v>76</v>
      </c>
      <c r="N1111" s="2" t="s">
        <v>52</v>
      </c>
    </row>
    <row r="1112" spans="1:14" x14ac:dyDescent="0.5">
      <c r="A1112" s="2" t="s">
        <v>70</v>
      </c>
      <c r="B1112" s="3">
        <v>30</v>
      </c>
      <c r="C1112" s="4" t="s">
        <v>69</v>
      </c>
      <c r="D1112" s="2" t="s">
        <v>38</v>
      </c>
      <c r="E1112" s="2" t="s">
        <v>17</v>
      </c>
      <c r="F1112" s="5">
        <v>0</v>
      </c>
      <c r="G1112" s="1">
        <v>0</v>
      </c>
      <c r="H1112" s="2">
        <v>3</v>
      </c>
      <c r="I1112" s="6">
        <v>6.2499999999999995E-3</v>
      </c>
      <c r="J1112" s="2"/>
      <c r="K1112" s="2"/>
      <c r="L1112" s="2" t="s">
        <v>30</v>
      </c>
      <c r="M1112" s="2" t="s">
        <v>66</v>
      </c>
      <c r="N1112" s="2" t="s">
        <v>67</v>
      </c>
    </row>
    <row r="1113" spans="1:14" x14ac:dyDescent="0.5">
      <c r="A1113" s="2" t="s">
        <v>70</v>
      </c>
      <c r="B1113" s="3">
        <v>27</v>
      </c>
      <c r="C1113" s="4" t="s">
        <v>69</v>
      </c>
      <c r="D1113" s="2" t="s">
        <v>49</v>
      </c>
      <c r="E1113" s="2" t="s">
        <v>42</v>
      </c>
      <c r="F1113" s="5">
        <v>0</v>
      </c>
      <c r="G1113" s="1">
        <v>0</v>
      </c>
      <c r="H1113" s="2">
        <v>1</v>
      </c>
      <c r="I1113" s="6">
        <v>6.2499999999999995E-3</v>
      </c>
      <c r="J1113" s="2"/>
      <c r="K1113" s="2"/>
      <c r="L1113" s="2" t="s">
        <v>48</v>
      </c>
      <c r="M1113" s="2" t="s">
        <v>77</v>
      </c>
      <c r="N1113" s="2" t="s">
        <v>34</v>
      </c>
    </row>
    <row r="1114" spans="1:14" x14ac:dyDescent="0.5">
      <c r="A1114" s="2" t="s">
        <v>70</v>
      </c>
      <c r="B1114" s="3">
        <v>11</v>
      </c>
      <c r="C1114" s="4" t="s">
        <v>58</v>
      </c>
      <c r="D1114" s="2" t="s">
        <v>16</v>
      </c>
      <c r="E1114" s="2" t="s">
        <v>17</v>
      </c>
      <c r="F1114" s="5">
        <v>0</v>
      </c>
      <c r="G1114" s="1">
        <v>0</v>
      </c>
      <c r="H1114" s="2">
        <v>1</v>
      </c>
      <c r="I1114" s="6">
        <v>6.2499999999999995E-3</v>
      </c>
      <c r="J1114" s="2"/>
      <c r="K1114" s="2"/>
      <c r="L1114" s="2" t="s">
        <v>30</v>
      </c>
      <c r="M1114" s="2" t="s">
        <v>76</v>
      </c>
      <c r="N1114" s="2" t="s">
        <v>52</v>
      </c>
    </row>
    <row r="1115" spans="1:14" x14ac:dyDescent="0.5">
      <c r="A1115" s="2" t="s">
        <v>14</v>
      </c>
      <c r="B1115" s="3">
        <v>31</v>
      </c>
      <c r="C1115" s="4" t="s">
        <v>59</v>
      </c>
      <c r="D1115" s="2" t="s">
        <v>49</v>
      </c>
      <c r="E1115" s="2" t="s">
        <v>42</v>
      </c>
      <c r="F1115" s="5">
        <v>2</v>
      </c>
      <c r="G1115" s="1">
        <v>12000000</v>
      </c>
      <c r="H1115" s="2">
        <v>4</v>
      </c>
      <c r="I1115" s="6">
        <v>6.3888888888888884E-3</v>
      </c>
      <c r="J1115" s="2" t="s">
        <v>18</v>
      </c>
      <c r="K1115" s="2" t="s">
        <v>56</v>
      </c>
      <c r="L1115" s="2" t="s">
        <v>30</v>
      </c>
      <c r="M1115" s="2" t="s">
        <v>76</v>
      </c>
      <c r="N1115" s="2" t="s">
        <v>26</v>
      </c>
    </row>
    <row r="1116" spans="1:14" x14ac:dyDescent="0.5">
      <c r="A1116" s="2" t="s">
        <v>14</v>
      </c>
      <c r="B1116" s="3">
        <v>7</v>
      </c>
      <c r="C1116" s="4" t="s">
        <v>27</v>
      </c>
      <c r="D1116" s="2" t="s">
        <v>16</v>
      </c>
      <c r="E1116" s="2" t="s">
        <v>45</v>
      </c>
      <c r="F1116" s="5">
        <v>4</v>
      </c>
      <c r="G1116" s="1">
        <v>11000000</v>
      </c>
      <c r="H1116" s="2">
        <v>5</v>
      </c>
      <c r="I1116" s="6">
        <v>6.3888888888888884E-3</v>
      </c>
      <c r="J1116" s="2" t="s">
        <v>61</v>
      </c>
      <c r="K1116" s="2" t="s">
        <v>39</v>
      </c>
      <c r="L1116" s="2" t="s">
        <v>33</v>
      </c>
      <c r="M1116" s="2" t="s">
        <v>76</v>
      </c>
      <c r="N1116" s="2" t="s">
        <v>52</v>
      </c>
    </row>
    <row r="1117" spans="1:14" x14ac:dyDescent="0.5">
      <c r="A1117" s="2" t="s">
        <v>14</v>
      </c>
      <c r="B1117" s="3">
        <v>21</v>
      </c>
      <c r="C1117" s="4" t="s">
        <v>37</v>
      </c>
      <c r="D1117" s="2" t="s">
        <v>16</v>
      </c>
      <c r="E1117" s="2" t="s">
        <v>68</v>
      </c>
      <c r="F1117" s="5">
        <v>4</v>
      </c>
      <c r="G1117" s="1">
        <v>20000000</v>
      </c>
      <c r="H1117" s="2">
        <v>2</v>
      </c>
      <c r="I1117" s="6">
        <v>6.3888888888888884E-3</v>
      </c>
      <c r="J1117" s="2" t="s">
        <v>18</v>
      </c>
      <c r="K1117" s="2" t="s">
        <v>35</v>
      </c>
      <c r="L1117" s="2" t="s">
        <v>30</v>
      </c>
      <c r="M1117" s="2" t="s">
        <v>76</v>
      </c>
      <c r="N1117" s="2" t="s">
        <v>52</v>
      </c>
    </row>
    <row r="1118" spans="1:14" x14ac:dyDescent="0.5">
      <c r="A1118" s="2" t="s">
        <v>14</v>
      </c>
      <c r="B1118" s="3">
        <v>8</v>
      </c>
      <c r="C1118" s="4" t="s">
        <v>37</v>
      </c>
      <c r="D1118" s="2" t="s">
        <v>16</v>
      </c>
      <c r="E1118" s="2" t="s">
        <v>68</v>
      </c>
      <c r="F1118" s="5">
        <v>3</v>
      </c>
      <c r="G1118" s="1">
        <v>15000000</v>
      </c>
      <c r="H1118" s="2">
        <v>1</v>
      </c>
      <c r="I1118" s="6">
        <v>6.3888888888888884E-3</v>
      </c>
      <c r="J1118" s="2" t="s">
        <v>18</v>
      </c>
      <c r="K1118" s="2" t="s">
        <v>64</v>
      </c>
      <c r="L1118" s="2" t="s">
        <v>40</v>
      </c>
      <c r="M1118" s="2" t="s">
        <v>78</v>
      </c>
      <c r="N1118" s="2" t="s">
        <v>53</v>
      </c>
    </row>
    <row r="1119" spans="1:14" x14ac:dyDescent="0.5">
      <c r="A1119" s="2" t="s">
        <v>14</v>
      </c>
      <c r="B1119" s="3">
        <v>8</v>
      </c>
      <c r="C1119" s="4" t="s">
        <v>37</v>
      </c>
      <c r="D1119" s="2" t="s">
        <v>38</v>
      </c>
      <c r="E1119" s="2" t="s">
        <v>42</v>
      </c>
      <c r="F1119" s="5">
        <v>2</v>
      </c>
      <c r="G1119" s="1">
        <v>12000000</v>
      </c>
      <c r="H1119" s="2">
        <v>4</v>
      </c>
      <c r="I1119" s="6">
        <v>6.3888888888888884E-3</v>
      </c>
      <c r="J1119" s="2" t="s">
        <v>18</v>
      </c>
      <c r="K1119" s="2" t="s">
        <v>39</v>
      </c>
      <c r="L1119" s="2" t="s">
        <v>25</v>
      </c>
      <c r="M1119" s="2" t="s">
        <v>77</v>
      </c>
      <c r="N1119" s="2" t="s">
        <v>54</v>
      </c>
    </row>
    <row r="1120" spans="1:14" x14ac:dyDescent="0.5">
      <c r="A1120" s="2" t="s">
        <v>14</v>
      </c>
      <c r="B1120" s="3">
        <v>22</v>
      </c>
      <c r="C1120" s="4" t="s">
        <v>44</v>
      </c>
      <c r="D1120" s="2" t="s">
        <v>28</v>
      </c>
      <c r="E1120" s="2" t="s">
        <v>17</v>
      </c>
      <c r="F1120" s="5">
        <v>1</v>
      </c>
      <c r="G1120" s="1">
        <v>7000000</v>
      </c>
      <c r="H1120" s="2">
        <v>1</v>
      </c>
      <c r="I1120" s="6">
        <v>6.3888888888888884E-3</v>
      </c>
      <c r="J1120" s="2" t="s">
        <v>18</v>
      </c>
      <c r="K1120" s="2" t="s">
        <v>29</v>
      </c>
      <c r="L1120" s="2" t="s">
        <v>51</v>
      </c>
      <c r="M1120" s="2" t="s">
        <v>66</v>
      </c>
      <c r="N1120" s="2" t="s">
        <v>67</v>
      </c>
    </row>
    <row r="1121" spans="1:14" x14ac:dyDescent="0.5">
      <c r="A1121" s="2" t="s">
        <v>14</v>
      </c>
      <c r="B1121" s="3">
        <v>25</v>
      </c>
      <c r="C1121" s="4" t="s">
        <v>44</v>
      </c>
      <c r="D1121" s="2" t="s">
        <v>16</v>
      </c>
      <c r="E1121" s="2" t="s">
        <v>42</v>
      </c>
      <c r="F1121" s="5">
        <v>3</v>
      </c>
      <c r="G1121" s="1">
        <v>15000000</v>
      </c>
      <c r="H1121" s="2">
        <v>3</v>
      </c>
      <c r="I1121" s="6">
        <v>6.3888888888888884E-3</v>
      </c>
      <c r="J1121" s="2" t="s">
        <v>18</v>
      </c>
      <c r="K1121" s="2" t="s">
        <v>19</v>
      </c>
      <c r="L1121" s="2" t="s">
        <v>30</v>
      </c>
      <c r="M1121" s="2" t="s">
        <v>78</v>
      </c>
      <c r="N1121" s="2" t="s">
        <v>41</v>
      </c>
    </row>
    <row r="1122" spans="1:14" x14ac:dyDescent="0.5">
      <c r="A1122" s="2" t="s">
        <v>14</v>
      </c>
      <c r="B1122" s="3">
        <v>7</v>
      </c>
      <c r="C1122" s="4" t="s">
        <v>44</v>
      </c>
      <c r="D1122" s="2" t="s">
        <v>16</v>
      </c>
      <c r="E1122" s="2" t="s">
        <v>42</v>
      </c>
      <c r="F1122" s="5">
        <v>5</v>
      </c>
      <c r="G1122" s="1">
        <v>25000000</v>
      </c>
      <c r="H1122" s="2">
        <v>3</v>
      </c>
      <c r="I1122" s="6">
        <v>6.3888888888888884E-3</v>
      </c>
      <c r="J1122" s="2" t="s">
        <v>18</v>
      </c>
      <c r="K1122" s="2" t="s">
        <v>24</v>
      </c>
      <c r="L1122" s="2" t="s">
        <v>20</v>
      </c>
      <c r="M1122" s="2" t="s">
        <v>78</v>
      </c>
      <c r="N1122" s="2" t="s">
        <v>62</v>
      </c>
    </row>
    <row r="1123" spans="1:14" x14ac:dyDescent="0.5">
      <c r="A1123" s="2" t="s">
        <v>14</v>
      </c>
      <c r="B1123" s="3">
        <v>1</v>
      </c>
      <c r="C1123" s="4" t="s">
        <v>69</v>
      </c>
      <c r="D1123" s="2" t="s">
        <v>28</v>
      </c>
      <c r="E1123" s="2" t="s">
        <v>45</v>
      </c>
      <c r="F1123" s="5">
        <v>5</v>
      </c>
      <c r="G1123" s="1">
        <v>25000000</v>
      </c>
      <c r="H1123" s="2">
        <v>3</v>
      </c>
      <c r="I1123" s="6">
        <v>6.3888888888888884E-3</v>
      </c>
      <c r="J1123" s="2" t="s">
        <v>18</v>
      </c>
      <c r="K1123" s="2" t="s">
        <v>39</v>
      </c>
      <c r="L1123" s="2" t="s">
        <v>30</v>
      </c>
      <c r="M1123" s="2" t="s">
        <v>77</v>
      </c>
      <c r="N1123" s="2" t="s">
        <v>65</v>
      </c>
    </row>
    <row r="1124" spans="1:14" x14ac:dyDescent="0.5">
      <c r="A1124" s="2" t="s">
        <v>14</v>
      </c>
      <c r="B1124" s="3">
        <v>17</v>
      </c>
      <c r="C1124" s="4" t="s">
        <v>69</v>
      </c>
      <c r="D1124" s="2" t="s">
        <v>16</v>
      </c>
      <c r="E1124" s="2" t="s">
        <v>42</v>
      </c>
      <c r="F1124" s="5">
        <v>2</v>
      </c>
      <c r="G1124" s="1">
        <v>12000000</v>
      </c>
      <c r="H1124" s="2">
        <v>2</v>
      </c>
      <c r="I1124" s="6">
        <v>6.3888888888888884E-3</v>
      </c>
      <c r="J1124" s="2" t="s">
        <v>18</v>
      </c>
      <c r="K1124" s="2" t="s">
        <v>56</v>
      </c>
      <c r="L1124" s="2" t="s">
        <v>43</v>
      </c>
      <c r="M1124" s="2" t="s">
        <v>76</v>
      </c>
      <c r="N1124" s="2" t="s">
        <v>52</v>
      </c>
    </row>
    <row r="1125" spans="1:14" x14ac:dyDescent="0.5">
      <c r="A1125" s="2" t="s">
        <v>14</v>
      </c>
      <c r="B1125" s="3">
        <v>31</v>
      </c>
      <c r="C1125" s="4" t="s">
        <v>59</v>
      </c>
      <c r="D1125" s="2" t="s">
        <v>49</v>
      </c>
      <c r="E1125" s="2" t="s">
        <v>42</v>
      </c>
      <c r="F1125" s="5">
        <v>2</v>
      </c>
      <c r="G1125" s="1">
        <v>12000000</v>
      </c>
      <c r="H1125" s="2">
        <v>4</v>
      </c>
      <c r="I1125" s="6">
        <v>6.3888888888888884E-3</v>
      </c>
      <c r="J1125" s="2" t="s">
        <v>18</v>
      </c>
      <c r="K1125" s="2" t="s">
        <v>56</v>
      </c>
      <c r="L1125" s="2" t="s">
        <v>30</v>
      </c>
      <c r="M1125" s="2" t="s">
        <v>76</v>
      </c>
      <c r="N1125" s="2" t="s">
        <v>26</v>
      </c>
    </row>
    <row r="1126" spans="1:14" x14ac:dyDescent="0.5">
      <c r="A1126" s="2" t="s">
        <v>70</v>
      </c>
      <c r="B1126" s="3">
        <v>12</v>
      </c>
      <c r="C1126" s="4" t="s">
        <v>22</v>
      </c>
      <c r="D1126" s="2" t="s">
        <v>38</v>
      </c>
      <c r="E1126" s="2" t="s">
        <v>23</v>
      </c>
      <c r="F1126" s="5">
        <v>0</v>
      </c>
      <c r="G1126" s="1">
        <v>0</v>
      </c>
      <c r="H1126" s="2">
        <v>3</v>
      </c>
      <c r="I1126" s="6">
        <v>6.3888888888888884E-3</v>
      </c>
      <c r="J1126" s="2"/>
      <c r="K1126" s="2"/>
      <c r="L1126" s="2" t="s">
        <v>48</v>
      </c>
      <c r="M1126" s="2" t="s">
        <v>66</v>
      </c>
      <c r="N1126" s="2" t="s">
        <v>67</v>
      </c>
    </row>
    <row r="1127" spans="1:14" x14ac:dyDescent="0.5">
      <c r="A1127" s="2" t="s">
        <v>70</v>
      </c>
      <c r="B1127" s="3">
        <v>17</v>
      </c>
      <c r="C1127" s="4" t="s">
        <v>44</v>
      </c>
      <c r="D1127" s="2" t="s">
        <v>28</v>
      </c>
      <c r="E1127" s="2" t="s">
        <v>23</v>
      </c>
      <c r="F1127" s="5">
        <v>0</v>
      </c>
      <c r="G1127" s="1">
        <v>0</v>
      </c>
      <c r="H1127" s="2">
        <v>1</v>
      </c>
      <c r="I1127" s="6">
        <v>6.3888888888888884E-3</v>
      </c>
      <c r="J1127" s="2"/>
      <c r="K1127" s="2"/>
      <c r="L1127" s="2" t="s">
        <v>48</v>
      </c>
      <c r="M1127" s="2" t="s">
        <v>77</v>
      </c>
      <c r="N1127" s="2" t="s">
        <v>54</v>
      </c>
    </row>
    <row r="1128" spans="1:14" x14ac:dyDescent="0.5">
      <c r="A1128" s="2" t="s">
        <v>70</v>
      </c>
      <c r="B1128" s="3">
        <v>14</v>
      </c>
      <c r="C1128" s="4" t="s">
        <v>69</v>
      </c>
      <c r="D1128" s="2" t="s">
        <v>28</v>
      </c>
      <c r="E1128" s="2" t="s">
        <v>42</v>
      </c>
      <c r="F1128" s="5">
        <v>0</v>
      </c>
      <c r="G1128" s="1">
        <v>0</v>
      </c>
      <c r="H1128" s="2">
        <v>4</v>
      </c>
      <c r="I1128" s="6">
        <v>6.3888888888888884E-3</v>
      </c>
      <c r="J1128" s="2"/>
      <c r="K1128" s="2"/>
      <c r="L1128" s="2" t="s">
        <v>51</v>
      </c>
      <c r="M1128" s="2" t="s">
        <v>76</v>
      </c>
      <c r="N1128" s="2" t="s">
        <v>31</v>
      </c>
    </row>
    <row r="1129" spans="1:14" x14ac:dyDescent="0.5">
      <c r="A1129" s="2" t="s">
        <v>14</v>
      </c>
      <c r="B1129" s="3">
        <v>11</v>
      </c>
      <c r="C1129" s="4" t="s">
        <v>55</v>
      </c>
      <c r="D1129" s="2" t="s">
        <v>32</v>
      </c>
      <c r="E1129" s="2" t="s">
        <v>23</v>
      </c>
      <c r="F1129" s="5">
        <v>2</v>
      </c>
      <c r="G1129" s="1">
        <v>38000000</v>
      </c>
      <c r="H1129" s="2">
        <v>1</v>
      </c>
      <c r="I1129" s="6">
        <v>6.4236111111111117E-3</v>
      </c>
      <c r="J1129" s="2" t="s">
        <v>46</v>
      </c>
      <c r="K1129" s="2" t="s">
        <v>29</v>
      </c>
      <c r="L1129" s="2" t="s">
        <v>51</v>
      </c>
      <c r="M1129" s="2" t="s">
        <v>66</v>
      </c>
      <c r="N1129" s="2" t="s">
        <v>67</v>
      </c>
    </row>
    <row r="1130" spans="1:14" x14ac:dyDescent="0.5">
      <c r="A1130" s="2" t="s">
        <v>14</v>
      </c>
      <c r="B1130" s="3">
        <v>11</v>
      </c>
      <c r="C1130" s="4" t="s">
        <v>57</v>
      </c>
      <c r="D1130" s="2" t="s">
        <v>16</v>
      </c>
      <c r="E1130" s="2" t="s">
        <v>42</v>
      </c>
      <c r="F1130" s="5">
        <v>5</v>
      </c>
      <c r="G1130" s="1">
        <v>25000000</v>
      </c>
      <c r="H1130" s="2">
        <v>1</v>
      </c>
      <c r="I1130" s="6">
        <v>6.4236111111111117E-3</v>
      </c>
      <c r="J1130" s="2" t="s">
        <v>18</v>
      </c>
      <c r="K1130" s="2" t="s">
        <v>29</v>
      </c>
      <c r="L1130" s="2" t="s">
        <v>51</v>
      </c>
      <c r="M1130" s="2" t="s">
        <v>78</v>
      </c>
      <c r="N1130" s="2" t="s">
        <v>41</v>
      </c>
    </row>
    <row r="1131" spans="1:14" x14ac:dyDescent="0.5">
      <c r="A1131" s="2" t="s">
        <v>14</v>
      </c>
      <c r="B1131" s="3">
        <v>1</v>
      </c>
      <c r="C1131" s="4" t="s">
        <v>60</v>
      </c>
      <c r="D1131" s="2" t="s">
        <v>49</v>
      </c>
      <c r="E1131" s="2" t="s">
        <v>23</v>
      </c>
      <c r="F1131" s="5">
        <v>2</v>
      </c>
      <c r="G1131" s="1">
        <v>12000000</v>
      </c>
      <c r="H1131" s="2">
        <v>1</v>
      </c>
      <c r="I1131" s="6">
        <v>6.4236111111111117E-3</v>
      </c>
      <c r="J1131" s="2" t="s">
        <v>18</v>
      </c>
      <c r="K1131" s="2" t="s">
        <v>29</v>
      </c>
      <c r="L1131" s="2" t="s">
        <v>43</v>
      </c>
      <c r="M1131" s="2" t="s">
        <v>76</v>
      </c>
      <c r="N1131" s="2" t="s">
        <v>52</v>
      </c>
    </row>
    <row r="1132" spans="1:14" x14ac:dyDescent="0.5">
      <c r="A1132" s="2" t="s">
        <v>14</v>
      </c>
      <c r="B1132" s="3">
        <v>29</v>
      </c>
      <c r="C1132" s="4" t="s">
        <v>22</v>
      </c>
      <c r="D1132" s="2" t="s">
        <v>28</v>
      </c>
      <c r="E1132" s="2" t="s">
        <v>17</v>
      </c>
      <c r="F1132" s="5">
        <v>5</v>
      </c>
      <c r="G1132" s="1">
        <v>21000000</v>
      </c>
      <c r="H1132" s="2">
        <v>5</v>
      </c>
      <c r="I1132" s="6">
        <v>6.4236111111111117E-3</v>
      </c>
      <c r="J1132" s="2" t="s">
        <v>18</v>
      </c>
      <c r="K1132" s="2" t="s">
        <v>19</v>
      </c>
      <c r="L1132" s="2" t="s">
        <v>30</v>
      </c>
      <c r="M1132" s="2" t="s">
        <v>77</v>
      </c>
      <c r="N1132" s="2" t="s">
        <v>54</v>
      </c>
    </row>
    <row r="1133" spans="1:14" x14ac:dyDescent="0.5">
      <c r="A1133" s="2" t="s">
        <v>14</v>
      </c>
      <c r="B1133" s="3">
        <v>30</v>
      </c>
      <c r="C1133" s="4" t="s">
        <v>27</v>
      </c>
      <c r="D1133" s="2" t="s">
        <v>32</v>
      </c>
      <c r="E1133" s="2" t="s">
        <v>23</v>
      </c>
      <c r="F1133" s="5">
        <v>2</v>
      </c>
      <c r="G1133" s="1">
        <v>12000000</v>
      </c>
      <c r="H1133" s="2">
        <v>4</v>
      </c>
      <c r="I1133" s="6">
        <v>6.4236111111111117E-3</v>
      </c>
      <c r="J1133" s="2" t="s">
        <v>18</v>
      </c>
      <c r="K1133" s="2" t="s">
        <v>19</v>
      </c>
      <c r="L1133" s="2" t="s">
        <v>33</v>
      </c>
      <c r="M1133" s="2" t="s">
        <v>78</v>
      </c>
      <c r="N1133" s="2" t="s">
        <v>66</v>
      </c>
    </row>
    <row r="1134" spans="1:14" x14ac:dyDescent="0.5">
      <c r="A1134" s="2" t="s">
        <v>14</v>
      </c>
      <c r="B1134" s="3">
        <v>25</v>
      </c>
      <c r="C1134" s="4" t="s">
        <v>37</v>
      </c>
      <c r="D1134" s="2" t="s">
        <v>16</v>
      </c>
      <c r="E1134" s="2" t="s">
        <v>17</v>
      </c>
      <c r="F1134" s="5">
        <v>1</v>
      </c>
      <c r="G1134" s="1">
        <v>19000000</v>
      </c>
      <c r="H1134" s="2">
        <v>3</v>
      </c>
      <c r="I1134" s="6">
        <v>6.4236111111111117E-3</v>
      </c>
      <c r="J1134" s="2" t="s">
        <v>46</v>
      </c>
      <c r="K1134" s="2" t="s">
        <v>24</v>
      </c>
      <c r="L1134" s="2" t="s">
        <v>30</v>
      </c>
      <c r="M1134" s="2" t="s">
        <v>76</v>
      </c>
      <c r="N1134" s="2" t="s">
        <v>26</v>
      </c>
    </row>
    <row r="1135" spans="1:14" x14ac:dyDescent="0.5">
      <c r="A1135" s="2" t="s">
        <v>14</v>
      </c>
      <c r="B1135" s="3">
        <v>10</v>
      </c>
      <c r="C1135" s="4" t="s">
        <v>37</v>
      </c>
      <c r="D1135" s="2" t="s">
        <v>16</v>
      </c>
      <c r="E1135" s="2" t="s">
        <v>17</v>
      </c>
      <c r="F1135" s="5">
        <v>4</v>
      </c>
      <c r="G1135" s="1">
        <v>11000000</v>
      </c>
      <c r="H1135" s="2">
        <v>5</v>
      </c>
      <c r="I1135" s="6">
        <v>6.4236111111111117E-3</v>
      </c>
      <c r="J1135" s="2" t="s">
        <v>61</v>
      </c>
      <c r="K1135" s="2" t="s">
        <v>29</v>
      </c>
      <c r="L1135" s="2" t="s">
        <v>48</v>
      </c>
      <c r="M1135" s="2" t="s">
        <v>76</v>
      </c>
      <c r="N1135" s="2" t="s">
        <v>26</v>
      </c>
    </row>
    <row r="1136" spans="1:14" x14ac:dyDescent="0.5">
      <c r="A1136" s="2" t="s">
        <v>14</v>
      </c>
      <c r="B1136" s="3">
        <v>28</v>
      </c>
      <c r="C1136" s="4" t="s">
        <v>37</v>
      </c>
      <c r="D1136" s="2" t="s">
        <v>49</v>
      </c>
      <c r="E1136" s="2" t="s">
        <v>42</v>
      </c>
      <c r="F1136" s="5">
        <v>1</v>
      </c>
      <c r="G1136" s="1">
        <v>7000000</v>
      </c>
      <c r="H1136" s="2">
        <v>1</v>
      </c>
      <c r="I1136" s="6">
        <v>6.4236111111111117E-3</v>
      </c>
      <c r="J1136" s="2" t="s">
        <v>18</v>
      </c>
      <c r="K1136" s="2" t="s">
        <v>56</v>
      </c>
      <c r="L1136" s="2" t="s">
        <v>40</v>
      </c>
      <c r="M1136" s="2" t="s">
        <v>78</v>
      </c>
      <c r="N1136" s="2" t="s">
        <v>66</v>
      </c>
    </row>
    <row r="1137" spans="1:14" x14ac:dyDescent="0.5">
      <c r="A1137" s="2" t="s">
        <v>14</v>
      </c>
      <c r="B1137" s="3">
        <v>13</v>
      </c>
      <c r="C1137" s="4" t="s">
        <v>44</v>
      </c>
      <c r="D1137" s="2" t="s">
        <v>38</v>
      </c>
      <c r="E1137" s="2" t="s">
        <v>23</v>
      </c>
      <c r="F1137" s="5">
        <v>4</v>
      </c>
      <c r="G1137" s="1">
        <v>20000000</v>
      </c>
      <c r="H1137" s="2">
        <v>5</v>
      </c>
      <c r="I1137" s="6">
        <v>6.4236111111111117E-3</v>
      </c>
      <c r="J1137" s="2" t="s">
        <v>18</v>
      </c>
      <c r="K1137" s="2" t="s">
        <v>24</v>
      </c>
      <c r="L1137" s="2" t="s">
        <v>30</v>
      </c>
      <c r="M1137" s="2" t="s">
        <v>76</v>
      </c>
      <c r="N1137" s="2" t="s">
        <v>31</v>
      </c>
    </row>
    <row r="1138" spans="1:14" x14ac:dyDescent="0.5">
      <c r="A1138" s="2" t="s">
        <v>14</v>
      </c>
      <c r="B1138" s="3">
        <v>3</v>
      </c>
      <c r="C1138" s="4" t="s">
        <v>44</v>
      </c>
      <c r="D1138" s="2" t="s">
        <v>16</v>
      </c>
      <c r="E1138" s="2" t="s">
        <v>42</v>
      </c>
      <c r="F1138" s="5">
        <v>3</v>
      </c>
      <c r="G1138" s="1">
        <v>15000000</v>
      </c>
      <c r="H1138" s="2">
        <v>2</v>
      </c>
      <c r="I1138" s="6">
        <v>6.4236111111111117E-3</v>
      </c>
      <c r="J1138" s="2" t="s">
        <v>18</v>
      </c>
      <c r="K1138" s="2" t="s">
        <v>56</v>
      </c>
      <c r="L1138" s="2" t="s">
        <v>25</v>
      </c>
      <c r="M1138" s="2" t="s">
        <v>77</v>
      </c>
      <c r="N1138" s="2" t="s">
        <v>54</v>
      </c>
    </row>
    <row r="1139" spans="1:14" x14ac:dyDescent="0.5">
      <c r="A1139" s="2" t="s">
        <v>14</v>
      </c>
      <c r="B1139" s="3">
        <v>11</v>
      </c>
      <c r="C1139" s="4" t="s">
        <v>55</v>
      </c>
      <c r="D1139" s="2" t="s">
        <v>32</v>
      </c>
      <c r="E1139" s="2" t="s">
        <v>23</v>
      </c>
      <c r="F1139" s="5">
        <v>2</v>
      </c>
      <c r="G1139" s="1">
        <v>38000000</v>
      </c>
      <c r="H1139" s="2">
        <v>1</v>
      </c>
      <c r="I1139" s="6">
        <v>6.4236111111111117E-3</v>
      </c>
      <c r="J1139" s="2" t="s">
        <v>46</v>
      </c>
      <c r="K1139" s="2" t="s">
        <v>29</v>
      </c>
      <c r="L1139" s="2" t="s">
        <v>51</v>
      </c>
      <c r="M1139" s="2" t="s">
        <v>66</v>
      </c>
      <c r="N1139" s="2" t="s">
        <v>67</v>
      </c>
    </row>
    <row r="1140" spans="1:14" x14ac:dyDescent="0.5">
      <c r="A1140" s="2" t="s">
        <v>14</v>
      </c>
      <c r="B1140" s="3">
        <v>11</v>
      </c>
      <c r="C1140" s="4" t="s">
        <v>57</v>
      </c>
      <c r="D1140" s="2" t="s">
        <v>16</v>
      </c>
      <c r="E1140" s="2" t="s">
        <v>42</v>
      </c>
      <c r="F1140" s="5">
        <v>5</v>
      </c>
      <c r="G1140" s="1">
        <v>25000000</v>
      </c>
      <c r="H1140" s="2">
        <v>1</v>
      </c>
      <c r="I1140" s="6">
        <v>6.4236111111111117E-3</v>
      </c>
      <c r="J1140" s="2" t="s">
        <v>18</v>
      </c>
      <c r="K1140" s="2" t="s">
        <v>29</v>
      </c>
      <c r="L1140" s="2" t="s">
        <v>51</v>
      </c>
      <c r="M1140" s="2" t="s">
        <v>78</v>
      </c>
      <c r="N1140" s="2" t="s">
        <v>41</v>
      </c>
    </row>
    <row r="1141" spans="1:14" x14ac:dyDescent="0.5">
      <c r="A1141" s="2" t="s">
        <v>14</v>
      </c>
      <c r="B1141" s="3">
        <v>1</v>
      </c>
      <c r="C1141" s="4" t="s">
        <v>60</v>
      </c>
      <c r="D1141" s="2" t="s">
        <v>49</v>
      </c>
      <c r="E1141" s="2" t="s">
        <v>23</v>
      </c>
      <c r="F1141" s="5">
        <v>2</v>
      </c>
      <c r="G1141" s="1">
        <v>12000000</v>
      </c>
      <c r="H1141" s="2">
        <v>1</v>
      </c>
      <c r="I1141" s="6">
        <v>6.4236111111111117E-3</v>
      </c>
      <c r="J1141" s="2" t="s">
        <v>18</v>
      </c>
      <c r="K1141" s="2" t="s">
        <v>29</v>
      </c>
      <c r="L1141" s="2" t="s">
        <v>43</v>
      </c>
      <c r="M1141" s="2" t="s">
        <v>76</v>
      </c>
      <c r="N1141" s="2" t="s">
        <v>52</v>
      </c>
    </row>
    <row r="1142" spans="1:14" x14ac:dyDescent="0.5">
      <c r="A1142" s="2" t="s">
        <v>14</v>
      </c>
      <c r="B1142" s="3">
        <v>29</v>
      </c>
      <c r="C1142" s="4" t="s">
        <v>22</v>
      </c>
      <c r="D1142" s="2" t="s">
        <v>28</v>
      </c>
      <c r="E1142" s="2" t="s">
        <v>17</v>
      </c>
      <c r="F1142" s="5">
        <v>5</v>
      </c>
      <c r="G1142" s="1">
        <v>21000000</v>
      </c>
      <c r="H1142" s="2">
        <v>5</v>
      </c>
      <c r="I1142" s="6">
        <v>6.4236111111111117E-3</v>
      </c>
      <c r="J1142" s="2" t="s">
        <v>18</v>
      </c>
      <c r="K1142" s="2" t="s">
        <v>19</v>
      </c>
      <c r="L1142" s="2" t="s">
        <v>30</v>
      </c>
      <c r="M1142" s="2" t="s">
        <v>77</v>
      </c>
      <c r="N1142" s="2" t="s">
        <v>54</v>
      </c>
    </row>
    <row r="1143" spans="1:14" x14ac:dyDescent="0.5">
      <c r="A1143" s="2" t="s">
        <v>70</v>
      </c>
      <c r="B1143" s="3">
        <v>13</v>
      </c>
      <c r="C1143" s="4" t="s">
        <v>55</v>
      </c>
      <c r="D1143" s="2" t="s">
        <v>16</v>
      </c>
      <c r="E1143" s="2" t="s">
        <v>45</v>
      </c>
      <c r="F1143" s="5">
        <v>0</v>
      </c>
      <c r="G1143" s="1">
        <v>0</v>
      </c>
      <c r="H1143" s="2">
        <v>2</v>
      </c>
      <c r="I1143" s="6">
        <v>6.4236111111111117E-3</v>
      </c>
      <c r="J1143" s="2"/>
      <c r="K1143" s="2"/>
      <c r="L1143" s="2" t="s">
        <v>43</v>
      </c>
      <c r="M1143" s="2" t="s">
        <v>66</v>
      </c>
      <c r="N1143" s="2" t="s">
        <v>67</v>
      </c>
    </row>
    <row r="1144" spans="1:14" x14ac:dyDescent="0.5">
      <c r="A1144" s="2" t="s">
        <v>70</v>
      </c>
      <c r="B1144" s="3">
        <v>29</v>
      </c>
      <c r="C1144" s="4" t="s">
        <v>27</v>
      </c>
      <c r="D1144" s="2" t="s">
        <v>28</v>
      </c>
      <c r="E1144" s="2" t="s">
        <v>23</v>
      </c>
      <c r="F1144" s="5">
        <v>0</v>
      </c>
      <c r="G1144" s="1">
        <v>0</v>
      </c>
      <c r="H1144" s="2">
        <v>2</v>
      </c>
      <c r="I1144" s="6">
        <v>6.4236111111111117E-3</v>
      </c>
      <c r="J1144" s="2"/>
      <c r="K1144" s="2"/>
      <c r="L1144" s="2" t="s">
        <v>43</v>
      </c>
      <c r="M1144" s="2" t="s">
        <v>76</v>
      </c>
      <c r="N1144" s="2" t="s">
        <v>26</v>
      </c>
    </row>
    <row r="1145" spans="1:14" x14ac:dyDescent="0.5">
      <c r="A1145" s="2" t="s">
        <v>70</v>
      </c>
      <c r="B1145" s="3">
        <v>30</v>
      </c>
      <c r="C1145" s="4" t="s">
        <v>69</v>
      </c>
      <c r="D1145" s="2" t="s">
        <v>28</v>
      </c>
      <c r="E1145" s="2" t="s">
        <v>42</v>
      </c>
      <c r="F1145" s="5">
        <v>0</v>
      </c>
      <c r="G1145" s="1">
        <v>0</v>
      </c>
      <c r="H1145" s="2">
        <v>4</v>
      </c>
      <c r="I1145" s="6">
        <v>6.4236111111111117E-3</v>
      </c>
      <c r="J1145" s="2"/>
      <c r="K1145" s="2"/>
      <c r="L1145" s="2" t="s">
        <v>30</v>
      </c>
      <c r="M1145" s="2" t="s">
        <v>77</v>
      </c>
      <c r="N1145" s="2" t="s">
        <v>65</v>
      </c>
    </row>
    <row r="1146" spans="1:14" x14ac:dyDescent="0.5">
      <c r="A1146" s="2" t="s">
        <v>70</v>
      </c>
      <c r="B1146" s="3">
        <v>13</v>
      </c>
      <c r="C1146" s="4" t="s">
        <v>55</v>
      </c>
      <c r="D1146" s="2" t="s">
        <v>16</v>
      </c>
      <c r="E1146" s="2" t="s">
        <v>45</v>
      </c>
      <c r="F1146" s="5">
        <v>0</v>
      </c>
      <c r="G1146" s="1">
        <v>0</v>
      </c>
      <c r="H1146" s="2">
        <v>2</v>
      </c>
      <c r="I1146" s="6">
        <v>6.4236111111111117E-3</v>
      </c>
      <c r="J1146" s="2"/>
      <c r="K1146" s="2"/>
      <c r="L1146" s="2" t="s">
        <v>43</v>
      </c>
      <c r="M1146" s="2" t="s">
        <v>66</v>
      </c>
      <c r="N1146" s="2" t="s">
        <v>67</v>
      </c>
    </row>
    <row r="1147" spans="1:14" x14ac:dyDescent="0.5">
      <c r="A1147" s="2" t="s">
        <v>14</v>
      </c>
      <c r="B1147" s="3">
        <v>12</v>
      </c>
      <c r="C1147" s="4" t="s">
        <v>55</v>
      </c>
      <c r="D1147" s="2" t="s">
        <v>32</v>
      </c>
      <c r="E1147" s="2" t="s">
        <v>42</v>
      </c>
      <c r="F1147" s="5">
        <v>2</v>
      </c>
      <c r="G1147" s="1">
        <v>12000000</v>
      </c>
      <c r="H1147" s="2">
        <v>3</v>
      </c>
      <c r="I1147" s="6">
        <v>6.6666666666666671E-3</v>
      </c>
      <c r="J1147" s="2" t="s">
        <v>18</v>
      </c>
      <c r="K1147" s="2" t="s">
        <v>19</v>
      </c>
      <c r="L1147" s="2" t="s">
        <v>30</v>
      </c>
      <c r="M1147" s="2" t="s">
        <v>77</v>
      </c>
      <c r="N1147" s="2" t="s">
        <v>54</v>
      </c>
    </row>
    <row r="1148" spans="1:14" x14ac:dyDescent="0.5">
      <c r="A1148" s="2" t="s">
        <v>14</v>
      </c>
      <c r="B1148" s="3">
        <v>1</v>
      </c>
      <c r="C1148" s="4" t="s">
        <v>72</v>
      </c>
      <c r="D1148" s="2" t="s">
        <v>28</v>
      </c>
      <c r="E1148" s="2" t="s">
        <v>42</v>
      </c>
      <c r="F1148" s="5">
        <v>5</v>
      </c>
      <c r="G1148" s="1">
        <v>25000000</v>
      </c>
      <c r="H1148" s="2">
        <v>1</v>
      </c>
      <c r="I1148" s="6">
        <v>6.6666666666666671E-3</v>
      </c>
      <c r="J1148" s="2" t="s">
        <v>18</v>
      </c>
      <c r="K1148" s="2" t="s">
        <v>29</v>
      </c>
      <c r="L1148" s="2" t="s">
        <v>43</v>
      </c>
      <c r="M1148" s="2" t="s">
        <v>76</v>
      </c>
      <c r="N1148" s="2" t="s">
        <v>31</v>
      </c>
    </row>
    <row r="1149" spans="1:14" x14ac:dyDescent="0.5">
      <c r="A1149" s="2" t="s">
        <v>14</v>
      </c>
      <c r="B1149" s="3">
        <v>11</v>
      </c>
      <c r="C1149" s="4" t="s">
        <v>27</v>
      </c>
      <c r="D1149" s="2" t="s">
        <v>49</v>
      </c>
      <c r="E1149" s="2" t="s">
        <v>68</v>
      </c>
      <c r="F1149" s="5">
        <v>1</v>
      </c>
      <c r="G1149" s="1">
        <v>7000000</v>
      </c>
      <c r="H1149" s="2">
        <v>2</v>
      </c>
      <c r="I1149" s="6">
        <v>6.6666666666666671E-3</v>
      </c>
      <c r="J1149" s="2" t="s">
        <v>18</v>
      </c>
      <c r="K1149" s="2" t="s">
        <v>56</v>
      </c>
      <c r="L1149" s="2" t="s">
        <v>51</v>
      </c>
      <c r="M1149" s="2" t="s">
        <v>66</v>
      </c>
      <c r="N1149" s="2" t="s">
        <v>67</v>
      </c>
    </row>
    <row r="1150" spans="1:14" x14ac:dyDescent="0.5">
      <c r="A1150" s="2" t="s">
        <v>14</v>
      </c>
      <c r="B1150" s="3">
        <v>12</v>
      </c>
      <c r="C1150" s="4" t="s">
        <v>37</v>
      </c>
      <c r="D1150" s="2" t="s">
        <v>16</v>
      </c>
      <c r="E1150" s="2" t="s">
        <v>42</v>
      </c>
      <c r="F1150" s="5">
        <v>2</v>
      </c>
      <c r="G1150" s="1">
        <v>38000000</v>
      </c>
      <c r="H1150" s="2">
        <v>3</v>
      </c>
      <c r="I1150" s="6">
        <v>6.6666666666666671E-3</v>
      </c>
      <c r="J1150" s="2" t="s">
        <v>46</v>
      </c>
      <c r="K1150" s="2" t="s">
        <v>56</v>
      </c>
      <c r="L1150" s="2" t="s">
        <v>48</v>
      </c>
      <c r="M1150" s="2" t="s">
        <v>76</v>
      </c>
      <c r="N1150" s="2" t="s">
        <v>52</v>
      </c>
    </row>
    <row r="1151" spans="1:14" x14ac:dyDescent="0.5">
      <c r="A1151" s="2" t="s">
        <v>14</v>
      </c>
      <c r="B1151" s="3">
        <v>28</v>
      </c>
      <c r="C1151" s="4" t="s">
        <v>37</v>
      </c>
      <c r="D1151" s="2" t="s">
        <v>49</v>
      </c>
      <c r="E1151" s="2" t="s">
        <v>17</v>
      </c>
      <c r="F1151" s="5">
        <v>3</v>
      </c>
      <c r="G1151" s="1">
        <v>15000000</v>
      </c>
      <c r="H1151" s="2">
        <v>1</v>
      </c>
      <c r="I1151" s="6">
        <v>6.6666666666666671E-3</v>
      </c>
      <c r="J1151" s="2" t="s">
        <v>18</v>
      </c>
      <c r="K1151" s="2" t="s">
        <v>24</v>
      </c>
      <c r="L1151" s="2" t="s">
        <v>33</v>
      </c>
      <c r="M1151" s="2" t="s">
        <v>78</v>
      </c>
      <c r="N1151" s="2" t="s">
        <v>41</v>
      </c>
    </row>
    <row r="1152" spans="1:14" x14ac:dyDescent="0.5">
      <c r="A1152" s="2" t="s">
        <v>14</v>
      </c>
      <c r="B1152" s="3">
        <v>8</v>
      </c>
      <c r="C1152" s="4" t="s">
        <v>37</v>
      </c>
      <c r="D1152" s="2" t="s">
        <v>32</v>
      </c>
      <c r="E1152" s="2" t="s">
        <v>45</v>
      </c>
      <c r="F1152" s="5">
        <v>2</v>
      </c>
      <c r="G1152" s="1">
        <v>12000000</v>
      </c>
      <c r="H1152" s="2">
        <v>4</v>
      </c>
      <c r="I1152" s="6">
        <v>6.6666666666666671E-3</v>
      </c>
      <c r="J1152" s="2" t="s">
        <v>18</v>
      </c>
      <c r="K1152" s="2" t="s">
        <v>29</v>
      </c>
      <c r="L1152" s="2" t="s">
        <v>51</v>
      </c>
      <c r="M1152" s="2" t="s">
        <v>76</v>
      </c>
      <c r="N1152" s="2" t="s">
        <v>31</v>
      </c>
    </row>
    <row r="1153" spans="1:14" x14ac:dyDescent="0.5">
      <c r="A1153" s="2" t="s">
        <v>14</v>
      </c>
      <c r="B1153" s="3">
        <v>11</v>
      </c>
      <c r="C1153" s="4" t="s">
        <v>44</v>
      </c>
      <c r="D1153" s="2" t="s">
        <v>28</v>
      </c>
      <c r="E1153" s="2" t="s">
        <v>17</v>
      </c>
      <c r="F1153" s="5">
        <v>2</v>
      </c>
      <c r="G1153" s="1">
        <v>12000000</v>
      </c>
      <c r="H1153" s="2">
        <v>1</v>
      </c>
      <c r="I1153" s="6">
        <v>6.6666666666666671E-3</v>
      </c>
      <c r="J1153" s="2" t="s">
        <v>18</v>
      </c>
      <c r="K1153" s="2" t="s">
        <v>39</v>
      </c>
      <c r="L1153" s="2" t="s">
        <v>43</v>
      </c>
      <c r="M1153" s="2" t="s">
        <v>76</v>
      </c>
      <c r="N1153" s="2" t="s">
        <v>26</v>
      </c>
    </row>
    <row r="1154" spans="1:14" x14ac:dyDescent="0.5">
      <c r="A1154" s="2" t="s">
        <v>14</v>
      </c>
      <c r="B1154" s="3">
        <v>22</v>
      </c>
      <c r="C1154" s="4" t="s">
        <v>44</v>
      </c>
      <c r="D1154" s="2" t="s">
        <v>32</v>
      </c>
      <c r="E1154" s="2" t="s">
        <v>17</v>
      </c>
      <c r="F1154" s="5">
        <v>4</v>
      </c>
      <c r="G1154" s="1">
        <v>20000000</v>
      </c>
      <c r="H1154" s="2">
        <v>4</v>
      </c>
      <c r="I1154" s="6">
        <v>6.6666666666666671E-3</v>
      </c>
      <c r="J1154" s="2" t="s">
        <v>18</v>
      </c>
      <c r="K1154" s="2" t="s">
        <v>19</v>
      </c>
      <c r="L1154" s="2" t="s">
        <v>40</v>
      </c>
      <c r="M1154" s="2" t="s">
        <v>78</v>
      </c>
      <c r="N1154" s="2" t="s">
        <v>41</v>
      </c>
    </row>
    <row r="1155" spans="1:14" x14ac:dyDescent="0.5">
      <c r="A1155" s="2" t="s">
        <v>14</v>
      </c>
      <c r="B1155" s="3">
        <v>12</v>
      </c>
      <c r="C1155" s="4" t="s">
        <v>55</v>
      </c>
      <c r="D1155" s="2" t="s">
        <v>32</v>
      </c>
      <c r="E1155" s="2" t="s">
        <v>42</v>
      </c>
      <c r="F1155" s="5">
        <v>2</v>
      </c>
      <c r="G1155" s="1">
        <v>12000000</v>
      </c>
      <c r="H1155" s="2">
        <v>3</v>
      </c>
      <c r="I1155" s="6">
        <v>6.6666666666666671E-3</v>
      </c>
      <c r="J1155" s="2" t="s">
        <v>18</v>
      </c>
      <c r="K1155" s="2" t="s">
        <v>19</v>
      </c>
      <c r="L1155" s="2" t="s">
        <v>30</v>
      </c>
      <c r="M1155" s="2" t="s">
        <v>77</v>
      </c>
      <c r="N1155" s="2" t="s">
        <v>54</v>
      </c>
    </row>
    <row r="1156" spans="1:14" x14ac:dyDescent="0.5">
      <c r="A1156" s="2" t="s">
        <v>14</v>
      </c>
      <c r="B1156" s="3">
        <v>1</v>
      </c>
      <c r="C1156" s="4" t="s">
        <v>72</v>
      </c>
      <c r="D1156" s="2" t="s">
        <v>28</v>
      </c>
      <c r="E1156" s="2" t="s">
        <v>42</v>
      </c>
      <c r="F1156" s="5">
        <v>5</v>
      </c>
      <c r="G1156" s="1">
        <v>25000000</v>
      </c>
      <c r="H1156" s="2">
        <v>1</v>
      </c>
      <c r="I1156" s="6">
        <v>6.6666666666666671E-3</v>
      </c>
      <c r="J1156" s="2" t="s">
        <v>18</v>
      </c>
      <c r="K1156" s="2" t="s">
        <v>29</v>
      </c>
      <c r="L1156" s="2" t="s">
        <v>43</v>
      </c>
      <c r="M1156" s="2" t="s">
        <v>76</v>
      </c>
      <c r="N1156" s="2" t="s">
        <v>31</v>
      </c>
    </row>
    <row r="1157" spans="1:14" x14ac:dyDescent="0.5">
      <c r="A1157" s="2" t="s">
        <v>70</v>
      </c>
      <c r="B1157" s="3">
        <v>27</v>
      </c>
      <c r="C1157" s="4" t="s">
        <v>27</v>
      </c>
      <c r="D1157" s="2" t="s">
        <v>16</v>
      </c>
      <c r="E1157" s="2" t="s">
        <v>17</v>
      </c>
      <c r="F1157" s="5">
        <v>0</v>
      </c>
      <c r="G1157" s="1">
        <v>0</v>
      </c>
      <c r="H1157" s="2">
        <v>1</v>
      </c>
      <c r="I1157" s="6">
        <v>6.6666666666666671E-3</v>
      </c>
      <c r="J1157" s="2"/>
      <c r="K1157" s="2"/>
      <c r="L1157" s="2" t="s">
        <v>33</v>
      </c>
      <c r="M1157" s="2" t="s">
        <v>77</v>
      </c>
      <c r="N1157" s="2" t="s">
        <v>65</v>
      </c>
    </row>
    <row r="1158" spans="1:14" x14ac:dyDescent="0.5">
      <c r="A1158" s="2" t="s">
        <v>70</v>
      </c>
      <c r="B1158" s="3">
        <v>3</v>
      </c>
      <c r="C1158" s="4" t="s">
        <v>37</v>
      </c>
      <c r="D1158" s="2" t="s">
        <v>16</v>
      </c>
      <c r="E1158" s="2" t="s">
        <v>42</v>
      </c>
      <c r="F1158" s="5">
        <v>0</v>
      </c>
      <c r="G1158" s="1">
        <v>0</v>
      </c>
      <c r="H1158" s="2">
        <v>1</v>
      </c>
      <c r="I1158" s="6">
        <v>6.6666666666666671E-3</v>
      </c>
      <c r="J1158" s="2"/>
      <c r="K1158" s="2"/>
      <c r="L1158" s="2" t="s">
        <v>30</v>
      </c>
      <c r="M1158" s="2" t="s">
        <v>78</v>
      </c>
      <c r="N1158" s="2" t="s">
        <v>62</v>
      </c>
    </row>
    <row r="1159" spans="1:14" x14ac:dyDescent="0.5">
      <c r="A1159" s="2" t="s">
        <v>70</v>
      </c>
      <c r="B1159" s="3">
        <v>11</v>
      </c>
      <c r="C1159" s="4" t="s">
        <v>44</v>
      </c>
      <c r="D1159" s="2" t="s">
        <v>16</v>
      </c>
      <c r="E1159" s="2" t="s">
        <v>17</v>
      </c>
      <c r="F1159" s="5">
        <v>0</v>
      </c>
      <c r="G1159" s="1">
        <v>0</v>
      </c>
      <c r="H1159" s="2">
        <v>3</v>
      </c>
      <c r="I1159" s="6">
        <v>6.6666666666666671E-3</v>
      </c>
      <c r="J1159" s="2"/>
      <c r="K1159" s="2"/>
      <c r="L1159" s="2" t="s">
        <v>40</v>
      </c>
      <c r="M1159" s="2" t="s">
        <v>78</v>
      </c>
      <c r="N1159" s="2" t="s">
        <v>41</v>
      </c>
    </row>
    <row r="1160" spans="1:14" x14ac:dyDescent="0.5">
      <c r="A1160" s="2" t="s">
        <v>70</v>
      </c>
      <c r="B1160" s="3">
        <v>10</v>
      </c>
      <c r="C1160" s="4" t="s">
        <v>44</v>
      </c>
      <c r="D1160" s="2" t="s">
        <v>32</v>
      </c>
      <c r="E1160" s="2" t="s">
        <v>23</v>
      </c>
      <c r="F1160" s="5">
        <v>0</v>
      </c>
      <c r="G1160" s="1">
        <v>0</v>
      </c>
      <c r="H1160" s="2">
        <v>5</v>
      </c>
      <c r="I1160" s="6">
        <v>6.6666666666666671E-3</v>
      </c>
      <c r="J1160" s="2"/>
      <c r="K1160" s="2"/>
      <c r="L1160" s="2" t="s">
        <v>51</v>
      </c>
      <c r="M1160" s="2" t="s">
        <v>78</v>
      </c>
      <c r="N1160" s="2" t="s">
        <v>63</v>
      </c>
    </row>
    <row r="1161" spans="1:14" x14ac:dyDescent="0.5">
      <c r="A1161" s="2" t="s">
        <v>14</v>
      </c>
      <c r="B1161" s="3">
        <v>12</v>
      </c>
      <c r="C1161" s="4" t="s">
        <v>60</v>
      </c>
      <c r="D1161" s="2" t="s">
        <v>28</v>
      </c>
      <c r="E1161" s="2" t="s">
        <v>42</v>
      </c>
      <c r="F1161" s="5">
        <v>3</v>
      </c>
      <c r="G1161" s="1">
        <v>15000000</v>
      </c>
      <c r="H1161" s="2">
        <v>3</v>
      </c>
      <c r="I1161" s="6">
        <v>7.0601851851851841E-3</v>
      </c>
      <c r="J1161" s="2" t="s">
        <v>18</v>
      </c>
      <c r="K1161" s="2" t="s">
        <v>64</v>
      </c>
      <c r="L1161" s="2" t="s">
        <v>48</v>
      </c>
      <c r="M1161" s="2" t="s">
        <v>77</v>
      </c>
      <c r="N1161" s="2" t="s">
        <v>65</v>
      </c>
    </row>
    <row r="1162" spans="1:14" x14ac:dyDescent="0.5">
      <c r="A1162" s="2" t="s">
        <v>14</v>
      </c>
      <c r="B1162" s="3">
        <v>13</v>
      </c>
      <c r="C1162" s="4" t="s">
        <v>22</v>
      </c>
      <c r="D1162" s="2" t="s">
        <v>16</v>
      </c>
      <c r="E1162" s="2" t="s">
        <v>42</v>
      </c>
      <c r="F1162" s="5">
        <v>3</v>
      </c>
      <c r="G1162" s="1">
        <v>15000000</v>
      </c>
      <c r="H1162" s="2">
        <v>1</v>
      </c>
      <c r="I1162" s="6">
        <v>7.0601851851851841E-3</v>
      </c>
      <c r="J1162" s="2" t="s">
        <v>18</v>
      </c>
      <c r="K1162" s="2" t="s">
        <v>47</v>
      </c>
      <c r="L1162" s="2" t="s">
        <v>33</v>
      </c>
      <c r="M1162" s="2" t="s">
        <v>76</v>
      </c>
      <c r="N1162" s="2" t="s">
        <v>31</v>
      </c>
    </row>
    <row r="1163" spans="1:14" x14ac:dyDescent="0.5">
      <c r="A1163" s="2" t="s">
        <v>14</v>
      </c>
      <c r="B1163" s="3">
        <v>11</v>
      </c>
      <c r="C1163" s="4" t="s">
        <v>22</v>
      </c>
      <c r="D1163" s="2" t="s">
        <v>49</v>
      </c>
      <c r="E1163" s="2" t="s">
        <v>17</v>
      </c>
      <c r="F1163" s="5">
        <v>1</v>
      </c>
      <c r="G1163" s="1">
        <v>7000000</v>
      </c>
      <c r="H1163" s="2">
        <v>3</v>
      </c>
      <c r="I1163" s="6">
        <v>7.0601851851851841E-3</v>
      </c>
      <c r="J1163" s="2" t="s">
        <v>18</v>
      </c>
      <c r="K1163" s="2" t="s">
        <v>56</v>
      </c>
      <c r="L1163" s="2" t="s">
        <v>20</v>
      </c>
      <c r="M1163" s="2" t="s">
        <v>78</v>
      </c>
      <c r="N1163" s="2" t="s">
        <v>41</v>
      </c>
    </row>
    <row r="1164" spans="1:14" x14ac:dyDescent="0.5">
      <c r="A1164" s="2" t="s">
        <v>14</v>
      </c>
      <c r="B1164" s="3">
        <v>7</v>
      </c>
      <c r="C1164" s="4" t="s">
        <v>27</v>
      </c>
      <c r="D1164" s="2" t="s">
        <v>32</v>
      </c>
      <c r="E1164" s="2" t="s">
        <v>42</v>
      </c>
      <c r="F1164" s="5">
        <v>2</v>
      </c>
      <c r="G1164" s="1">
        <v>12000000</v>
      </c>
      <c r="H1164" s="2">
        <v>4</v>
      </c>
      <c r="I1164" s="6">
        <v>7.0601851851851841E-3</v>
      </c>
      <c r="J1164" s="2" t="s">
        <v>18</v>
      </c>
      <c r="K1164" s="2" t="s">
        <v>39</v>
      </c>
      <c r="L1164" s="2" t="s">
        <v>40</v>
      </c>
      <c r="M1164" s="2" t="s">
        <v>78</v>
      </c>
      <c r="N1164" s="2" t="s">
        <v>62</v>
      </c>
    </row>
    <row r="1165" spans="1:14" x14ac:dyDescent="0.5">
      <c r="A1165" s="2" t="s">
        <v>14</v>
      </c>
      <c r="B1165" s="3">
        <v>9</v>
      </c>
      <c r="C1165" s="4" t="s">
        <v>27</v>
      </c>
      <c r="D1165" s="2" t="s">
        <v>28</v>
      </c>
      <c r="E1165" s="2" t="s">
        <v>23</v>
      </c>
      <c r="F1165" s="5">
        <v>3</v>
      </c>
      <c r="G1165" s="1">
        <v>15000000</v>
      </c>
      <c r="H1165" s="2">
        <v>4</v>
      </c>
      <c r="I1165" s="6">
        <v>7.0601851851851841E-3</v>
      </c>
      <c r="J1165" s="2" t="s">
        <v>18</v>
      </c>
      <c r="K1165" s="2" t="s">
        <v>19</v>
      </c>
      <c r="L1165" s="2" t="s">
        <v>33</v>
      </c>
      <c r="M1165" s="2" t="s">
        <v>77</v>
      </c>
      <c r="N1165" s="2" t="s">
        <v>54</v>
      </c>
    </row>
    <row r="1166" spans="1:14" x14ac:dyDescent="0.5">
      <c r="A1166" s="2" t="s">
        <v>14</v>
      </c>
      <c r="B1166" s="3">
        <v>24</v>
      </c>
      <c r="C1166" s="4" t="s">
        <v>27</v>
      </c>
      <c r="D1166" s="2" t="s">
        <v>28</v>
      </c>
      <c r="E1166" s="2" t="s">
        <v>45</v>
      </c>
      <c r="F1166" s="5">
        <v>2</v>
      </c>
      <c r="G1166" s="1">
        <v>12000000</v>
      </c>
      <c r="H1166" s="2">
        <v>2</v>
      </c>
      <c r="I1166" s="6">
        <v>7.0601851851851841E-3</v>
      </c>
      <c r="J1166" s="2" t="s">
        <v>18</v>
      </c>
      <c r="K1166" s="2" t="s">
        <v>39</v>
      </c>
      <c r="L1166" s="2" t="s">
        <v>51</v>
      </c>
      <c r="M1166" s="2" t="s">
        <v>76</v>
      </c>
      <c r="N1166" s="2" t="s">
        <v>52</v>
      </c>
    </row>
    <row r="1167" spans="1:14" x14ac:dyDescent="0.5">
      <c r="A1167" s="2" t="s">
        <v>14</v>
      </c>
      <c r="B1167" s="3">
        <v>28</v>
      </c>
      <c r="C1167" s="4" t="s">
        <v>37</v>
      </c>
      <c r="D1167" s="2" t="s">
        <v>38</v>
      </c>
      <c r="E1167" s="2" t="s">
        <v>42</v>
      </c>
      <c r="F1167" s="5">
        <v>4</v>
      </c>
      <c r="G1167" s="1">
        <v>20000000</v>
      </c>
      <c r="H1167" s="2">
        <v>1</v>
      </c>
      <c r="I1167" s="6">
        <v>7.0601851851851841E-3</v>
      </c>
      <c r="J1167" s="2" t="s">
        <v>18</v>
      </c>
      <c r="K1167" s="2" t="s">
        <v>19</v>
      </c>
      <c r="L1167" s="2" t="s">
        <v>30</v>
      </c>
      <c r="M1167" s="2" t="s">
        <v>78</v>
      </c>
      <c r="N1167" s="2" t="s">
        <v>62</v>
      </c>
    </row>
    <row r="1168" spans="1:14" x14ac:dyDescent="0.5">
      <c r="A1168" s="2" t="s">
        <v>14</v>
      </c>
      <c r="B1168" s="3">
        <v>25</v>
      </c>
      <c r="C1168" s="4" t="s">
        <v>37</v>
      </c>
      <c r="D1168" s="2" t="s">
        <v>28</v>
      </c>
      <c r="E1168" s="2" t="s">
        <v>68</v>
      </c>
      <c r="F1168" s="5">
        <v>5</v>
      </c>
      <c r="G1168" s="1">
        <v>20000000</v>
      </c>
      <c r="H1168" s="2">
        <v>5</v>
      </c>
      <c r="I1168" s="6">
        <v>7.0601851851851841E-3</v>
      </c>
      <c r="J1168" s="2" t="s">
        <v>18</v>
      </c>
      <c r="K1168" s="2" t="s">
        <v>35</v>
      </c>
      <c r="L1168" s="2" t="s">
        <v>43</v>
      </c>
      <c r="M1168" s="2" t="s">
        <v>76</v>
      </c>
      <c r="N1168" s="2" t="s">
        <v>31</v>
      </c>
    </row>
    <row r="1169" spans="1:14" x14ac:dyDescent="0.5">
      <c r="A1169" s="2" t="s">
        <v>14</v>
      </c>
      <c r="B1169" s="3">
        <v>29</v>
      </c>
      <c r="C1169" s="4" t="s">
        <v>37</v>
      </c>
      <c r="D1169" s="2" t="s">
        <v>28</v>
      </c>
      <c r="E1169" s="2" t="s">
        <v>23</v>
      </c>
      <c r="F1169" s="5">
        <v>2</v>
      </c>
      <c r="G1169" s="1">
        <v>12000000</v>
      </c>
      <c r="H1169" s="2">
        <v>2</v>
      </c>
      <c r="I1169" s="6">
        <v>7.0601851851851841E-3</v>
      </c>
      <c r="J1169" s="2" t="s">
        <v>18</v>
      </c>
      <c r="K1169" s="2" t="s">
        <v>47</v>
      </c>
      <c r="L1169" s="2" t="s">
        <v>51</v>
      </c>
      <c r="M1169" s="2" t="s">
        <v>76</v>
      </c>
      <c r="N1169" s="2" t="s">
        <v>26</v>
      </c>
    </row>
    <row r="1170" spans="1:14" x14ac:dyDescent="0.5">
      <c r="A1170" s="2" t="s">
        <v>14</v>
      </c>
      <c r="B1170" s="3">
        <v>25</v>
      </c>
      <c r="C1170" s="4" t="s">
        <v>69</v>
      </c>
      <c r="D1170" s="2" t="s">
        <v>16</v>
      </c>
      <c r="E1170" s="2" t="s">
        <v>23</v>
      </c>
      <c r="F1170" s="5">
        <v>4</v>
      </c>
      <c r="G1170" s="1">
        <v>20000000</v>
      </c>
      <c r="H1170" s="2">
        <v>1</v>
      </c>
      <c r="I1170" s="6">
        <v>7.0601851851851841E-3</v>
      </c>
      <c r="J1170" s="2" t="s">
        <v>61</v>
      </c>
      <c r="K1170" s="2" t="s">
        <v>50</v>
      </c>
      <c r="L1170" s="2" t="s">
        <v>43</v>
      </c>
      <c r="M1170" s="2" t="s">
        <v>66</v>
      </c>
      <c r="N1170" s="2" t="s">
        <v>67</v>
      </c>
    </row>
    <row r="1171" spans="1:14" x14ac:dyDescent="0.5">
      <c r="A1171" s="2" t="s">
        <v>14</v>
      </c>
      <c r="B1171" s="3">
        <v>12</v>
      </c>
      <c r="C1171" s="4" t="s">
        <v>60</v>
      </c>
      <c r="D1171" s="2" t="s">
        <v>28</v>
      </c>
      <c r="E1171" s="2" t="s">
        <v>42</v>
      </c>
      <c r="F1171" s="5">
        <v>3</v>
      </c>
      <c r="G1171" s="1">
        <v>15000000</v>
      </c>
      <c r="H1171" s="2">
        <v>3</v>
      </c>
      <c r="I1171" s="6">
        <v>7.0601851851851841E-3</v>
      </c>
      <c r="J1171" s="2" t="s">
        <v>18</v>
      </c>
      <c r="K1171" s="2" t="s">
        <v>64</v>
      </c>
      <c r="L1171" s="2" t="s">
        <v>48</v>
      </c>
      <c r="M1171" s="2" t="s">
        <v>77</v>
      </c>
      <c r="N1171" s="2" t="s">
        <v>65</v>
      </c>
    </row>
    <row r="1172" spans="1:14" x14ac:dyDescent="0.5">
      <c r="A1172" s="2" t="s">
        <v>14</v>
      </c>
      <c r="B1172" s="3">
        <v>13</v>
      </c>
      <c r="C1172" s="4" t="s">
        <v>22</v>
      </c>
      <c r="D1172" s="2" t="s">
        <v>16</v>
      </c>
      <c r="E1172" s="2" t="s">
        <v>42</v>
      </c>
      <c r="F1172" s="5">
        <v>3</v>
      </c>
      <c r="G1172" s="1">
        <v>15000000</v>
      </c>
      <c r="H1172" s="2">
        <v>1</v>
      </c>
      <c r="I1172" s="6">
        <v>7.0601851851851841E-3</v>
      </c>
      <c r="J1172" s="2" t="s">
        <v>18</v>
      </c>
      <c r="K1172" s="2" t="s">
        <v>47</v>
      </c>
      <c r="L1172" s="2" t="s">
        <v>33</v>
      </c>
      <c r="M1172" s="2" t="s">
        <v>76</v>
      </c>
      <c r="N1172" s="2" t="s">
        <v>31</v>
      </c>
    </row>
    <row r="1173" spans="1:14" x14ac:dyDescent="0.5">
      <c r="A1173" s="2" t="s">
        <v>70</v>
      </c>
      <c r="B1173" s="3">
        <v>21</v>
      </c>
      <c r="C1173" s="4" t="s">
        <v>27</v>
      </c>
      <c r="D1173" s="2" t="s">
        <v>16</v>
      </c>
      <c r="E1173" s="2" t="s">
        <v>42</v>
      </c>
      <c r="F1173" s="5">
        <v>0</v>
      </c>
      <c r="G1173" s="1">
        <v>0</v>
      </c>
      <c r="H1173" s="2">
        <v>2</v>
      </c>
      <c r="I1173" s="6">
        <v>7.0601851851851841E-3</v>
      </c>
      <c r="J1173" s="2"/>
      <c r="K1173" s="2"/>
      <c r="L1173" s="2" t="s">
        <v>33</v>
      </c>
      <c r="M1173" s="2" t="s">
        <v>78</v>
      </c>
      <c r="N1173" s="2" t="s">
        <v>66</v>
      </c>
    </row>
    <row r="1174" spans="1:14" x14ac:dyDescent="0.5">
      <c r="A1174" s="2" t="s">
        <v>70</v>
      </c>
      <c r="B1174" s="3">
        <v>25</v>
      </c>
      <c r="C1174" s="4" t="s">
        <v>44</v>
      </c>
      <c r="D1174" s="2" t="s">
        <v>28</v>
      </c>
      <c r="E1174" s="2" t="s">
        <v>42</v>
      </c>
      <c r="F1174" s="5">
        <v>0</v>
      </c>
      <c r="G1174" s="1">
        <v>0</v>
      </c>
      <c r="H1174" s="2">
        <v>2</v>
      </c>
      <c r="I1174" s="6">
        <v>7.0601851851851841E-3</v>
      </c>
      <c r="J1174" s="2"/>
      <c r="K1174" s="2"/>
      <c r="L1174" s="2" t="s">
        <v>25</v>
      </c>
      <c r="M1174" s="2" t="s">
        <v>76</v>
      </c>
      <c r="N1174" s="2" t="s">
        <v>52</v>
      </c>
    </row>
    <row r="1175" spans="1:14" x14ac:dyDescent="0.5">
      <c r="A1175" s="2" t="s">
        <v>70</v>
      </c>
      <c r="B1175" s="3">
        <v>11</v>
      </c>
      <c r="C1175" s="4" t="s">
        <v>44</v>
      </c>
      <c r="D1175" s="2" t="s">
        <v>32</v>
      </c>
      <c r="E1175" s="2" t="s">
        <v>68</v>
      </c>
      <c r="F1175" s="5">
        <v>0</v>
      </c>
      <c r="G1175" s="1">
        <v>0</v>
      </c>
      <c r="H1175" s="2">
        <v>2</v>
      </c>
      <c r="I1175" s="6">
        <v>7.0601851851851841E-3</v>
      </c>
      <c r="J1175" s="2"/>
      <c r="K1175" s="2"/>
      <c r="L1175" s="2" t="s">
        <v>48</v>
      </c>
      <c r="M1175" s="2" t="s">
        <v>78</v>
      </c>
      <c r="N1175" s="2" t="s">
        <v>41</v>
      </c>
    </row>
    <row r="1176" spans="1:14" x14ac:dyDescent="0.5">
      <c r="A1176" s="2" t="s">
        <v>14</v>
      </c>
      <c r="B1176" s="3">
        <v>1</v>
      </c>
      <c r="C1176" s="4" t="s">
        <v>15</v>
      </c>
      <c r="D1176" s="2" t="s">
        <v>28</v>
      </c>
      <c r="E1176" s="2" t="s">
        <v>23</v>
      </c>
      <c r="F1176" s="5">
        <v>5</v>
      </c>
      <c r="G1176" s="1">
        <v>25000000</v>
      </c>
      <c r="H1176" s="2">
        <v>1</v>
      </c>
      <c r="I1176" s="6">
        <v>7.8703703703703713E-3</v>
      </c>
      <c r="J1176" s="2" t="s">
        <v>18</v>
      </c>
      <c r="K1176" s="2" t="s">
        <v>19</v>
      </c>
      <c r="L1176" s="2" t="s">
        <v>43</v>
      </c>
      <c r="M1176" s="2" t="s">
        <v>66</v>
      </c>
      <c r="N1176" s="2" t="s">
        <v>36</v>
      </c>
    </row>
    <row r="1177" spans="1:14" x14ac:dyDescent="0.5">
      <c r="A1177" s="2" t="s">
        <v>14</v>
      </c>
      <c r="B1177" s="3">
        <v>11</v>
      </c>
      <c r="C1177" s="4" t="s">
        <v>15</v>
      </c>
      <c r="D1177" s="2" t="s">
        <v>49</v>
      </c>
      <c r="E1177" s="2" t="s">
        <v>23</v>
      </c>
      <c r="F1177" s="5">
        <v>3</v>
      </c>
      <c r="G1177" s="1">
        <v>15000000</v>
      </c>
      <c r="H1177" s="2">
        <v>2</v>
      </c>
      <c r="I1177" s="6">
        <v>7.8703703703703713E-3</v>
      </c>
      <c r="J1177" s="2" t="s">
        <v>18</v>
      </c>
      <c r="K1177" s="2" t="s">
        <v>35</v>
      </c>
      <c r="L1177" s="2" t="s">
        <v>48</v>
      </c>
      <c r="M1177" s="2" t="s">
        <v>77</v>
      </c>
      <c r="N1177" s="2" t="s">
        <v>65</v>
      </c>
    </row>
    <row r="1178" spans="1:14" x14ac:dyDescent="0.5">
      <c r="A1178" s="2" t="s">
        <v>14</v>
      </c>
      <c r="B1178" s="3">
        <v>4</v>
      </c>
      <c r="C1178" s="4" t="s">
        <v>59</v>
      </c>
      <c r="D1178" s="2" t="s">
        <v>28</v>
      </c>
      <c r="E1178" s="2" t="s">
        <v>42</v>
      </c>
      <c r="F1178" s="5">
        <v>4</v>
      </c>
      <c r="G1178" s="1">
        <v>20000000</v>
      </c>
      <c r="H1178" s="2">
        <v>1</v>
      </c>
      <c r="I1178" s="6">
        <v>7.8703703703703713E-3</v>
      </c>
      <c r="J1178" s="2" t="s">
        <v>61</v>
      </c>
      <c r="K1178" s="2" t="s">
        <v>56</v>
      </c>
      <c r="L1178" s="2" t="s">
        <v>30</v>
      </c>
      <c r="M1178" s="2" t="s">
        <v>76</v>
      </c>
      <c r="N1178" s="2" t="s">
        <v>71</v>
      </c>
    </row>
    <row r="1179" spans="1:14" x14ac:dyDescent="0.5">
      <c r="A1179" s="2" t="s">
        <v>14</v>
      </c>
      <c r="B1179" s="3">
        <v>30</v>
      </c>
      <c r="C1179" s="4" t="s">
        <v>27</v>
      </c>
      <c r="D1179" s="2" t="s">
        <v>28</v>
      </c>
      <c r="E1179" s="2" t="s">
        <v>42</v>
      </c>
      <c r="F1179" s="5">
        <v>2</v>
      </c>
      <c r="G1179" s="1">
        <v>10000000</v>
      </c>
      <c r="H1179" s="2">
        <v>1</v>
      </c>
      <c r="I1179" s="6">
        <v>7.8703703703703713E-3</v>
      </c>
      <c r="J1179" s="2" t="s">
        <v>18</v>
      </c>
      <c r="K1179" s="2" t="s">
        <v>56</v>
      </c>
      <c r="L1179" s="2" t="s">
        <v>20</v>
      </c>
      <c r="M1179" s="2" t="s">
        <v>78</v>
      </c>
      <c r="N1179" s="2" t="s">
        <v>21</v>
      </c>
    </row>
    <row r="1180" spans="1:14" x14ac:dyDescent="0.5">
      <c r="A1180" s="2" t="s">
        <v>14</v>
      </c>
      <c r="B1180" s="3">
        <v>14</v>
      </c>
      <c r="C1180" s="4" t="s">
        <v>37</v>
      </c>
      <c r="D1180" s="2" t="s">
        <v>16</v>
      </c>
      <c r="E1180" s="2" t="s">
        <v>23</v>
      </c>
      <c r="F1180" s="5">
        <v>1</v>
      </c>
      <c r="G1180" s="1">
        <v>19000000</v>
      </c>
      <c r="H1180" s="2">
        <v>2</v>
      </c>
      <c r="I1180" s="6">
        <v>7.8703703703703713E-3</v>
      </c>
      <c r="J1180" s="2" t="s">
        <v>46</v>
      </c>
      <c r="K1180" s="2" t="s">
        <v>29</v>
      </c>
      <c r="L1180" s="2" t="s">
        <v>48</v>
      </c>
      <c r="M1180" s="2" t="s">
        <v>66</v>
      </c>
      <c r="N1180" s="2" t="s">
        <v>36</v>
      </c>
    </row>
    <row r="1181" spans="1:14" x14ac:dyDescent="0.5">
      <c r="A1181" s="2" t="s">
        <v>14</v>
      </c>
      <c r="B1181" s="3">
        <v>19</v>
      </c>
      <c r="C1181" s="4" t="s">
        <v>37</v>
      </c>
      <c r="D1181" s="2" t="s">
        <v>28</v>
      </c>
      <c r="E1181" s="2" t="s">
        <v>23</v>
      </c>
      <c r="F1181" s="5">
        <v>1</v>
      </c>
      <c r="G1181" s="1">
        <v>7000000</v>
      </c>
      <c r="H1181" s="2">
        <v>4</v>
      </c>
      <c r="I1181" s="6">
        <v>7.8703703703703713E-3</v>
      </c>
      <c r="J1181" s="2" t="s">
        <v>18</v>
      </c>
      <c r="K1181" s="2" t="s">
        <v>24</v>
      </c>
      <c r="L1181" s="2" t="s">
        <v>33</v>
      </c>
      <c r="M1181" s="2" t="s">
        <v>76</v>
      </c>
      <c r="N1181" s="2" t="s">
        <v>71</v>
      </c>
    </row>
    <row r="1182" spans="1:14" x14ac:dyDescent="0.5">
      <c r="A1182" s="2" t="s">
        <v>14</v>
      </c>
      <c r="B1182" s="3">
        <v>3</v>
      </c>
      <c r="C1182" s="4" t="s">
        <v>37</v>
      </c>
      <c r="D1182" s="2" t="s">
        <v>16</v>
      </c>
      <c r="E1182" s="2" t="s">
        <v>45</v>
      </c>
      <c r="F1182" s="5">
        <v>3</v>
      </c>
      <c r="G1182" s="1">
        <v>12000000</v>
      </c>
      <c r="H1182" s="2">
        <v>2</v>
      </c>
      <c r="I1182" s="6">
        <v>7.8703703703703713E-3</v>
      </c>
      <c r="J1182" s="2" t="s">
        <v>18</v>
      </c>
      <c r="K1182" s="2" t="s">
        <v>39</v>
      </c>
      <c r="L1182" s="2" t="s">
        <v>51</v>
      </c>
      <c r="M1182" s="2" t="s">
        <v>76</v>
      </c>
      <c r="N1182" s="2" t="s">
        <v>26</v>
      </c>
    </row>
    <row r="1183" spans="1:14" x14ac:dyDescent="0.5">
      <c r="A1183" s="2" t="s">
        <v>14</v>
      </c>
      <c r="B1183" s="3">
        <v>3</v>
      </c>
      <c r="C1183" s="4" t="s">
        <v>44</v>
      </c>
      <c r="D1183" s="2" t="s">
        <v>32</v>
      </c>
      <c r="E1183" s="2" t="s">
        <v>23</v>
      </c>
      <c r="F1183" s="5">
        <v>2</v>
      </c>
      <c r="G1183" s="1">
        <v>38000000</v>
      </c>
      <c r="H1183" s="2">
        <v>2</v>
      </c>
      <c r="I1183" s="6">
        <v>7.8703703703703713E-3</v>
      </c>
      <c r="J1183" s="2" t="s">
        <v>46</v>
      </c>
      <c r="K1183" s="2" t="s">
        <v>64</v>
      </c>
      <c r="L1183" s="2" t="s">
        <v>33</v>
      </c>
      <c r="M1183" s="2" t="s">
        <v>76</v>
      </c>
      <c r="N1183" s="2" t="s">
        <v>31</v>
      </c>
    </row>
    <row r="1184" spans="1:14" x14ac:dyDescent="0.5">
      <c r="A1184" s="2" t="s">
        <v>14</v>
      </c>
      <c r="B1184" s="3">
        <v>12</v>
      </c>
      <c r="C1184" s="4" t="s">
        <v>44</v>
      </c>
      <c r="D1184" s="2" t="s">
        <v>49</v>
      </c>
      <c r="E1184" s="2" t="s">
        <v>42</v>
      </c>
      <c r="F1184" s="5">
        <v>3</v>
      </c>
      <c r="G1184" s="1">
        <v>15000000</v>
      </c>
      <c r="H1184" s="2">
        <v>1</v>
      </c>
      <c r="I1184" s="6">
        <v>7.8703703703703713E-3</v>
      </c>
      <c r="J1184" s="2" t="s">
        <v>18</v>
      </c>
      <c r="K1184" s="2" t="s">
        <v>29</v>
      </c>
      <c r="L1184" s="2" t="s">
        <v>51</v>
      </c>
      <c r="M1184" s="2" t="s">
        <v>78</v>
      </c>
      <c r="N1184" s="2" t="s">
        <v>53</v>
      </c>
    </row>
    <row r="1185" spans="1:14" x14ac:dyDescent="0.5">
      <c r="A1185" s="2" t="s">
        <v>14</v>
      </c>
      <c r="B1185" s="3">
        <v>22</v>
      </c>
      <c r="C1185" s="4" t="s">
        <v>44</v>
      </c>
      <c r="D1185" s="2" t="s">
        <v>16</v>
      </c>
      <c r="E1185" s="2" t="s">
        <v>68</v>
      </c>
      <c r="F1185" s="5">
        <v>2</v>
      </c>
      <c r="G1185" s="1">
        <v>12000000</v>
      </c>
      <c r="H1185" s="2">
        <v>3</v>
      </c>
      <c r="I1185" s="6">
        <v>7.8703703703703713E-3</v>
      </c>
      <c r="J1185" s="2" t="s">
        <v>18</v>
      </c>
      <c r="K1185" s="2" t="s">
        <v>19</v>
      </c>
      <c r="L1185" s="2" t="s">
        <v>40</v>
      </c>
      <c r="M1185" s="2" t="s">
        <v>78</v>
      </c>
      <c r="N1185" s="2" t="s">
        <v>63</v>
      </c>
    </row>
    <row r="1186" spans="1:14" x14ac:dyDescent="0.5">
      <c r="A1186" s="2" t="s">
        <v>14</v>
      </c>
      <c r="B1186" s="3">
        <v>1</v>
      </c>
      <c r="C1186" s="4" t="s">
        <v>15</v>
      </c>
      <c r="D1186" s="2" t="s">
        <v>28</v>
      </c>
      <c r="E1186" s="2" t="s">
        <v>23</v>
      </c>
      <c r="F1186" s="5">
        <v>5</v>
      </c>
      <c r="G1186" s="1">
        <v>25000000</v>
      </c>
      <c r="H1186" s="2">
        <v>1</v>
      </c>
      <c r="I1186" s="6">
        <v>7.8703703703703713E-3</v>
      </c>
      <c r="J1186" s="2" t="s">
        <v>18</v>
      </c>
      <c r="K1186" s="2" t="s">
        <v>19</v>
      </c>
      <c r="L1186" s="2" t="s">
        <v>43</v>
      </c>
      <c r="M1186" s="2" t="s">
        <v>66</v>
      </c>
      <c r="N1186" s="2" t="s">
        <v>36</v>
      </c>
    </row>
    <row r="1187" spans="1:14" x14ac:dyDescent="0.5">
      <c r="A1187" s="2" t="s">
        <v>14</v>
      </c>
      <c r="B1187" s="3">
        <v>11</v>
      </c>
      <c r="C1187" s="4" t="s">
        <v>15</v>
      </c>
      <c r="D1187" s="2" t="s">
        <v>49</v>
      </c>
      <c r="E1187" s="2" t="s">
        <v>23</v>
      </c>
      <c r="F1187" s="5">
        <v>3</v>
      </c>
      <c r="G1187" s="1">
        <v>15000000</v>
      </c>
      <c r="H1187" s="2">
        <v>2</v>
      </c>
      <c r="I1187" s="6">
        <v>7.8703703703703713E-3</v>
      </c>
      <c r="J1187" s="2" t="s">
        <v>18</v>
      </c>
      <c r="K1187" s="2" t="s">
        <v>35</v>
      </c>
      <c r="L1187" s="2" t="s">
        <v>48</v>
      </c>
      <c r="M1187" s="2" t="s">
        <v>77</v>
      </c>
      <c r="N1187" s="2" t="s">
        <v>65</v>
      </c>
    </row>
    <row r="1188" spans="1:14" x14ac:dyDescent="0.5">
      <c r="A1188" s="2" t="s">
        <v>14</v>
      </c>
      <c r="B1188" s="3">
        <v>4</v>
      </c>
      <c r="C1188" s="4" t="s">
        <v>59</v>
      </c>
      <c r="D1188" s="2" t="s">
        <v>28</v>
      </c>
      <c r="E1188" s="2" t="s">
        <v>42</v>
      </c>
      <c r="F1188" s="5">
        <v>4</v>
      </c>
      <c r="G1188" s="1">
        <v>20000000</v>
      </c>
      <c r="H1188" s="2">
        <v>1</v>
      </c>
      <c r="I1188" s="6">
        <v>7.8703703703703713E-3</v>
      </c>
      <c r="J1188" s="2" t="s">
        <v>61</v>
      </c>
      <c r="K1188" s="2" t="s">
        <v>56</v>
      </c>
      <c r="L1188" s="2" t="s">
        <v>30</v>
      </c>
      <c r="M1188" s="2" t="s">
        <v>76</v>
      </c>
      <c r="N1188" s="2" t="s">
        <v>71</v>
      </c>
    </row>
    <row r="1189" spans="1:14" x14ac:dyDescent="0.5">
      <c r="A1189" s="2" t="s">
        <v>70</v>
      </c>
      <c r="B1189" s="3">
        <v>5</v>
      </c>
      <c r="C1189" s="4" t="s">
        <v>37</v>
      </c>
      <c r="D1189" s="2" t="s">
        <v>16</v>
      </c>
      <c r="E1189" s="2" t="s">
        <v>42</v>
      </c>
      <c r="F1189" s="5">
        <v>0</v>
      </c>
      <c r="G1189" s="1">
        <v>0</v>
      </c>
      <c r="H1189" s="2">
        <v>3</v>
      </c>
      <c r="I1189" s="6">
        <v>7.8703703703703713E-3</v>
      </c>
      <c r="J1189" s="2"/>
      <c r="K1189" s="2"/>
      <c r="L1189" s="2" t="s">
        <v>30</v>
      </c>
      <c r="M1189" s="2" t="s">
        <v>76</v>
      </c>
      <c r="N1189" s="2" t="s">
        <v>31</v>
      </c>
    </row>
    <row r="1190" spans="1:14" x14ac:dyDescent="0.5">
      <c r="A1190" s="2" t="s">
        <v>70</v>
      </c>
      <c r="B1190" s="3">
        <v>10</v>
      </c>
      <c r="C1190" s="4" t="s">
        <v>69</v>
      </c>
      <c r="D1190" s="2" t="s">
        <v>16</v>
      </c>
      <c r="E1190" s="2" t="s">
        <v>23</v>
      </c>
      <c r="F1190" s="5">
        <v>0</v>
      </c>
      <c r="G1190" s="1">
        <v>0</v>
      </c>
      <c r="H1190" s="2">
        <v>2</v>
      </c>
      <c r="I1190" s="6">
        <v>7.8703703703703713E-3</v>
      </c>
      <c r="J1190" s="2"/>
      <c r="K1190" s="2"/>
      <c r="L1190" s="2" t="s">
        <v>40</v>
      </c>
      <c r="M1190" s="2" t="s">
        <v>66</v>
      </c>
      <c r="N1190" s="2" t="s">
        <v>36</v>
      </c>
    </row>
    <row r="1191" spans="1:14" x14ac:dyDescent="0.5">
      <c r="A1191" s="2" t="s">
        <v>70</v>
      </c>
      <c r="B1191" s="3">
        <v>10</v>
      </c>
      <c r="C1191" s="4" t="s">
        <v>69</v>
      </c>
      <c r="D1191" s="2" t="s">
        <v>49</v>
      </c>
      <c r="E1191" s="2" t="s">
        <v>42</v>
      </c>
      <c r="F1191" s="5">
        <v>0</v>
      </c>
      <c r="G1191" s="1">
        <v>0</v>
      </c>
      <c r="H1191" s="2">
        <v>2</v>
      </c>
      <c r="I1191" s="6">
        <v>7.8703703703703713E-3</v>
      </c>
      <c r="J1191" s="2"/>
      <c r="K1191" s="2"/>
      <c r="L1191" s="2" t="s">
        <v>20</v>
      </c>
      <c r="M1191" s="2" t="s">
        <v>78</v>
      </c>
      <c r="N1191" s="2" t="s">
        <v>53</v>
      </c>
    </row>
    <row r="1192" spans="1:14" x14ac:dyDescent="0.5">
      <c r="A1192" s="2" t="s">
        <v>14</v>
      </c>
      <c r="B1192" s="3">
        <v>17</v>
      </c>
      <c r="C1192" s="4" t="s">
        <v>55</v>
      </c>
      <c r="D1192" s="2" t="s">
        <v>28</v>
      </c>
      <c r="E1192" s="2" t="s">
        <v>42</v>
      </c>
      <c r="F1192" s="5">
        <v>2</v>
      </c>
      <c r="G1192" s="1">
        <v>38000000</v>
      </c>
      <c r="H1192" s="2">
        <v>4</v>
      </c>
      <c r="I1192" s="6">
        <v>8.8541666666666664E-3</v>
      </c>
      <c r="J1192" s="2" t="s">
        <v>46</v>
      </c>
      <c r="K1192" s="2" t="s">
        <v>29</v>
      </c>
      <c r="L1192" s="2" t="s">
        <v>33</v>
      </c>
      <c r="M1192" s="2" t="s">
        <v>76</v>
      </c>
      <c r="N1192" s="2" t="s">
        <v>31</v>
      </c>
    </row>
    <row r="1193" spans="1:14" x14ac:dyDescent="0.5">
      <c r="A1193" s="2" t="s">
        <v>14</v>
      </c>
      <c r="B1193" s="3">
        <v>2</v>
      </c>
      <c r="C1193" s="4" t="s">
        <v>59</v>
      </c>
      <c r="D1193" s="2" t="s">
        <v>16</v>
      </c>
      <c r="E1193" s="2" t="s">
        <v>42</v>
      </c>
      <c r="F1193" s="5">
        <v>5</v>
      </c>
      <c r="G1193" s="1">
        <v>25000000</v>
      </c>
      <c r="H1193" s="2">
        <v>1</v>
      </c>
      <c r="I1193" s="6">
        <v>8.8541666666666664E-3</v>
      </c>
      <c r="J1193" s="2" t="s">
        <v>18</v>
      </c>
      <c r="K1193" s="2" t="s">
        <v>19</v>
      </c>
      <c r="L1193" s="2" t="s">
        <v>51</v>
      </c>
      <c r="M1193" s="2" t="s">
        <v>78</v>
      </c>
      <c r="N1193" s="2" t="s">
        <v>21</v>
      </c>
    </row>
    <row r="1194" spans="1:14" x14ac:dyDescent="0.5">
      <c r="A1194" s="2" t="s">
        <v>14</v>
      </c>
      <c r="B1194" s="3">
        <v>5</v>
      </c>
      <c r="C1194" s="4" t="s">
        <v>22</v>
      </c>
      <c r="D1194" s="2" t="s">
        <v>16</v>
      </c>
      <c r="E1194" s="2" t="s">
        <v>17</v>
      </c>
      <c r="F1194" s="5">
        <v>4</v>
      </c>
      <c r="G1194" s="1">
        <v>20000000</v>
      </c>
      <c r="H1194" s="2">
        <v>3</v>
      </c>
      <c r="I1194" s="6">
        <v>8.8541666666666664E-3</v>
      </c>
      <c r="J1194" s="2" t="s">
        <v>61</v>
      </c>
      <c r="K1194" s="2" t="s">
        <v>47</v>
      </c>
      <c r="L1194" s="2" t="s">
        <v>33</v>
      </c>
      <c r="M1194" s="2" t="s">
        <v>78</v>
      </c>
      <c r="N1194" s="2" t="s">
        <v>66</v>
      </c>
    </row>
    <row r="1195" spans="1:14" x14ac:dyDescent="0.5">
      <c r="A1195" s="2" t="s">
        <v>14</v>
      </c>
      <c r="B1195" s="3">
        <v>11</v>
      </c>
      <c r="C1195" s="4" t="s">
        <v>22</v>
      </c>
      <c r="D1195" s="2" t="s">
        <v>28</v>
      </c>
      <c r="E1195" s="2" t="s">
        <v>23</v>
      </c>
      <c r="F1195" s="5">
        <v>1</v>
      </c>
      <c r="G1195" s="1">
        <v>7000000</v>
      </c>
      <c r="H1195" s="2">
        <v>6</v>
      </c>
      <c r="I1195" s="6">
        <v>8.8541666666666664E-3</v>
      </c>
      <c r="J1195" s="2" t="s">
        <v>18</v>
      </c>
      <c r="K1195" s="2" t="s">
        <v>29</v>
      </c>
      <c r="L1195" s="2" t="s">
        <v>25</v>
      </c>
      <c r="M1195" s="2" t="s">
        <v>76</v>
      </c>
      <c r="N1195" s="2" t="s">
        <v>71</v>
      </c>
    </row>
    <row r="1196" spans="1:14" x14ac:dyDescent="0.5">
      <c r="A1196" s="2" t="s">
        <v>14</v>
      </c>
      <c r="B1196" s="3">
        <v>28</v>
      </c>
      <c r="C1196" s="4" t="s">
        <v>27</v>
      </c>
      <c r="D1196" s="2" t="s">
        <v>32</v>
      </c>
      <c r="E1196" s="2" t="s">
        <v>42</v>
      </c>
      <c r="F1196" s="5">
        <v>3</v>
      </c>
      <c r="G1196" s="1">
        <v>11000000</v>
      </c>
      <c r="H1196" s="2">
        <v>2</v>
      </c>
      <c r="I1196" s="6">
        <v>8.8541666666666664E-3</v>
      </c>
      <c r="J1196" s="2" t="s">
        <v>18</v>
      </c>
      <c r="K1196" s="2" t="s">
        <v>29</v>
      </c>
      <c r="L1196" s="2" t="s">
        <v>25</v>
      </c>
      <c r="M1196" s="2" t="s">
        <v>78</v>
      </c>
      <c r="N1196" s="2" t="s">
        <v>21</v>
      </c>
    </row>
    <row r="1197" spans="1:14" x14ac:dyDescent="0.5">
      <c r="A1197" s="2" t="s">
        <v>14</v>
      </c>
      <c r="B1197" s="3">
        <v>16</v>
      </c>
      <c r="C1197" s="4" t="s">
        <v>27</v>
      </c>
      <c r="D1197" s="2" t="s">
        <v>28</v>
      </c>
      <c r="E1197" s="2" t="s">
        <v>23</v>
      </c>
      <c r="F1197" s="5">
        <v>5</v>
      </c>
      <c r="G1197" s="1">
        <v>20000000</v>
      </c>
      <c r="H1197" s="2">
        <v>5</v>
      </c>
      <c r="I1197" s="6">
        <v>8.8541666666666664E-3</v>
      </c>
      <c r="J1197" s="2" t="s">
        <v>18</v>
      </c>
      <c r="K1197" s="2" t="s">
        <v>19</v>
      </c>
      <c r="L1197" s="2" t="s">
        <v>40</v>
      </c>
      <c r="M1197" s="2" t="s">
        <v>77</v>
      </c>
      <c r="N1197" s="2" t="s">
        <v>65</v>
      </c>
    </row>
    <row r="1198" spans="1:14" x14ac:dyDescent="0.5">
      <c r="A1198" s="2" t="s">
        <v>14</v>
      </c>
      <c r="B1198" s="3">
        <v>30</v>
      </c>
      <c r="C1198" s="4" t="s">
        <v>27</v>
      </c>
      <c r="D1198" s="2" t="s">
        <v>49</v>
      </c>
      <c r="E1198" s="2" t="s">
        <v>17</v>
      </c>
      <c r="F1198" s="5">
        <v>2</v>
      </c>
      <c r="G1198" s="1">
        <v>10000000</v>
      </c>
      <c r="H1198" s="2">
        <v>1</v>
      </c>
      <c r="I1198" s="6">
        <v>8.8541666666666664E-3</v>
      </c>
      <c r="J1198" s="2" t="s">
        <v>18</v>
      </c>
      <c r="K1198" s="2" t="s">
        <v>19</v>
      </c>
      <c r="L1198" s="2" t="s">
        <v>48</v>
      </c>
      <c r="M1198" s="2" t="s">
        <v>66</v>
      </c>
      <c r="N1198" s="2" t="s">
        <v>67</v>
      </c>
    </row>
    <row r="1199" spans="1:14" x14ac:dyDescent="0.5">
      <c r="A1199" s="2" t="s">
        <v>14</v>
      </c>
      <c r="B1199" s="3">
        <v>8</v>
      </c>
      <c r="C1199" s="4" t="s">
        <v>37</v>
      </c>
      <c r="D1199" s="2" t="s">
        <v>28</v>
      </c>
      <c r="E1199" s="2" t="s">
        <v>42</v>
      </c>
      <c r="F1199" s="5">
        <v>1</v>
      </c>
      <c r="G1199" s="1">
        <v>19000000</v>
      </c>
      <c r="H1199" s="2">
        <v>4</v>
      </c>
      <c r="I1199" s="6">
        <v>8.8541666666666664E-3</v>
      </c>
      <c r="J1199" s="2" t="s">
        <v>46</v>
      </c>
      <c r="K1199" s="2" t="s">
        <v>19</v>
      </c>
      <c r="L1199" s="2" t="s">
        <v>43</v>
      </c>
      <c r="M1199" s="2" t="s">
        <v>66</v>
      </c>
      <c r="N1199" s="2" t="s">
        <v>67</v>
      </c>
    </row>
    <row r="1200" spans="1:14" x14ac:dyDescent="0.5">
      <c r="A1200" s="2" t="s">
        <v>14</v>
      </c>
      <c r="B1200" s="3">
        <v>17</v>
      </c>
      <c r="C1200" s="4" t="s">
        <v>55</v>
      </c>
      <c r="D1200" s="2" t="s">
        <v>28</v>
      </c>
      <c r="E1200" s="2" t="s">
        <v>42</v>
      </c>
      <c r="F1200" s="5">
        <v>2</v>
      </c>
      <c r="G1200" s="1">
        <v>38000000</v>
      </c>
      <c r="H1200" s="2">
        <v>4</v>
      </c>
      <c r="I1200" s="6">
        <v>8.8541666666666664E-3</v>
      </c>
      <c r="J1200" s="2" t="s">
        <v>46</v>
      </c>
      <c r="K1200" s="2" t="s">
        <v>29</v>
      </c>
      <c r="L1200" s="2" t="s">
        <v>33</v>
      </c>
      <c r="M1200" s="2" t="s">
        <v>76</v>
      </c>
      <c r="N1200" s="2" t="s">
        <v>31</v>
      </c>
    </row>
    <row r="1201" spans="1:14" x14ac:dyDescent="0.5">
      <c r="A1201" s="2" t="s">
        <v>14</v>
      </c>
      <c r="B1201" s="3">
        <v>2</v>
      </c>
      <c r="C1201" s="4" t="s">
        <v>59</v>
      </c>
      <c r="D1201" s="2" t="s">
        <v>16</v>
      </c>
      <c r="E1201" s="2" t="s">
        <v>42</v>
      </c>
      <c r="F1201" s="5">
        <v>5</v>
      </c>
      <c r="G1201" s="1">
        <v>25000000</v>
      </c>
      <c r="H1201" s="2">
        <v>1</v>
      </c>
      <c r="I1201" s="6">
        <v>8.8541666666666664E-3</v>
      </c>
      <c r="J1201" s="2" t="s">
        <v>18</v>
      </c>
      <c r="K1201" s="2" t="s">
        <v>19</v>
      </c>
      <c r="L1201" s="2" t="s">
        <v>51</v>
      </c>
      <c r="M1201" s="2" t="s">
        <v>78</v>
      </c>
      <c r="N1201" s="2" t="s">
        <v>21</v>
      </c>
    </row>
    <row r="1202" spans="1:14" x14ac:dyDescent="0.5">
      <c r="A1202" s="2" t="s">
        <v>14</v>
      </c>
      <c r="B1202" s="3">
        <v>5</v>
      </c>
      <c r="C1202" s="4" t="s">
        <v>22</v>
      </c>
      <c r="D1202" s="2" t="s">
        <v>16</v>
      </c>
      <c r="E1202" s="2" t="s">
        <v>17</v>
      </c>
      <c r="F1202" s="5">
        <v>4</v>
      </c>
      <c r="G1202" s="1">
        <v>20000000</v>
      </c>
      <c r="H1202" s="2">
        <v>3</v>
      </c>
      <c r="I1202" s="6">
        <v>8.8541666666666664E-3</v>
      </c>
      <c r="J1202" s="2" t="s">
        <v>61</v>
      </c>
      <c r="K1202" s="2" t="s">
        <v>47</v>
      </c>
      <c r="L1202" s="2" t="s">
        <v>33</v>
      </c>
      <c r="M1202" s="2" t="s">
        <v>78</v>
      </c>
      <c r="N1202" s="2" t="s">
        <v>66</v>
      </c>
    </row>
    <row r="1203" spans="1:14" x14ac:dyDescent="0.5">
      <c r="A1203" s="2" t="s">
        <v>70</v>
      </c>
      <c r="B1203" s="3">
        <v>22</v>
      </c>
      <c r="C1203" s="4" t="s">
        <v>27</v>
      </c>
      <c r="D1203" s="2" t="s">
        <v>38</v>
      </c>
      <c r="E1203" s="2" t="s">
        <v>23</v>
      </c>
      <c r="F1203" s="5">
        <v>0</v>
      </c>
      <c r="G1203" s="1">
        <v>0</v>
      </c>
      <c r="H1203" s="2">
        <v>3</v>
      </c>
      <c r="I1203" s="6">
        <v>8.8541666666666664E-3</v>
      </c>
      <c r="J1203" s="2"/>
      <c r="K1203" s="2"/>
      <c r="L1203" s="2" t="s">
        <v>30</v>
      </c>
      <c r="M1203" s="2" t="s">
        <v>76</v>
      </c>
      <c r="N1203" s="2" t="s">
        <v>31</v>
      </c>
    </row>
    <row r="1204" spans="1:14" x14ac:dyDescent="0.5">
      <c r="A1204" s="2" t="s">
        <v>70</v>
      </c>
      <c r="B1204" s="3">
        <v>25</v>
      </c>
      <c r="C1204" s="4" t="s">
        <v>37</v>
      </c>
      <c r="D1204" s="2" t="s">
        <v>38</v>
      </c>
      <c r="E1204" s="2" t="s">
        <v>23</v>
      </c>
      <c r="F1204" s="5">
        <v>0</v>
      </c>
      <c r="G1204" s="1">
        <v>0</v>
      </c>
      <c r="H1204" s="2">
        <v>5</v>
      </c>
      <c r="I1204" s="6">
        <v>8.8541666666666664E-3</v>
      </c>
      <c r="J1204" s="2"/>
      <c r="K1204" s="2"/>
      <c r="L1204" s="2" t="s">
        <v>43</v>
      </c>
      <c r="M1204" s="2" t="s">
        <v>78</v>
      </c>
      <c r="N1204" s="2" t="s">
        <v>21</v>
      </c>
    </row>
    <row r="1205" spans="1:14" x14ac:dyDescent="0.5">
      <c r="A1205" s="2" t="s">
        <v>70</v>
      </c>
      <c r="B1205" s="3">
        <v>16</v>
      </c>
      <c r="C1205" s="4" t="s">
        <v>44</v>
      </c>
      <c r="D1205" s="2" t="s">
        <v>16</v>
      </c>
      <c r="E1205" s="2" t="s">
        <v>42</v>
      </c>
      <c r="F1205" s="5">
        <v>0</v>
      </c>
      <c r="G1205" s="1">
        <v>0</v>
      </c>
      <c r="H1205" s="2">
        <v>3</v>
      </c>
      <c r="I1205" s="6">
        <v>8.8541666666666664E-3</v>
      </c>
      <c r="J1205" s="2"/>
      <c r="K1205" s="2"/>
      <c r="L1205" s="2" t="s">
        <v>33</v>
      </c>
      <c r="M1205" s="2" t="s">
        <v>66</v>
      </c>
      <c r="N1205" s="2" t="s">
        <v>67</v>
      </c>
    </row>
    <row r="1206" spans="1:14" x14ac:dyDescent="0.5">
      <c r="A1206" s="2" t="s">
        <v>70</v>
      </c>
      <c r="B1206" s="3">
        <v>30</v>
      </c>
      <c r="C1206" s="4" t="s">
        <v>44</v>
      </c>
      <c r="D1206" s="2" t="s">
        <v>32</v>
      </c>
      <c r="E1206" s="2" t="s">
        <v>42</v>
      </c>
      <c r="F1206" s="5">
        <v>0</v>
      </c>
      <c r="G1206" s="1">
        <v>0</v>
      </c>
      <c r="H1206" s="2">
        <v>5</v>
      </c>
      <c r="I1206" s="6">
        <v>8.8541666666666664E-3</v>
      </c>
      <c r="J1206" s="2"/>
      <c r="K1206" s="2"/>
      <c r="L1206" s="2" t="s">
        <v>48</v>
      </c>
      <c r="M1206" s="2" t="s">
        <v>76</v>
      </c>
      <c r="N1206" s="2" t="s">
        <v>52</v>
      </c>
    </row>
    <row r="1207" spans="1:14" x14ac:dyDescent="0.5">
      <c r="A1207" s="2" t="s">
        <v>70</v>
      </c>
      <c r="B1207" s="3">
        <v>1</v>
      </c>
      <c r="C1207" s="4" t="s">
        <v>69</v>
      </c>
      <c r="D1207" s="2" t="s">
        <v>28</v>
      </c>
      <c r="E1207" s="2" t="s">
        <v>17</v>
      </c>
      <c r="F1207" s="5">
        <v>0</v>
      </c>
      <c r="G1207" s="1">
        <v>0</v>
      </c>
      <c r="H1207" s="2">
        <v>2</v>
      </c>
      <c r="I1207" s="6">
        <v>8.8541666666666664E-3</v>
      </c>
      <c r="J1207" s="2"/>
      <c r="K1207" s="2"/>
      <c r="L1207" s="2" t="s">
        <v>25</v>
      </c>
      <c r="M1207" s="2" t="s">
        <v>76</v>
      </c>
      <c r="N1207" s="2" t="s">
        <v>26</v>
      </c>
    </row>
    <row r="1208" spans="1:14" x14ac:dyDescent="0.5">
      <c r="A1208" s="2" t="s">
        <v>14</v>
      </c>
      <c r="B1208" s="3">
        <v>13</v>
      </c>
      <c r="C1208" s="4" t="s">
        <v>57</v>
      </c>
      <c r="D1208" s="2" t="s">
        <v>32</v>
      </c>
      <c r="E1208" s="2" t="s">
        <v>17</v>
      </c>
      <c r="F1208" s="5">
        <v>1</v>
      </c>
      <c r="G1208" s="1">
        <v>7000000</v>
      </c>
      <c r="H1208" s="2">
        <v>6</v>
      </c>
      <c r="I1208" s="6">
        <v>8.9699074074074073E-3</v>
      </c>
      <c r="J1208" s="2" t="s">
        <v>18</v>
      </c>
      <c r="K1208" s="2" t="s">
        <v>47</v>
      </c>
      <c r="L1208" s="2" t="s">
        <v>33</v>
      </c>
      <c r="M1208" s="2" t="s">
        <v>66</v>
      </c>
      <c r="N1208" s="2" t="s">
        <v>36</v>
      </c>
    </row>
    <row r="1209" spans="1:14" x14ac:dyDescent="0.5">
      <c r="A1209" s="2" t="s">
        <v>14</v>
      </c>
      <c r="B1209" s="3">
        <v>10</v>
      </c>
      <c r="C1209" s="4" t="s">
        <v>15</v>
      </c>
      <c r="D1209" s="2" t="s">
        <v>49</v>
      </c>
      <c r="E1209" s="2" t="s">
        <v>17</v>
      </c>
      <c r="F1209" s="5">
        <v>3</v>
      </c>
      <c r="G1209" s="1">
        <v>15000000</v>
      </c>
      <c r="H1209" s="2">
        <v>1</v>
      </c>
      <c r="I1209" s="6">
        <v>8.9699074074074073E-3</v>
      </c>
      <c r="J1209" s="2" t="s">
        <v>18</v>
      </c>
      <c r="K1209" s="2" t="s">
        <v>56</v>
      </c>
      <c r="L1209" s="2" t="s">
        <v>30</v>
      </c>
      <c r="M1209" s="2" t="s">
        <v>78</v>
      </c>
      <c r="N1209" s="2" t="s">
        <v>62</v>
      </c>
    </row>
    <row r="1210" spans="1:14" x14ac:dyDescent="0.5">
      <c r="A1210" s="2" t="s">
        <v>14</v>
      </c>
      <c r="B1210" s="3">
        <v>9</v>
      </c>
      <c r="C1210" s="4" t="s">
        <v>72</v>
      </c>
      <c r="D1210" s="2" t="s">
        <v>16</v>
      </c>
      <c r="E1210" s="2" t="s">
        <v>42</v>
      </c>
      <c r="F1210" s="5">
        <v>4</v>
      </c>
      <c r="G1210" s="1">
        <v>11000000</v>
      </c>
      <c r="H1210" s="2">
        <v>1</v>
      </c>
      <c r="I1210" s="6">
        <v>8.9699074074074073E-3</v>
      </c>
      <c r="J1210" s="2" t="s">
        <v>61</v>
      </c>
      <c r="K1210" s="2" t="s">
        <v>19</v>
      </c>
      <c r="L1210" s="2" t="s">
        <v>33</v>
      </c>
      <c r="M1210" s="2" t="s">
        <v>78</v>
      </c>
      <c r="N1210" s="2" t="s">
        <v>63</v>
      </c>
    </row>
    <row r="1211" spans="1:14" x14ac:dyDescent="0.5">
      <c r="A1211" s="2" t="s">
        <v>14</v>
      </c>
      <c r="B1211" s="3">
        <v>21</v>
      </c>
      <c r="C1211" s="4" t="s">
        <v>27</v>
      </c>
      <c r="D1211" s="2" t="s">
        <v>16</v>
      </c>
      <c r="E1211" s="2" t="s">
        <v>23</v>
      </c>
      <c r="F1211" s="5">
        <v>2</v>
      </c>
      <c r="G1211" s="1">
        <v>38000000</v>
      </c>
      <c r="H1211" s="2">
        <v>3</v>
      </c>
      <c r="I1211" s="6">
        <v>8.9699074074074073E-3</v>
      </c>
      <c r="J1211" s="2" t="s">
        <v>46</v>
      </c>
      <c r="K1211" s="2" t="s">
        <v>39</v>
      </c>
      <c r="L1211" s="2" t="s">
        <v>25</v>
      </c>
      <c r="M1211" s="2" t="s">
        <v>76</v>
      </c>
      <c r="N1211" s="2" t="s">
        <v>52</v>
      </c>
    </row>
    <row r="1212" spans="1:14" x14ac:dyDescent="0.5">
      <c r="A1212" s="2" t="s">
        <v>14</v>
      </c>
      <c r="B1212" s="3">
        <v>30</v>
      </c>
      <c r="C1212" s="4" t="s">
        <v>27</v>
      </c>
      <c r="D1212" s="2" t="s">
        <v>38</v>
      </c>
      <c r="E1212" s="2" t="s">
        <v>42</v>
      </c>
      <c r="F1212" s="5">
        <v>3</v>
      </c>
      <c r="G1212" s="1">
        <v>15000000</v>
      </c>
      <c r="H1212" s="2">
        <v>5</v>
      </c>
      <c r="I1212" s="6">
        <v>8.9699074074074073E-3</v>
      </c>
      <c r="J1212" s="2" t="s">
        <v>18</v>
      </c>
      <c r="K1212" s="2" t="s">
        <v>19</v>
      </c>
      <c r="L1212" s="2" t="s">
        <v>51</v>
      </c>
      <c r="M1212" s="2" t="s">
        <v>76</v>
      </c>
      <c r="N1212" s="2" t="s">
        <v>75</v>
      </c>
    </row>
    <row r="1213" spans="1:14" x14ac:dyDescent="0.5">
      <c r="A1213" s="2" t="s">
        <v>14</v>
      </c>
      <c r="B1213" s="3">
        <v>13</v>
      </c>
      <c r="C1213" s="4" t="s">
        <v>37</v>
      </c>
      <c r="D1213" s="2" t="s">
        <v>16</v>
      </c>
      <c r="E1213" s="2" t="s">
        <v>42</v>
      </c>
      <c r="F1213" s="5">
        <v>2</v>
      </c>
      <c r="G1213" s="1">
        <v>38000000</v>
      </c>
      <c r="H1213" s="2">
        <v>1</v>
      </c>
      <c r="I1213" s="6">
        <v>8.9699074074074073E-3</v>
      </c>
      <c r="J1213" s="2" t="s">
        <v>46</v>
      </c>
      <c r="K1213" s="2" t="s">
        <v>50</v>
      </c>
      <c r="L1213" s="2" t="s">
        <v>51</v>
      </c>
      <c r="M1213" s="2" t="s">
        <v>66</v>
      </c>
      <c r="N1213" s="2" t="s">
        <v>67</v>
      </c>
    </row>
    <row r="1214" spans="1:14" x14ac:dyDescent="0.5">
      <c r="A1214" s="2" t="s">
        <v>14</v>
      </c>
      <c r="B1214" s="3">
        <v>2</v>
      </c>
      <c r="C1214" s="4" t="s">
        <v>37</v>
      </c>
      <c r="D1214" s="2" t="s">
        <v>16</v>
      </c>
      <c r="E1214" s="2" t="s">
        <v>23</v>
      </c>
      <c r="F1214" s="5">
        <v>2</v>
      </c>
      <c r="G1214" s="1">
        <v>10000000</v>
      </c>
      <c r="H1214" s="2">
        <v>5</v>
      </c>
      <c r="I1214" s="6">
        <v>8.9699074074074073E-3</v>
      </c>
      <c r="J1214" s="2" t="s">
        <v>18</v>
      </c>
      <c r="K1214" s="2" t="s">
        <v>19</v>
      </c>
      <c r="L1214" s="2" t="s">
        <v>30</v>
      </c>
      <c r="M1214" s="2" t="s">
        <v>78</v>
      </c>
      <c r="N1214" s="2" t="s">
        <v>53</v>
      </c>
    </row>
    <row r="1215" spans="1:14" x14ac:dyDescent="0.5">
      <c r="A1215" s="2" t="s">
        <v>14</v>
      </c>
      <c r="B1215" s="3">
        <v>4</v>
      </c>
      <c r="C1215" s="4" t="s">
        <v>37</v>
      </c>
      <c r="D1215" s="2" t="s">
        <v>28</v>
      </c>
      <c r="E1215" s="2" t="s">
        <v>23</v>
      </c>
      <c r="F1215" s="5">
        <v>4</v>
      </c>
      <c r="G1215" s="1">
        <v>20000000</v>
      </c>
      <c r="H1215" s="2">
        <v>2</v>
      </c>
      <c r="I1215" s="6">
        <v>8.9699074074074073E-3</v>
      </c>
      <c r="J1215" s="2" t="s">
        <v>18</v>
      </c>
      <c r="K1215" s="2" t="s">
        <v>29</v>
      </c>
      <c r="L1215" s="2" t="s">
        <v>30</v>
      </c>
      <c r="M1215" s="2" t="s">
        <v>77</v>
      </c>
      <c r="N1215" s="2" t="s">
        <v>54</v>
      </c>
    </row>
    <row r="1216" spans="1:14" x14ac:dyDescent="0.5">
      <c r="A1216" s="2" t="s">
        <v>14</v>
      </c>
      <c r="B1216" s="3">
        <v>6</v>
      </c>
      <c r="C1216" s="4" t="s">
        <v>37</v>
      </c>
      <c r="D1216" s="2" t="s">
        <v>38</v>
      </c>
      <c r="E1216" s="2" t="s">
        <v>45</v>
      </c>
      <c r="F1216" s="5">
        <v>2</v>
      </c>
      <c r="G1216" s="1">
        <v>12000000</v>
      </c>
      <c r="H1216" s="2">
        <v>2</v>
      </c>
      <c r="I1216" s="6">
        <v>8.9699074074074073E-3</v>
      </c>
      <c r="J1216" s="2" t="s">
        <v>18</v>
      </c>
      <c r="K1216" s="2" t="s">
        <v>56</v>
      </c>
      <c r="L1216" s="2" t="s">
        <v>30</v>
      </c>
      <c r="M1216" s="2" t="s">
        <v>76</v>
      </c>
      <c r="N1216" s="2" t="s">
        <v>26</v>
      </c>
    </row>
    <row r="1217" spans="1:14" x14ac:dyDescent="0.5">
      <c r="A1217" s="2" t="s">
        <v>14</v>
      </c>
      <c r="B1217" s="3">
        <v>23</v>
      </c>
      <c r="C1217" s="4" t="s">
        <v>37</v>
      </c>
      <c r="D1217" s="2" t="s">
        <v>73</v>
      </c>
      <c r="E1217" s="2" t="s">
        <v>17</v>
      </c>
      <c r="F1217" s="5">
        <v>3</v>
      </c>
      <c r="G1217" s="1">
        <v>15000000</v>
      </c>
      <c r="H1217" s="2">
        <v>1</v>
      </c>
      <c r="I1217" s="6">
        <v>8.9699074074074073E-3</v>
      </c>
      <c r="J1217" s="2" t="s">
        <v>18</v>
      </c>
      <c r="K1217" s="2" t="s">
        <v>35</v>
      </c>
      <c r="L1217" s="2" t="s">
        <v>51</v>
      </c>
      <c r="M1217" s="2" t="s">
        <v>78</v>
      </c>
      <c r="N1217" s="2" t="s">
        <v>66</v>
      </c>
    </row>
    <row r="1218" spans="1:14" x14ac:dyDescent="0.5">
      <c r="A1218" s="2" t="s">
        <v>14</v>
      </c>
      <c r="B1218" s="3">
        <v>8</v>
      </c>
      <c r="C1218" s="4" t="s">
        <v>37</v>
      </c>
      <c r="D1218" s="2" t="s">
        <v>38</v>
      </c>
      <c r="E1218" s="2" t="s">
        <v>42</v>
      </c>
      <c r="F1218" s="5">
        <v>2</v>
      </c>
      <c r="G1218" s="1">
        <v>12000000</v>
      </c>
      <c r="H1218" s="2">
        <v>2</v>
      </c>
      <c r="I1218" s="6">
        <v>8.9699074074074073E-3</v>
      </c>
      <c r="J1218" s="2" t="s">
        <v>18</v>
      </c>
      <c r="K1218" s="2" t="s">
        <v>39</v>
      </c>
      <c r="L1218" s="2" t="s">
        <v>40</v>
      </c>
      <c r="M1218" s="2" t="s">
        <v>78</v>
      </c>
      <c r="N1218" s="2" t="s">
        <v>21</v>
      </c>
    </row>
    <row r="1219" spans="1:14" x14ac:dyDescent="0.5">
      <c r="A1219" s="2" t="s">
        <v>14</v>
      </c>
      <c r="B1219" s="3">
        <v>1</v>
      </c>
      <c r="C1219" s="4" t="s">
        <v>37</v>
      </c>
      <c r="D1219" s="2" t="s">
        <v>28</v>
      </c>
      <c r="E1219" s="2" t="s">
        <v>23</v>
      </c>
      <c r="F1219" s="5">
        <v>2</v>
      </c>
      <c r="G1219" s="1">
        <v>12000000</v>
      </c>
      <c r="H1219" s="2">
        <v>2</v>
      </c>
      <c r="I1219" s="6">
        <v>8.9699074074074073E-3</v>
      </c>
      <c r="J1219" s="2" t="s">
        <v>18</v>
      </c>
      <c r="K1219" s="2" t="s">
        <v>19</v>
      </c>
      <c r="L1219" s="2" t="s">
        <v>43</v>
      </c>
      <c r="M1219" s="2" t="s">
        <v>76</v>
      </c>
      <c r="N1219" s="2" t="s">
        <v>26</v>
      </c>
    </row>
    <row r="1220" spans="1:14" x14ac:dyDescent="0.5">
      <c r="A1220" s="2" t="s">
        <v>14</v>
      </c>
      <c r="B1220" s="3">
        <v>20</v>
      </c>
      <c r="C1220" s="4" t="s">
        <v>37</v>
      </c>
      <c r="D1220" s="2" t="s">
        <v>38</v>
      </c>
      <c r="E1220" s="2" t="s">
        <v>23</v>
      </c>
      <c r="F1220" s="5">
        <v>5</v>
      </c>
      <c r="G1220" s="1">
        <v>21000000</v>
      </c>
      <c r="H1220" s="2">
        <v>2</v>
      </c>
      <c r="I1220" s="6">
        <v>8.9699074074074073E-3</v>
      </c>
      <c r="J1220" s="2" t="s">
        <v>18</v>
      </c>
      <c r="K1220" s="2" t="s">
        <v>56</v>
      </c>
      <c r="L1220" s="2" t="s">
        <v>43</v>
      </c>
      <c r="M1220" s="2" t="s">
        <v>78</v>
      </c>
      <c r="N1220" s="2" t="s">
        <v>53</v>
      </c>
    </row>
    <row r="1221" spans="1:14" x14ac:dyDescent="0.5">
      <c r="A1221" s="2" t="s">
        <v>14</v>
      </c>
      <c r="B1221" s="3">
        <v>11</v>
      </c>
      <c r="C1221" s="4" t="s">
        <v>44</v>
      </c>
      <c r="D1221" s="2" t="s">
        <v>32</v>
      </c>
      <c r="E1221" s="2" t="s">
        <v>42</v>
      </c>
      <c r="F1221" s="5">
        <v>2</v>
      </c>
      <c r="G1221" s="1">
        <v>12000000</v>
      </c>
      <c r="H1221" s="2">
        <v>1</v>
      </c>
      <c r="I1221" s="6">
        <v>8.9699074074074073E-3</v>
      </c>
      <c r="J1221" s="2" t="s">
        <v>18</v>
      </c>
      <c r="K1221" s="2" t="s">
        <v>29</v>
      </c>
      <c r="L1221" s="2" t="s">
        <v>20</v>
      </c>
      <c r="M1221" s="2" t="s">
        <v>78</v>
      </c>
      <c r="N1221" s="2" t="s">
        <v>21</v>
      </c>
    </row>
    <row r="1222" spans="1:14" x14ac:dyDescent="0.5">
      <c r="A1222" s="2" t="s">
        <v>14</v>
      </c>
      <c r="B1222" s="3">
        <v>3</v>
      </c>
      <c r="C1222" s="4" t="s">
        <v>44</v>
      </c>
      <c r="D1222" s="2" t="s">
        <v>73</v>
      </c>
      <c r="E1222" s="2" t="s">
        <v>42</v>
      </c>
      <c r="F1222" s="5">
        <v>5</v>
      </c>
      <c r="G1222" s="1">
        <v>25000000</v>
      </c>
      <c r="H1222" s="2">
        <v>1</v>
      </c>
      <c r="I1222" s="6">
        <v>8.9699074074074073E-3</v>
      </c>
      <c r="J1222" s="2" t="s">
        <v>18</v>
      </c>
      <c r="K1222" s="2" t="s">
        <v>24</v>
      </c>
      <c r="L1222" s="2" t="s">
        <v>43</v>
      </c>
      <c r="M1222" s="2" t="s">
        <v>76</v>
      </c>
      <c r="N1222" s="2" t="s">
        <v>52</v>
      </c>
    </row>
    <row r="1223" spans="1:14" x14ac:dyDescent="0.5">
      <c r="A1223" s="2" t="s">
        <v>14</v>
      </c>
      <c r="B1223" s="3">
        <v>30</v>
      </c>
      <c r="C1223" s="4" t="s">
        <v>69</v>
      </c>
      <c r="D1223" s="2" t="s">
        <v>38</v>
      </c>
      <c r="E1223" s="2" t="s">
        <v>23</v>
      </c>
      <c r="F1223" s="5">
        <v>1</v>
      </c>
      <c r="G1223" s="1">
        <v>19000000</v>
      </c>
      <c r="H1223" s="2">
        <v>2</v>
      </c>
      <c r="I1223" s="6">
        <v>8.9699074074074073E-3</v>
      </c>
      <c r="J1223" s="2" t="s">
        <v>46</v>
      </c>
      <c r="K1223" s="2" t="s">
        <v>29</v>
      </c>
      <c r="L1223" s="2" t="s">
        <v>48</v>
      </c>
      <c r="M1223" s="2" t="s">
        <v>76</v>
      </c>
      <c r="N1223" s="2" t="s">
        <v>75</v>
      </c>
    </row>
    <row r="1224" spans="1:14" x14ac:dyDescent="0.5">
      <c r="A1224" s="2" t="s">
        <v>14</v>
      </c>
      <c r="B1224" s="3">
        <v>28</v>
      </c>
      <c r="C1224" s="4" t="s">
        <v>69</v>
      </c>
      <c r="D1224" s="2" t="s">
        <v>38</v>
      </c>
      <c r="E1224" s="2" t="s">
        <v>17</v>
      </c>
      <c r="F1224" s="5">
        <v>4</v>
      </c>
      <c r="G1224" s="1">
        <v>20000000</v>
      </c>
      <c r="H1224" s="2">
        <v>1</v>
      </c>
      <c r="I1224" s="6">
        <v>8.9699074074074073E-3</v>
      </c>
      <c r="J1224" s="2" t="s">
        <v>61</v>
      </c>
      <c r="K1224" s="2" t="s">
        <v>29</v>
      </c>
      <c r="L1224" s="2" t="s">
        <v>33</v>
      </c>
      <c r="M1224" s="2" t="s">
        <v>66</v>
      </c>
      <c r="N1224" s="2" t="s">
        <v>36</v>
      </c>
    </row>
    <row r="1225" spans="1:14" x14ac:dyDescent="0.5">
      <c r="A1225" s="2" t="s">
        <v>14</v>
      </c>
      <c r="B1225" s="3">
        <v>1</v>
      </c>
      <c r="C1225" s="4" t="s">
        <v>69</v>
      </c>
      <c r="D1225" s="2" t="s">
        <v>16</v>
      </c>
      <c r="E1225" s="2" t="s">
        <v>42</v>
      </c>
      <c r="F1225" s="5">
        <v>5</v>
      </c>
      <c r="G1225" s="1">
        <v>25000000</v>
      </c>
      <c r="H1225" s="2">
        <v>3</v>
      </c>
      <c r="I1225" s="6">
        <v>8.9699074074074073E-3</v>
      </c>
      <c r="J1225" s="2" t="s">
        <v>18</v>
      </c>
      <c r="K1225" s="2" t="s">
        <v>24</v>
      </c>
      <c r="L1225" s="2" t="s">
        <v>30</v>
      </c>
      <c r="M1225" s="2" t="s">
        <v>66</v>
      </c>
      <c r="N1225" s="2" t="s">
        <v>36</v>
      </c>
    </row>
    <row r="1226" spans="1:14" x14ac:dyDescent="0.5">
      <c r="A1226" s="2" t="s">
        <v>14</v>
      </c>
      <c r="B1226" s="3">
        <v>30</v>
      </c>
      <c r="C1226" s="4" t="s">
        <v>69</v>
      </c>
      <c r="D1226" s="2" t="s">
        <v>28</v>
      </c>
      <c r="E1226" s="2" t="s">
        <v>42</v>
      </c>
      <c r="F1226" s="5">
        <v>1</v>
      </c>
      <c r="G1226" s="1">
        <v>7000000</v>
      </c>
      <c r="H1226" s="2">
        <v>1</v>
      </c>
      <c r="I1226" s="6">
        <v>8.9699074074074073E-3</v>
      </c>
      <c r="J1226" s="2" t="s">
        <v>18</v>
      </c>
      <c r="K1226" s="2" t="s">
        <v>56</v>
      </c>
      <c r="L1226" s="2" t="s">
        <v>30</v>
      </c>
      <c r="M1226" s="2" t="s">
        <v>78</v>
      </c>
      <c r="N1226" s="2" t="s">
        <v>62</v>
      </c>
    </row>
    <row r="1227" spans="1:14" x14ac:dyDescent="0.5">
      <c r="A1227" s="2" t="s">
        <v>14</v>
      </c>
      <c r="B1227" s="3">
        <v>13</v>
      </c>
      <c r="C1227" s="4" t="s">
        <v>57</v>
      </c>
      <c r="D1227" s="2" t="s">
        <v>32</v>
      </c>
      <c r="E1227" s="2" t="s">
        <v>17</v>
      </c>
      <c r="F1227" s="5">
        <v>1</v>
      </c>
      <c r="G1227" s="1">
        <v>7000000</v>
      </c>
      <c r="H1227" s="2">
        <v>6</v>
      </c>
      <c r="I1227" s="6">
        <v>8.9699074074074073E-3</v>
      </c>
      <c r="J1227" s="2" t="s">
        <v>18</v>
      </c>
      <c r="K1227" s="2" t="s">
        <v>47</v>
      </c>
      <c r="L1227" s="2" t="s">
        <v>33</v>
      </c>
      <c r="M1227" s="2" t="s">
        <v>66</v>
      </c>
      <c r="N1227" s="2" t="s">
        <v>36</v>
      </c>
    </row>
    <row r="1228" spans="1:14" x14ac:dyDescent="0.5">
      <c r="A1228" s="2" t="s">
        <v>14</v>
      </c>
      <c r="B1228" s="3">
        <v>10</v>
      </c>
      <c r="C1228" s="4" t="s">
        <v>15</v>
      </c>
      <c r="D1228" s="2" t="s">
        <v>49</v>
      </c>
      <c r="E1228" s="2" t="s">
        <v>17</v>
      </c>
      <c r="F1228" s="5">
        <v>3</v>
      </c>
      <c r="G1228" s="1">
        <v>15000000</v>
      </c>
      <c r="H1228" s="2">
        <v>1</v>
      </c>
      <c r="I1228" s="6">
        <v>8.9699074074074073E-3</v>
      </c>
      <c r="J1228" s="2" t="s">
        <v>18</v>
      </c>
      <c r="K1228" s="2" t="s">
        <v>56</v>
      </c>
      <c r="L1228" s="2" t="s">
        <v>30</v>
      </c>
      <c r="M1228" s="2" t="s">
        <v>78</v>
      </c>
      <c r="N1228" s="2" t="s">
        <v>62</v>
      </c>
    </row>
    <row r="1229" spans="1:14" x14ac:dyDescent="0.5">
      <c r="A1229" s="2" t="s">
        <v>14</v>
      </c>
      <c r="B1229" s="3">
        <v>9</v>
      </c>
      <c r="C1229" s="4" t="s">
        <v>72</v>
      </c>
      <c r="D1229" s="2" t="s">
        <v>16</v>
      </c>
      <c r="E1229" s="2" t="s">
        <v>42</v>
      </c>
      <c r="F1229" s="5">
        <v>4</v>
      </c>
      <c r="G1229" s="1">
        <v>11000000</v>
      </c>
      <c r="H1229" s="2">
        <v>1</v>
      </c>
      <c r="I1229" s="6">
        <v>8.9699074074074073E-3</v>
      </c>
      <c r="J1229" s="2" t="s">
        <v>61</v>
      </c>
      <c r="K1229" s="2" t="s">
        <v>19</v>
      </c>
      <c r="L1229" s="2" t="s">
        <v>33</v>
      </c>
      <c r="M1229" s="2" t="s">
        <v>78</v>
      </c>
      <c r="N1229" s="2" t="s">
        <v>63</v>
      </c>
    </row>
    <row r="1230" spans="1:14" x14ac:dyDescent="0.5">
      <c r="A1230" s="2" t="s">
        <v>70</v>
      </c>
      <c r="B1230" s="3">
        <v>11</v>
      </c>
      <c r="C1230" s="4" t="s">
        <v>57</v>
      </c>
      <c r="D1230" s="2" t="s">
        <v>32</v>
      </c>
      <c r="E1230" s="2" t="s">
        <v>23</v>
      </c>
      <c r="F1230" s="5">
        <v>0</v>
      </c>
      <c r="G1230" s="1">
        <v>0</v>
      </c>
      <c r="H1230" s="2">
        <v>2</v>
      </c>
      <c r="I1230" s="6">
        <v>8.9699074074074073E-3</v>
      </c>
      <c r="J1230" s="2"/>
      <c r="K1230" s="2"/>
      <c r="L1230" s="2" t="s">
        <v>48</v>
      </c>
      <c r="M1230" s="2" t="s">
        <v>76</v>
      </c>
      <c r="N1230" s="2" t="s">
        <v>52</v>
      </c>
    </row>
    <row r="1231" spans="1:14" x14ac:dyDescent="0.5">
      <c r="A1231" s="2" t="s">
        <v>70</v>
      </c>
      <c r="B1231" s="3">
        <v>12</v>
      </c>
      <c r="C1231" s="4" t="s">
        <v>58</v>
      </c>
      <c r="D1231" s="2" t="s">
        <v>16</v>
      </c>
      <c r="E1231" s="2" t="s">
        <v>23</v>
      </c>
      <c r="F1231" s="5">
        <v>0</v>
      </c>
      <c r="G1231" s="1">
        <v>0</v>
      </c>
      <c r="H1231" s="2">
        <v>2</v>
      </c>
      <c r="I1231" s="6">
        <v>8.9699074074074073E-3</v>
      </c>
      <c r="J1231" s="2"/>
      <c r="K1231" s="2"/>
      <c r="L1231" s="2" t="s">
        <v>48</v>
      </c>
      <c r="M1231" s="2" t="s">
        <v>77</v>
      </c>
      <c r="N1231" s="2" t="s">
        <v>54</v>
      </c>
    </row>
    <row r="1232" spans="1:14" x14ac:dyDescent="0.5">
      <c r="A1232" s="2" t="s">
        <v>70</v>
      </c>
      <c r="B1232" s="3">
        <v>30</v>
      </c>
      <c r="C1232" s="4" t="s">
        <v>27</v>
      </c>
      <c r="D1232" s="2" t="s">
        <v>32</v>
      </c>
      <c r="E1232" s="2" t="s">
        <v>68</v>
      </c>
      <c r="F1232" s="5">
        <v>0</v>
      </c>
      <c r="G1232" s="1">
        <v>0</v>
      </c>
      <c r="H1232" s="2">
        <v>2</v>
      </c>
      <c r="I1232" s="6">
        <v>8.9699074074074073E-3</v>
      </c>
      <c r="J1232" s="2"/>
      <c r="K1232" s="2"/>
      <c r="L1232" s="2" t="s">
        <v>51</v>
      </c>
      <c r="M1232" s="2" t="s">
        <v>78</v>
      </c>
      <c r="N1232" s="2" t="s">
        <v>21</v>
      </c>
    </row>
    <row r="1233" spans="1:14" x14ac:dyDescent="0.5">
      <c r="A1233" s="2" t="s">
        <v>70</v>
      </c>
      <c r="B1233" s="3">
        <v>14</v>
      </c>
      <c r="C1233" s="4" t="s">
        <v>37</v>
      </c>
      <c r="D1233" s="2" t="s">
        <v>73</v>
      </c>
      <c r="E1233" s="2" t="s">
        <v>45</v>
      </c>
      <c r="F1233" s="5">
        <v>0</v>
      </c>
      <c r="G1233" s="1">
        <v>0</v>
      </c>
      <c r="H1233" s="2">
        <v>2</v>
      </c>
      <c r="I1233" s="6">
        <v>8.9699074074074073E-3</v>
      </c>
      <c r="J1233" s="2"/>
      <c r="K1233" s="2"/>
      <c r="L1233" s="2" t="s">
        <v>20</v>
      </c>
      <c r="M1233" s="2" t="s">
        <v>77</v>
      </c>
      <c r="N1233" s="2" t="s">
        <v>54</v>
      </c>
    </row>
    <row r="1234" spans="1:14" x14ac:dyDescent="0.5">
      <c r="A1234" s="2" t="s">
        <v>70</v>
      </c>
      <c r="B1234" s="3">
        <v>18</v>
      </c>
      <c r="C1234" s="4" t="s">
        <v>44</v>
      </c>
      <c r="D1234" s="2" t="s">
        <v>32</v>
      </c>
      <c r="E1234" s="2" t="s">
        <v>23</v>
      </c>
      <c r="F1234" s="5">
        <v>0</v>
      </c>
      <c r="G1234" s="1">
        <v>0</v>
      </c>
      <c r="H1234" s="2">
        <v>2</v>
      </c>
      <c r="I1234" s="6">
        <v>8.9699074074074073E-3</v>
      </c>
      <c r="J1234" s="2"/>
      <c r="K1234" s="2"/>
      <c r="L1234" s="2" t="s">
        <v>30</v>
      </c>
      <c r="M1234" s="2" t="s">
        <v>66</v>
      </c>
      <c r="N1234" s="2" t="s">
        <v>36</v>
      </c>
    </row>
    <row r="1235" spans="1:14" x14ac:dyDescent="0.5">
      <c r="A1235" s="2" t="s">
        <v>70</v>
      </c>
      <c r="B1235" s="3">
        <v>24</v>
      </c>
      <c r="C1235" s="4" t="s">
        <v>44</v>
      </c>
      <c r="D1235" s="2" t="s">
        <v>38</v>
      </c>
      <c r="E1235" s="2" t="s">
        <v>42</v>
      </c>
      <c r="F1235" s="5">
        <v>0</v>
      </c>
      <c r="G1235" s="1">
        <v>0</v>
      </c>
      <c r="H1235" s="2">
        <v>2</v>
      </c>
      <c r="I1235" s="6">
        <v>8.9699074074074073E-3</v>
      </c>
      <c r="J1235" s="2"/>
      <c r="K1235" s="2"/>
      <c r="L1235" s="2" t="s">
        <v>20</v>
      </c>
      <c r="M1235" s="2" t="s">
        <v>76</v>
      </c>
      <c r="N1235" s="2" t="s">
        <v>26</v>
      </c>
    </row>
    <row r="1236" spans="1:14" x14ac:dyDescent="0.5">
      <c r="A1236" s="2" t="s">
        <v>70</v>
      </c>
      <c r="B1236" s="3">
        <v>9</v>
      </c>
      <c r="C1236" s="4" t="s">
        <v>69</v>
      </c>
      <c r="D1236" s="2" t="s">
        <v>16</v>
      </c>
      <c r="E1236" s="2" t="s">
        <v>23</v>
      </c>
      <c r="F1236" s="5">
        <v>0</v>
      </c>
      <c r="G1236" s="1">
        <v>0</v>
      </c>
      <c r="H1236" s="2">
        <v>1</v>
      </c>
      <c r="I1236" s="6">
        <v>8.9699074074074073E-3</v>
      </c>
      <c r="J1236" s="2"/>
      <c r="K1236" s="2"/>
      <c r="L1236" s="2" t="s">
        <v>40</v>
      </c>
      <c r="M1236" s="2" t="s">
        <v>76</v>
      </c>
      <c r="N1236" s="2" t="s">
        <v>52</v>
      </c>
    </row>
    <row r="1237" spans="1:14" x14ac:dyDescent="0.5">
      <c r="A1237" s="2" t="s">
        <v>70</v>
      </c>
      <c r="B1237" s="3">
        <v>11</v>
      </c>
      <c r="C1237" s="4" t="s">
        <v>57</v>
      </c>
      <c r="D1237" s="2" t="s">
        <v>32</v>
      </c>
      <c r="E1237" s="2" t="s">
        <v>23</v>
      </c>
      <c r="F1237" s="5">
        <v>0</v>
      </c>
      <c r="G1237" s="1">
        <v>0</v>
      </c>
      <c r="H1237" s="2">
        <v>2</v>
      </c>
      <c r="I1237" s="6">
        <v>8.9699074074074073E-3</v>
      </c>
      <c r="J1237" s="2"/>
      <c r="K1237" s="2"/>
      <c r="L1237" s="2" t="s">
        <v>48</v>
      </c>
      <c r="M1237" s="2" t="s">
        <v>76</v>
      </c>
      <c r="N1237" s="2" t="s">
        <v>52</v>
      </c>
    </row>
    <row r="1238" spans="1:14" x14ac:dyDescent="0.5">
      <c r="A1238" s="2" t="s">
        <v>70</v>
      </c>
      <c r="B1238" s="3">
        <v>12</v>
      </c>
      <c r="C1238" s="4" t="s">
        <v>58</v>
      </c>
      <c r="D1238" s="2" t="s">
        <v>16</v>
      </c>
      <c r="E1238" s="2" t="s">
        <v>23</v>
      </c>
      <c r="F1238" s="5">
        <v>0</v>
      </c>
      <c r="G1238" s="1">
        <v>0</v>
      </c>
      <c r="H1238" s="2">
        <v>2</v>
      </c>
      <c r="I1238" s="6">
        <v>8.9699074074074073E-3</v>
      </c>
      <c r="J1238" s="2"/>
      <c r="K1238" s="2"/>
      <c r="L1238" s="2" t="s">
        <v>48</v>
      </c>
      <c r="M1238" s="2" t="s">
        <v>77</v>
      </c>
      <c r="N1238" s="2" t="s">
        <v>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DF290-E6FF-499E-843C-DDC8B6E02539}">
  <sheetPr>
    <tabColor rgb="FF9933FF"/>
  </sheetPr>
  <dimension ref="A1:DR608"/>
  <sheetViews>
    <sheetView showGridLines="0" showRowColHeaders="0" zoomScale="79" zoomScaleNormal="115" workbookViewId="0">
      <selection activeCell="N26" sqref="N26"/>
    </sheetView>
  </sheetViews>
  <sheetFormatPr defaultRowHeight="15.75" x14ac:dyDescent="0.5"/>
  <sheetData>
    <row r="1" spans="1:122" x14ac:dyDescent="0.5">
      <c r="A1" s="10"/>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row>
    <row r="2" spans="1:122" x14ac:dyDescent="0.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c r="CW2" s="10"/>
      <c r="CX2" s="10"/>
      <c r="CY2" s="10"/>
      <c r="CZ2" s="10"/>
      <c r="DA2" s="10"/>
      <c r="DB2" s="10"/>
      <c r="DC2" s="10"/>
      <c r="DD2" s="10"/>
      <c r="DE2" s="10"/>
      <c r="DF2" s="10"/>
      <c r="DG2" s="10"/>
      <c r="DH2" s="10"/>
      <c r="DI2" s="10"/>
      <c r="DJ2" s="10"/>
      <c r="DK2" s="10"/>
      <c r="DL2" s="10"/>
      <c r="DM2" s="10"/>
      <c r="DN2" s="10"/>
      <c r="DO2" s="10"/>
      <c r="DP2" s="10"/>
      <c r="DQ2" s="10"/>
      <c r="DR2" s="10"/>
    </row>
    <row r="3" spans="1:122" x14ac:dyDescent="0.5">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row>
    <row r="4" spans="1:122" x14ac:dyDescent="0.5">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row>
    <row r="5" spans="1:122" x14ac:dyDescent="0.5">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row>
    <row r="6" spans="1:122" x14ac:dyDescent="0.5">
      <c r="A6" s="10"/>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row>
    <row r="7" spans="1:122" x14ac:dyDescent="0.5">
      <c r="A7" s="10"/>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row>
    <row r="8" spans="1:122" x14ac:dyDescent="0.5">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row>
    <row r="9" spans="1:122" x14ac:dyDescent="0.5">
      <c r="A9" s="10"/>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c r="CZ9" s="10"/>
      <c r="DA9" s="10"/>
      <c r="DB9" s="10"/>
      <c r="DC9" s="10"/>
      <c r="DD9" s="10"/>
      <c r="DE9" s="10"/>
      <c r="DF9" s="10"/>
      <c r="DG9" s="10"/>
      <c r="DH9" s="10"/>
      <c r="DI9" s="10"/>
      <c r="DJ9" s="10"/>
      <c r="DK9" s="10"/>
      <c r="DL9" s="10"/>
      <c r="DM9" s="10"/>
      <c r="DN9" s="10"/>
      <c r="DO9" s="10"/>
      <c r="DP9" s="10"/>
      <c r="DQ9" s="10"/>
      <c r="DR9" s="10"/>
    </row>
    <row r="10" spans="1:122" x14ac:dyDescent="0.5">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c r="CW10" s="10"/>
      <c r="CX10" s="10"/>
      <c r="CY10" s="10"/>
      <c r="CZ10" s="10"/>
      <c r="DA10" s="10"/>
      <c r="DB10" s="10"/>
      <c r="DC10" s="10"/>
      <c r="DD10" s="10"/>
      <c r="DE10" s="10"/>
      <c r="DF10" s="10"/>
      <c r="DG10" s="10"/>
      <c r="DH10" s="10"/>
      <c r="DI10" s="10"/>
      <c r="DJ10" s="10"/>
      <c r="DK10" s="10"/>
      <c r="DL10" s="10"/>
      <c r="DM10" s="10"/>
      <c r="DN10" s="10"/>
      <c r="DO10" s="10"/>
      <c r="DP10" s="10"/>
      <c r="DQ10" s="10"/>
      <c r="DR10" s="10"/>
    </row>
    <row r="11" spans="1:122" x14ac:dyDescent="0.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row>
    <row r="12" spans="1:122" x14ac:dyDescent="0.5">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c r="CW12" s="10"/>
      <c r="CX12" s="10"/>
      <c r="CY12" s="10"/>
      <c r="CZ12" s="10"/>
      <c r="DA12" s="10"/>
      <c r="DB12" s="10"/>
      <c r="DC12" s="10"/>
      <c r="DD12" s="10"/>
      <c r="DE12" s="10"/>
      <c r="DF12" s="10"/>
      <c r="DG12" s="10"/>
      <c r="DH12" s="10"/>
      <c r="DI12" s="10"/>
      <c r="DJ12" s="10"/>
      <c r="DK12" s="10"/>
      <c r="DL12" s="10"/>
      <c r="DM12" s="10"/>
      <c r="DN12" s="10"/>
      <c r="DO12" s="10"/>
      <c r="DP12" s="10"/>
      <c r="DQ12" s="10"/>
      <c r="DR12" s="10"/>
    </row>
    <row r="13" spans="1:122" x14ac:dyDescent="0.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0"/>
      <c r="CD13" s="10"/>
      <c r="CE13" s="10"/>
      <c r="CF13" s="10"/>
      <c r="CG13" s="10"/>
      <c r="CH13" s="10"/>
      <c r="CI13" s="10"/>
      <c r="CJ13" s="10"/>
      <c r="CK13" s="10"/>
      <c r="CL13" s="10"/>
      <c r="CM13" s="10"/>
      <c r="CN13" s="10"/>
      <c r="CO13" s="10"/>
      <c r="CP13" s="10"/>
      <c r="CQ13" s="10"/>
      <c r="CR13" s="10"/>
      <c r="CS13" s="10"/>
      <c r="CT13" s="10"/>
      <c r="CU13" s="10"/>
      <c r="CV13" s="10"/>
      <c r="CW13" s="10"/>
      <c r="CX13" s="10"/>
      <c r="CY13" s="10"/>
      <c r="CZ13" s="10"/>
      <c r="DA13" s="10"/>
      <c r="DB13" s="10"/>
      <c r="DC13" s="10"/>
      <c r="DD13" s="10"/>
      <c r="DE13" s="10"/>
      <c r="DF13" s="10"/>
      <c r="DG13" s="10"/>
      <c r="DH13" s="10"/>
      <c r="DI13" s="10"/>
      <c r="DJ13" s="10"/>
      <c r="DK13" s="10"/>
      <c r="DL13" s="10"/>
      <c r="DM13" s="10"/>
      <c r="DN13" s="10"/>
      <c r="DO13" s="10"/>
      <c r="DP13" s="10"/>
      <c r="DQ13" s="10"/>
      <c r="DR13" s="10"/>
    </row>
    <row r="14" spans="1:122" x14ac:dyDescent="0.5">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c r="CJ14" s="10"/>
      <c r="CK14" s="10"/>
      <c r="CL14" s="10"/>
      <c r="CM14" s="10"/>
      <c r="CN14" s="10"/>
      <c r="CO14" s="10"/>
      <c r="CP14" s="10"/>
      <c r="CQ14" s="10"/>
      <c r="CR14" s="10"/>
      <c r="CS14" s="10"/>
      <c r="CT14" s="10"/>
      <c r="CU14" s="10"/>
      <c r="CV14" s="10"/>
      <c r="CW14" s="10"/>
      <c r="CX14" s="10"/>
      <c r="CY14" s="10"/>
      <c r="CZ14" s="10"/>
      <c r="DA14" s="10"/>
      <c r="DB14" s="10"/>
      <c r="DC14" s="10"/>
      <c r="DD14" s="10"/>
      <c r="DE14" s="10"/>
      <c r="DF14" s="10"/>
      <c r="DG14" s="10"/>
      <c r="DH14" s="10"/>
      <c r="DI14" s="10"/>
      <c r="DJ14" s="10"/>
      <c r="DK14" s="10"/>
      <c r="DL14" s="10"/>
      <c r="DM14" s="10"/>
      <c r="DN14" s="10"/>
      <c r="DO14" s="10"/>
      <c r="DP14" s="10"/>
      <c r="DQ14" s="10"/>
      <c r="DR14" s="10"/>
    </row>
    <row r="15" spans="1:122" x14ac:dyDescent="0.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c r="CW15" s="10"/>
      <c r="CX15" s="10"/>
      <c r="CY15" s="10"/>
      <c r="CZ15" s="10"/>
      <c r="DA15" s="10"/>
      <c r="DB15" s="10"/>
      <c r="DC15" s="10"/>
      <c r="DD15" s="10"/>
      <c r="DE15" s="10"/>
      <c r="DF15" s="10"/>
      <c r="DG15" s="10"/>
      <c r="DH15" s="10"/>
      <c r="DI15" s="10"/>
      <c r="DJ15" s="10"/>
      <c r="DK15" s="10"/>
      <c r="DL15" s="10"/>
      <c r="DM15" s="10"/>
      <c r="DN15" s="10"/>
      <c r="DO15" s="10"/>
      <c r="DP15" s="10"/>
      <c r="DQ15" s="10"/>
      <c r="DR15" s="10"/>
    </row>
    <row r="16" spans="1:122" x14ac:dyDescent="0.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c r="CW16" s="10"/>
      <c r="CX16" s="10"/>
      <c r="CY16" s="10"/>
      <c r="CZ16" s="10"/>
      <c r="DA16" s="10"/>
      <c r="DB16" s="10"/>
      <c r="DC16" s="10"/>
      <c r="DD16" s="10"/>
      <c r="DE16" s="10"/>
      <c r="DF16" s="10"/>
      <c r="DG16" s="10"/>
      <c r="DH16" s="10"/>
      <c r="DI16" s="10"/>
      <c r="DJ16" s="10"/>
      <c r="DK16" s="10"/>
      <c r="DL16" s="10"/>
      <c r="DM16" s="10"/>
      <c r="DN16" s="10"/>
      <c r="DO16" s="10"/>
      <c r="DP16" s="10"/>
      <c r="DQ16" s="10"/>
      <c r="DR16" s="10"/>
    </row>
    <row r="17" spans="1:122" x14ac:dyDescent="0.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c r="CW17" s="10"/>
      <c r="CX17" s="10"/>
      <c r="CY17" s="10"/>
      <c r="CZ17" s="10"/>
      <c r="DA17" s="10"/>
      <c r="DB17" s="10"/>
      <c r="DC17" s="10"/>
      <c r="DD17" s="10"/>
      <c r="DE17" s="10"/>
      <c r="DF17" s="10"/>
      <c r="DG17" s="10"/>
      <c r="DH17" s="10"/>
      <c r="DI17" s="10"/>
      <c r="DJ17" s="10"/>
      <c r="DK17" s="10"/>
      <c r="DL17" s="10"/>
      <c r="DM17" s="10"/>
      <c r="DN17" s="10"/>
      <c r="DO17" s="10"/>
      <c r="DP17" s="10"/>
      <c r="DQ17" s="10"/>
      <c r="DR17" s="10"/>
    </row>
    <row r="18" spans="1:122" x14ac:dyDescent="0.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c r="CW18" s="10"/>
      <c r="CX18" s="10"/>
      <c r="CY18" s="10"/>
      <c r="CZ18" s="10"/>
      <c r="DA18" s="10"/>
      <c r="DB18" s="10"/>
      <c r="DC18" s="10"/>
      <c r="DD18" s="10"/>
      <c r="DE18" s="10"/>
      <c r="DF18" s="10"/>
      <c r="DG18" s="10"/>
      <c r="DH18" s="10"/>
      <c r="DI18" s="10"/>
      <c r="DJ18" s="10"/>
      <c r="DK18" s="10"/>
      <c r="DL18" s="10"/>
      <c r="DM18" s="10"/>
      <c r="DN18" s="10"/>
      <c r="DO18" s="10"/>
      <c r="DP18" s="10"/>
      <c r="DQ18" s="10"/>
      <c r="DR18" s="10"/>
    </row>
    <row r="19" spans="1:122" x14ac:dyDescent="0.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c r="CV19" s="10"/>
      <c r="CW19" s="10"/>
      <c r="CX19" s="10"/>
      <c r="CY19" s="10"/>
      <c r="CZ19" s="10"/>
      <c r="DA19" s="10"/>
      <c r="DB19" s="10"/>
      <c r="DC19" s="10"/>
      <c r="DD19" s="10"/>
      <c r="DE19" s="10"/>
      <c r="DF19" s="10"/>
      <c r="DG19" s="10"/>
      <c r="DH19" s="10"/>
      <c r="DI19" s="10"/>
      <c r="DJ19" s="10"/>
      <c r="DK19" s="10"/>
      <c r="DL19" s="10"/>
      <c r="DM19" s="10"/>
      <c r="DN19" s="10"/>
      <c r="DO19" s="10"/>
      <c r="DP19" s="10"/>
      <c r="DQ19" s="10"/>
      <c r="DR19" s="10"/>
    </row>
    <row r="20" spans="1:122" x14ac:dyDescent="0.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c r="DJ20" s="10"/>
      <c r="DK20" s="10"/>
      <c r="DL20" s="10"/>
      <c r="DM20" s="10"/>
      <c r="DN20" s="10"/>
      <c r="DO20" s="10"/>
      <c r="DP20" s="10"/>
      <c r="DQ20" s="10"/>
      <c r="DR20" s="10"/>
    </row>
    <row r="21" spans="1:122" x14ac:dyDescent="0.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c r="CW21" s="10"/>
      <c r="CX21" s="10"/>
      <c r="CY21" s="10"/>
      <c r="CZ21" s="10"/>
      <c r="DA21" s="10"/>
      <c r="DB21" s="10"/>
      <c r="DC21" s="10"/>
      <c r="DD21" s="10"/>
      <c r="DE21" s="10"/>
      <c r="DF21" s="10"/>
      <c r="DG21" s="10"/>
      <c r="DH21" s="10"/>
      <c r="DI21" s="10"/>
      <c r="DJ21" s="10"/>
      <c r="DK21" s="10"/>
      <c r="DL21" s="10"/>
      <c r="DM21" s="10"/>
      <c r="DN21" s="10"/>
      <c r="DO21" s="10"/>
      <c r="DP21" s="10"/>
      <c r="DQ21" s="10"/>
      <c r="DR21" s="10"/>
    </row>
    <row r="22" spans="1:122" x14ac:dyDescent="0.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c r="DJ22" s="10"/>
      <c r="DK22" s="10"/>
      <c r="DL22" s="10"/>
      <c r="DM22" s="10"/>
      <c r="DN22" s="10"/>
      <c r="DO22" s="10"/>
      <c r="DP22" s="10"/>
      <c r="DQ22" s="10"/>
      <c r="DR22" s="10"/>
    </row>
    <row r="23" spans="1:122" x14ac:dyDescent="0.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row>
    <row r="24" spans="1:122" x14ac:dyDescent="0.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c r="DJ24" s="10"/>
      <c r="DK24" s="10"/>
      <c r="DL24" s="10"/>
      <c r="DM24" s="10"/>
      <c r="DN24" s="10"/>
      <c r="DO24" s="10"/>
      <c r="DP24" s="10"/>
      <c r="DQ24" s="10"/>
      <c r="DR24" s="10"/>
    </row>
    <row r="25" spans="1:122" x14ac:dyDescent="0.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c r="DJ25" s="10"/>
      <c r="DK25" s="10"/>
      <c r="DL25" s="10"/>
      <c r="DM25" s="10"/>
      <c r="DN25" s="10"/>
      <c r="DO25" s="10"/>
      <c r="DP25" s="10"/>
      <c r="DQ25" s="10"/>
      <c r="DR25" s="10"/>
    </row>
    <row r="26" spans="1:122" x14ac:dyDescent="0.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row>
    <row r="27" spans="1:122" x14ac:dyDescent="0.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row>
    <row r="28" spans="1:122" x14ac:dyDescent="0.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10"/>
      <c r="CX28" s="10"/>
      <c r="CY28" s="10"/>
      <c r="CZ28" s="10"/>
      <c r="DA28" s="10"/>
      <c r="DB28" s="10"/>
      <c r="DC28" s="10"/>
      <c r="DD28" s="10"/>
      <c r="DE28" s="10"/>
      <c r="DF28" s="10"/>
      <c r="DG28" s="10"/>
      <c r="DH28" s="10"/>
      <c r="DI28" s="10"/>
      <c r="DJ28" s="10"/>
      <c r="DK28" s="10"/>
      <c r="DL28" s="10"/>
      <c r="DM28" s="10"/>
      <c r="DN28" s="10"/>
      <c r="DO28" s="10"/>
      <c r="DP28" s="10"/>
      <c r="DQ28" s="10"/>
      <c r="DR28" s="10"/>
    </row>
    <row r="29" spans="1:122" x14ac:dyDescent="0.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10"/>
      <c r="CX29" s="10"/>
      <c r="CY29" s="10"/>
      <c r="CZ29" s="10"/>
      <c r="DA29" s="10"/>
      <c r="DB29" s="10"/>
      <c r="DC29" s="10"/>
      <c r="DD29" s="10"/>
      <c r="DE29" s="10"/>
      <c r="DF29" s="10"/>
      <c r="DG29" s="10"/>
      <c r="DH29" s="10"/>
      <c r="DI29" s="10"/>
      <c r="DJ29" s="10"/>
      <c r="DK29" s="10"/>
      <c r="DL29" s="10"/>
      <c r="DM29" s="10"/>
      <c r="DN29" s="10"/>
      <c r="DO29" s="10"/>
      <c r="DP29" s="10"/>
      <c r="DQ29" s="10"/>
      <c r="DR29" s="10"/>
    </row>
    <row r="30" spans="1:122" x14ac:dyDescent="0.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10"/>
      <c r="CX30" s="10"/>
      <c r="CY30" s="10"/>
      <c r="CZ30" s="10"/>
      <c r="DA30" s="10"/>
      <c r="DB30" s="10"/>
      <c r="DC30" s="10"/>
      <c r="DD30" s="10"/>
      <c r="DE30" s="10"/>
      <c r="DF30" s="10"/>
      <c r="DG30" s="10"/>
      <c r="DH30" s="10"/>
      <c r="DI30" s="10"/>
      <c r="DJ30" s="10"/>
      <c r="DK30" s="10"/>
      <c r="DL30" s="10"/>
      <c r="DM30" s="10"/>
      <c r="DN30" s="10"/>
      <c r="DO30" s="10"/>
      <c r="DP30" s="10"/>
      <c r="DQ30" s="10"/>
      <c r="DR30" s="10"/>
    </row>
    <row r="31" spans="1:122" x14ac:dyDescent="0.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10"/>
      <c r="CX31" s="10"/>
      <c r="CY31" s="10"/>
      <c r="CZ31" s="10"/>
      <c r="DA31" s="10"/>
      <c r="DB31" s="10"/>
      <c r="DC31" s="10"/>
      <c r="DD31" s="10"/>
      <c r="DE31" s="10"/>
      <c r="DF31" s="10"/>
      <c r="DG31" s="10"/>
      <c r="DH31" s="10"/>
      <c r="DI31" s="10"/>
      <c r="DJ31" s="10"/>
      <c r="DK31" s="10"/>
      <c r="DL31" s="10"/>
      <c r="DM31" s="10"/>
      <c r="DN31" s="10"/>
      <c r="DO31" s="10"/>
      <c r="DP31" s="10"/>
      <c r="DQ31" s="10"/>
      <c r="DR31" s="10"/>
    </row>
    <row r="32" spans="1:122" x14ac:dyDescent="0.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10"/>
      <c r="CX32" s="10"/>
      <c r="CY32" s="10"/>
      <c r="CZ32" s="10"/>
      <c r="DA32" s="10"/>
      <c r="DB32" s="10"/>
      <c r="DC32" s="10"/>
      <c r="DD32" s="10"/>
      <c r="DE32" s="10"/>
      <c r="DF32" s="10"/>
      <c r="DG32" s="10"/>
      <c r="DH32" s="10"/>
      <c r="DI32" s="10"/>
      <c r="DJ32" s="10"/>
      <c r="DK32" s="10"/>
      <c r="DL32" s="10"/>
      <c r="DM32" s="10"/>
      <c r="DN32" s="10"/>
      <c r="DO32" s="10"/>
      <c r="DP32" s="10"/>
      <c r="DQ32" s="10"/>
      <c r="DR32" s="10"/>
    </row>
    <row r="33" spans="1:122" x14ac:dyDescent="0.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10"/>
      <c r="CX33" s="10"/>
      <c r="CY33" s="10"/>
      <c r="CZ33" s="10"/>
      <c r="DA33" s="10"/>
      <c r="DB33" s="10"/>
      <c r="DC33" s="10"/>
      <c r="DD33" s="10"/>
      <c r="DE33" s="10"/>
      <c r="DF33" s="10"/>
      <c r="DG33" s="10"/>
      <c r="DH33" s="10"/>
      <c r="DI33" s="10"/>
      <c r="DJ33" s="10"/>
      <c r="DK33" s="10"/>
      <c r="DL33" s="10"/>
      <c r="DM33" s="10"/>
      <c r="DN33" s="10"/>
      <c r="DO33" s="10"/>
      <c r="DP33" s="10"/>
      <c r="DQ33" s="10"/>
      <c r="DR33" s="10"/>
    </row>
    <row r="34" spans="1:122" x14ac:dyDescent="0.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10"/>
      <c r="CX34" s="10"/>
      <c r="CY34" s="10"/>
      <c r="CZ34" s="10"/>
      <c r="DA34" s="10"/>
      <c r="DB34" s="10"/>
      <c r="DC34" s="10"/>
      <c r="DD34" s="10"/>
      <c r="DE34" s="10"/>
      <c r="DF34" s="10"/>
      <c r="DG34" s="10"/>
      <c r="DH34" s="10"/>
      <c r="DI34" s="10"/>
      <c r="DJ34" s="10"/>
      <c r="DK34" s="10"/>
      <c r="DL34" s="10"/>
      <c r="DM34" s="10"/>
      <c r="DN34" s="10"/>
      <c r="DO34" s="10"/>
      <c r="DP34" s="10"/>
      <c r="DQ34" s="10"/>
      <c r="DR34" s="10"/>
    </row>
    <row r="35" spans="1:122" x14ac:dyDescent="0.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10"/>
      <c r="CX35" s="10"/>
      <c r="CY35" s="10"/>
      <c r="CZ35" s="10"/>
      <c r="DA35" s="10"/>
      <c r="DB35" s="10"/>
      <c r="DC35" s="10"/>
      <c r="DD35" s="10"/>
      <c r="DE35" s="10"/>
      <c r="DF35" s="10"/>
      <c r="DG35" s="10"/>
      <c r="DH35" s="10"/>
      <c r="DI35" s="10"/>
      <c r="DJ35" s="10"/>
      <c r="DK35" s="10"/>
      <c r="DL35" s="10"/>
      <c r="DM35" s="10"/>
      <c r="DN35" s="10"/>
      <c r="DO35" s="10"/>
      <c r="DP35" s="10"/>
      <c r="DQ35" s="10"/>
      <c r="DR35" s="10"/>
    </row>
    <row r="36" spans="1:122" x14ac:dyDescent="0.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10"/>
      <c r="CX36" s="10"/>
      <c r="CY36" s="10"/>
      <c r="CZ36" s="10"/>
      <c r="DA36" s="10"/>
      <c r="DB36" s="10"/>
      <c r="DC36" s="10"/>
      <c r="DD36" s="10"/>
      <c r="DE36" s="10"/>
      <c r="DF36" s="10"/>
      <c r="DG36" s="10"/>
      <c r="DH36" s="10"/>
      <c r="DI36" s="10"/>
      <c r="DJ36" s="10"/>
      <c r="DK36" s="10"/>
      <c r="DL36" s="10"/>
      <c r="DM36" s="10"/>
      <c r="DN36" s="10"/>
      <c r="DO36" s="10"/>
      <c r="DP36" s="10"/>
      <c r="DQ36" s="10"/>
      <c r="DR36" s="10"/>
    </row>
    <row r="37" spans="1:122" x14ac:dyDescent="0.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c r="CW37" s="10"/>
      <c r="CX37" s="10"/>
      <c r="CY37" s="10"/>
      <c r="CZ37" s="10"/>
      <c r="DA37" s="10"/>
      <c r="DB37" s="10"/>
      <c r="DC37" s="10"/>
      <c r="DD37" s="10"/>
      <c r="DE37" s="10"/>
      <c r="DF37" s="10"/>
      <c r="DG37" s="10"/>
      <c r="DH37" s="10"/>
      <c r="DI37" s="10"/>
      <c r="DJ37" s="10"/>
      <c r="DK37" s="10"/>
      <c r="DL37" s="10"/>
      <c r="DM37" s="10"/>
      <c r="DN37" s="10"/>
      <c r="DO37" s="10"/>
      <c r="DP37" s="10"/>
      <c r="DQ37" s="10"/>
      <c r="DR37" s="10"/>
    </row>
    <row r="38" spans="1:122" x14ac:dyDescent="0.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c r="CW38" s="10"/>
      <c r="CX38" s="10"/>
      <c r="CY38" s="10"/>
      <c r="CZ38" s="10"/>
      <c r="DA38" s="10"/>
      <c r="DB38" s="10"/>
      <c r="DC38" s="10"/>
      <c r="DD38" s="10"/>
      <c r="DE38" s="10"/>
      <c r="DF38" s="10"/>
      <c r="DG38" s="10"/>
      <c r="DH38" s="10"/>
      <c r="DI38" s="10"/>
      <c r="DJ38" s="10"/>
      <c r="DK38" s="10"/>
      <c r="DL38" s="10"/>
      <c r="DM38" s="10"/>
      <c r="DN38" s="10"/>
      <c r="DO38" s="10"/>
      <c r="DP38" s="10"/>
      <c r="DQ38" s="10"/>
      <c r="DR38" s="10"/>
    </row>
    <row r="39" spans="1:122" x14ac:dyDescent="0.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c r="CW39" s="10"/>
      <c r="CX39" s="10"/>
      <c r="CY39" s="10"/>
      <c r="CZ39" s="10"/>
      <c r="DA39" s="10"/>
      <c r="DB39" s="10"/>
      <c r="DC39" s="10"/>
      <c r="DD39" s="10"/>
      <c r="DE39" s="10"/>
      <c r="DF39" s="10"/>
      <c r="DG39" s="10"/>
      <c r="DH39" s="10"/>
      <c r="DI39" s="10"/>
      <c r="DJ39" s="10"/>
      <c r="DK39" s="10"/>
      <c r="DL39" s="10"/>
      <c r="DM39" s="10"/>
      <c r="DN39" s="10"/>
      <c r="DO39" s="10"/>
      <c r="DP39" s="10"/>
      <c r="DQ39" s="10"/>
      <c r="DR39" s="10"/>
    </row>
    <row r="40" spans="1:122" x14ac:dyDescent="0.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10"/>
      <c r="CX40" s="10"/>
      <c r="CY40" s="10"/>
      <c r="CZ40" s="10"/>
      <c r="DA40" s="10"/>
      <c r="DB40" s="10"/>
      <c r="DC40" s="10"/>
      <c r="DD40" s="10"/>
      <c r="DE40" s="10"/>
      <c r="DF40" s="10"/>
      <c r="DG40" s="10"/>
      <c r="DH40" s="10"/>
      <c r="DI40" s="10"/>
      <c r="DJ40" s="10"/>
      <c r="DK40" s="10"/>
      <c r="DL40" s="10"/>
      <c r="DM40" s="10"/>
      <c r="DN40" s="10"/>
      <c r="DO40" s="10"/>
      <c r="DP40" s="10"/>
      <c r="DQ40" s="10"/>
      <c r="DR40" s="10"/>
    </row>
    <row r="41" spans="1:122" x14ac:dyDescent="0.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c r="CW41" s="10"/>
      <c r="CX41" s="10"/>
      <c r="CY41" s="10"/>
      <c r="CZ41" s="10"/>
      <c r="DA41" s="10"/>
      <c r="DB41" s="10"/>
      <c r="DC41" s="10"/>
      <c r="DD41" s="10"/>
      <c r="DE41" s="10"/>
      <c r="DF41" s="10"/>
      <c r="DG41" s="10"/>
      <c r="DH41" s="10"/>
      <c r="DI41" s="10"/>
      <c r="DJ41" s="10"/>
      <c r="DK41" s="10"/>
      <c r="DL41" s="10"/>
      <c r="DM41" s="10"/>
      <c r="DN41" s="10"/>
      <c r="DO41" s="10"/>
      <c r="DP41" s="10"/>
      <c r="DQ41" s="10"/>
      <c r="DR41" s="10"/>
    </row>
    <row r="42" spans="1:122" x14ac:dyDescent="0.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10"/>
      <c r="CX42" s="10"/>
      <c r="CY42" s="10"/>
      <c r="CZ42" s="10"/>
      <c r="DA42" s="10"/>
      <c r="DB42" s="10"/>
      <c r="DC42" s="10"/>
      <c r="DD42" s="10"/>
      <c r="DE42" s="10"/>
      <c r="DF42" s="10"/>
      <c r="DG42" s="10"/>
      <c r="DH42" s="10"/>
      <c r="DI42" s="10"/>
      <c r="DJ42" s="10"/>
      <c r="DK42" s="10"/>
      <c r="DL42" s="10"/>
      <c r="DM42" s="10"/>
      <c r="DN42" s="10"/>
      <c r="DO42" s="10"/>
      <c r="DP42" s="10"/>
      <c r="DQ42" s="10"/>
      <c r="DR42" s="10"/>
    </row>
    <row r="43" spans="1:122" x14ac:dyDescent="0.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c r="CZ43" s="10"/>
      <c r="DA43" s="10"/>
      <c r="DB43" s="10"/>
      <c r="DC43" s="10"/>
      <c r="DD43" s="10"/>
      <c r="DE43" s="10"/>
      <c r="DF43" s="10"/>
      <c r="DG43" s="10"/>
      <c r="DH43" s="10"/>
      <c r="DI43" s="10"/>
      <c r="DJ43" s="10"/>
      <c r="DK43" s="10"/>
      <c r="DL43" s="10"/>
      <c r="DM43" s="10"/>
      <c r="DN43" s="10"/>
      <c r="DO43" s="10"/>
      <c r="DP43" s="10"/>
      <c r="DQ43" s="10"/>
      <c r="DR43" s="10"/>
    </row>
    <row r="44" spans="1:122" x14ac:dyDescent="0.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c r="CZ44" s="10"/>
      <c r="DA44" s="10"/>
      <c r="DB44" s="10"/>
      <c r="DC44" s="10"/>
      <c r="DD44" s="10"/>
      <c r="DE44" s="10"/>
      <c r="DF44" s="10"/>
      <c r="DG44" s="10"/>
      <c r="DH44" s="10"/>
      <c r="DI44" s="10"/>
      <c r="DJ44" s="10"/>
      <c r="DK44" s="10"/>
      <c r="DL44" s="10"/>
      <c r="DM44" s="10"/>
      <c r="DN44" s="10"/>
      <c r="DO44" s="10"/>
      <c r="DP44" s="10"/>
      <c r="DQ44" s="10"/>
      <c r="DR44" s="10"/>
    </row>
    <row r="45" spans="1:122" x14ac:dyDescent="0.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c r="CZ45" s="10"/>
      <c r="DA45" s="10"/>
      <c r="DB45" s="10"/>
      <c r="DC45" s="10"/>
      <c r="DD45" s="10"/>
      <c r="DE45" s="10"/>
      <c r="DF45" s="10"/>
      <c r="DG45" s="10"/>
      <c r="DH45" s="10"/>
      <c r="DI45" s="10"/>
      <c r="DJ45" s="10"/>
      <c r="DK45" s="10"/>
      <c r="DL45" s="10"/>
      <c r="DM45" s="10"/>
      <c r="DN45" s="10"/>
      <c r="DO45" s="10"/>
      <c r="DP45" s="10"/>
      <c r="DQ45" s="10"/>
      <c r="DR45" s="10"/>
    </row>
    <row r="46" spans="1:122" x14ac:dyDescent="0.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0"/>
      <c r="DD46" s="10"/>
      <c r="DE46" s="10"/>
      <c r="DF46" s="10"/>
      <c r="DG46" s="10"/>
      <c r="DH46" s="10"/>
      <c r="DI46" s="10"/>
      <c r="DJ46" s="10"/>
      <c r="DK46" s="10"/>
      <c r="DL46" s="10"/>
      <c r="DM46" s="10"/>
      <c r="DN46" s="10"/>
      <c r="DO46" s="10"/>
      <c r="DP46" s="10"/>
      <c r="DQ46" s="10"/>
      <c r="DR46" s="10"/>
    </row>
    <row r="47" spans="1:122" x14ac:dyDescent="0.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10"/>
      <c r="CX47" s="10"/>
      <c r="CY47" s="10"/>
      <c r="CZ47" s="10"/>
      <c r="DA47" s="10"/>
      <c r="DB47" s="10"/>
      <c r="DC47" s="10"/>
      <c r="DD47" s="10"/>
      <c r="DE47" s="10"/>
      <c r="DF47" s="10"/>
      <c r="DG47" s="10"/>
      <c r="DH47" s="10"/>
      <c r="DI47" s="10"/>
      <c r="DJ47" s="10"/>
      <c r="DK47" s="10"/>
      <c r="DL47" s="10"/>
      <c r="DM47" s="10"/>
      <c r="DN47" s="10"/>
      <c r="DO47" s="10"/>
      <c r="DP47" s="10"/>
      <c r="DQ47" s="10"/>
      <c r="DR47" s="10"/>
    </row>
    <row r="48" spans="1:122" x14ac:dyDescent="0.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10"/>
      <c r="CX48" s="10"/>
      <c r="CY48" s="10"/>
      <c r="CZ48" s="10"/>
      <c r="DA48" s="10"/>
      <c r="DB48" s="10"/>
      <c r="DC48" s="10"/>
      <c r="DD48" s="10"/>
      <c r="DE48" s="10"/>
      <c r="DF48" s="10"/>
      <c r="DG48" s="10"/>
      <c r="DH48" s="10"/>
      <c r="DI48" s="10"/>
      <c r="DJ48" s="10"/>
      <c r="DK48" s="10"/>
      <c r="DL48" s="10"/>
      <c r="DM48" s="10"/>
      <c r="DN48" s="10"/>
      <c r="DO48" s="10"/>
      <c r="DP48" s="10"/>
      <c r="DQ48" s="10"/>
      <c r="DR48" s="10"/>
    </row>
    <row r="49" spans="1:122" x14ac:dyDescent="0.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10"/>
      <c r="CX49" s="10"/>
      <c r="CY49" s="10"/>
      <c r="CZ49" s="10"/>
      <c r="DA49" s="10"/>
      <c r="DB49" s="10"/>
      <c r="DC49" s="10"/>
      <c r="DD49" s="10"/>
      <c r="DE49" s="10"/>
      <c r="DF49" s="10"/>
      <c r="DG49" s="10"/>
      <c r="DH49" s="10"/>
      <c r="DI49" s="10"/>
      <c r="DJ49" s="10"/>
      <c r="DK49" s="10"/>
      <c r="DL49" s="10"/>
      <c r="DM49" s="10"/>
      <c r="DN49" s="10"/>
      <c r="DO49" s="10"/>
      <c r="DP49" s="10"/>
      <c r="DQ49" s="10"/>
      <c r="DR49" s="10"/>
    </row>
    <row r="50" spans="1:122" x14ac:dyDescent="0.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10"/>
      <c r="CZ50" s="10"/>
      <c r="DA50" s="10"/>
      <c r="DB50" s="10"/>
      <c r="DC50" s="10"/>
      <c r="DD50" s="10"/>
      <c r="DE50" s="10"/>
      <c r="DF50" s="10"/>
      <c r="DG50" s="10"/>
      <c r="DH50" s="10"/>
      <c r="DI50" s="10"/>
      <c r="DJ50" s="10"/>
      <c r="DK50" s="10"/>
      <c r="DL50" s="10"/>
      <c r="DM50" s="10"/>
      <c r="DN50" s="10"/>
      <c r="DO50" s="10"/>
      <c r="DP50" s="10"/>
      <c r="DQ50" s="10"/>
      <c r="DR50" s="10"/>
    </row>
    <row r="51" spans="1:122" x14ac:dyDescent="0.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c r="CW51" s="10"/>
      <c r="CX51" s="10"/>
      <c r="CY51" s="10"/>
      <c r="CZ51" s="10"/>
      <c r="DA51" s="10"/>
      <c r="DB51" s="10"/>
      <c r="DC51" s="10"/>
      <c r="DD51" s="10"/>
      <c r="DE51" s="10"/>
      <c r="DF51" s="10"/>
      <c r="DG51" s="10"/>
      <c r="DH51" s="10"/>
      <c r="DI51" s="10"/>
      <c r="DJ51" s="10"/>
      <c r="DK51" s="10"/>
      <c r="DL51" s="10"/>
      <c r="DM51" s="10"/>
      <c r="DN51" s="10"/>
      <c r="DO51" s="10"/>
      <c r="DP51" s="10"/>
      <c r="DQ51" s="10"/>
      <c r="DR51" s="10"/>
    </row>
    <row r="52" spans="1:122" x14ac:dyDescent="0.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c r="CW52" s="10"/>
      <c r="CX52" s="10"/>
      <c r="CY52" s="10"/>
      <c r="CZ52" s="10"/>
      <c r="DA52" s="10"/>
      <c r="DB52" s="10"/>
      <c r="DC52" s="10"/>
      <c r="DD52" s="10"/>
      <c r="DE52" s="10"/>
      <c r="DF52" s="10"/>
      <c r="DG52" s="10"/>
      <c r="DH52" s="10"/>
      <c r="DI52" s="10"/>
      <c r="DJ52" s="10"/>
      <c r="DK52" s="10"/>
      <c r="DL52" s="10"/>
      <c r="DM52" s="10"/>
      <c r="DN52" s="10"/>
      <c r="DO52" s="10"/>
      <c r="DP52" s="10"/>
      <c r="DQ52" s="10"/>
      <c r="DR52" s="10"/>
    </row>
    <row r="53" spans="1:122" x14ac:dyDescent="0.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10"/>
      <c r="CX53" s="10"/>
      <c r="CY53" s="10"/>
      <c r="CZ53" s="10"/>
      <c r="DA53" s="10"/>
      <c r="DB53" s="10"/>
      <c r="DC53" s="10"/>
      <c r="DD53" s="10"/>
      <c r="DE53" s="10"/>
      <c r="DF53" s="10"/>
      <c r="DG53" s="10"/>
      <c r="DH53" s="10"/>
      <c r="DI53" s="10"/>
      <c r="DJ53" s="10"/>
      <c r="DK53" s="10"/>
      <c r="DL53" s="10"/>
      <c r="DM53" s="10"/>
      <c r="DN53" s="10"/>
      <c r="DO53" s="10"/>
      <c r="DP53" s="10"/>
      <c r="DQ53" s="10"/>
      <c r="DR53" s="10"/>
    </row>
    <row r="54" spans="1:122" x14ac:dyDescent="0.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c r="CW54" s="10"/>
      <c r="CX54" s="10"/>
      <c r="CY54" s="10"/>
      <c r="CZ54" s="10"/>
      <c r="DA54" s="10"/>
      <c r="DB54" s="10"/>
      <c r="DC54" s="10"/>
      <c r="DD54" s="10"/>
      <c r="DE54" s="10"/>
      <c r="DF54" s="10"/>
      <c r="DG54" s="10"/>
      <c r="DH54" s="10"/>
      <c r="DI54" s="10"/>
      <c r="DJ54" s="10"/>
      <c r="DK54" s="10"/>
      <c r="DL54" s="10"/>
      <c r="DM54" s="10"/>
      <c r="DN54" s="10"/>
      <c r="DO54" s="10"/>
      <c r="DP54" s="10"/>
      <c r="DQ54" s="10"/>
      <c r="DR54" s="10"/>
    </row>
    <row r="55" spans="1:122" x14ac:dyDescent="0.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c r="CW55" s="10"/>
      <c r="CX55" s="10"/>
      <c r="CY55" s="10"/>
      <c r="CZ55" s="10"/>
      <c r="DA55" s="10"/>
      <c r="DB55" s="10"/>
      <c r="DC55" s="10"/>
      <c r="DD55" s="10"/>
      <c r="DE55" s="10"/>
      <c r="DF55" s="10"/>
      <c r="DG55" s="10"/>
      <c r="DH55" s="10"/>
      <c r="DI55" s="10"/>
      <c r="DJ55" s="10"/>
      <c r="DK55" s="10"/>
      <c r="DL55" s="10"/>
      <c r="DM55" s="10"/>
      <c r="DN55" s="10"/>
      <c r="DO55" s="10"/>
      <c r="DP55" s="10"/>
      <c r="DQ55" s="10"/>
      <c r="DR55" s="10"/>
    </row>
    <row r="56" spans="1:122" x14ac:dyDescent="0.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c r="CW56" s="10"/>
      <c r="CX56" s="10"/>
      <c r="CY56" s="10"/>
      <c r="CZ56" s="10"/>
      <c r="DA56" s="10"/>
      <c r="DB56" s="10"/>
      <c r="DC56" s="10"/>
      <c r="DD56" s="10"/>
      <c r="DE56" s="10"/>
      <c r="DF56" s="10"/>
      <c r="DG56" s="10"/>
      <c r="DH56" s="10"/>
      <c r="DI56" s="10"/>
      <c r="DJ56" s="10"/>
      <c r="DK56" s="10"/>
      <c r="DL56" s="10"/>
      <c r="DM56" s="10"/>
      <c r="DN56" s="10"/>
      <c r="DO56" s="10"/>
      <c r="DP56" s="10"/>
      <c r="DQ56" s="10"/>
      <c r="DR56" s="10"/>
    </row>
    <row r="57" spans="1:122" x14ac:dyDescent="0.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c r="CW57" s="10"/>
      <c r="CX57" s="10"/>
      <c r="CY57" s="10"/>
      <c r="CZ57" s="10"/>
      <c r="DA57" s="10"/>
      <c r="DB57" s="10"/>
      <c r="DC57" s="10"/>
      <c r="DD57" s="10"/>
      <c r="DE57" s="10"/>
      <c r="DF57" s="10"/>
      <c r="DG57" s="10"/>
      <c r="DH57" s="10"/>
      <c r="DI57" s="10"/>
      <c r="DJ57" s="10"/>
      <c r="DK57" s="10"/>
      <c r="DL57" s="10"/>
      <c r="DM57" s="10"/>
      <c r="DN57" s="10"/>
      <c r="DO57" s="10"/>
      <c r="DP57" s="10"/>
      <c r="DQ57" s="10"/>
      <c r="DR57" s="10"/>
    </row>
    <row r="58" spans="1:122" x14ac:dyDescent="0.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c r="CW58" s="10"/>
      <c r="CX58" s="10"/>
      <c r="CY58" s="10"/>
      <c r="CZ58" s="10"/>
      <c r="DA58" s="10"/>
      <c r="DB58" s="10"/>
      <c r="DC58" s="10"/>
      <c r="DD58" s="10"/>
      <c r="DE58" s="10"/>
      <c r="DF58" s="10"/>
      <c r="DG58" s="10"/>
      <c r="DH58" s="10"/>
      <c r="DI58" s="10"/>
      <c r="DJ58" s="10"/>
      <c r="DK58" s="10"/>
      <c r="DL58" s="10"/>
      <c r="DM58" s="10"/>
      <c r="DN58" s="10"/>
      <c r="DO58" s="10"/>
      <c r="DP58" s="10"/>
      <c r="DQ58" s="10"/>
      <c r="DR58" s="10"/>
    </row>
    <row r="59" spans="1:122" x14ac:dyDescent="0.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c r="CW59" s="10"/>
      <c r="CX59" s="10"/>
      <c r="CY59" s="10"/>
      <c r="CZ59" s="10"/>
      <c r="DA59" s="10"/>
      <c r="DB59" s="10"/>
      <c r="DC59" s="10"/>
      <c r="DD59" s="10"/>
      <c r="DE59" s="10"/>
      <c r="DF59" s="10"/>
      <c r="DG59" s="10"/>
      <c r="DH59" s="10"/>
      <c r="DI59" s="10"/>
      <c r="DJ59" s="10"/>
      <c r="DK59" s="10"/>
      <c r="DL59" s="10"/>
      <c r="DM59" s="10"/>
      <c r="DN59" s="10"/>
      <c r="DO59" s="10"/>
      <c r="DP59" s="10"/>
      <c r="DQ59" s="10"/>
      <c r="DR59" s="10"/>
    </row>
    <row r="60" spans="1:122" x14ac:dyDescent="0.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c r="CW60" s="10"/>
      <c r="CX60" s="10"/>
      <c r="CY60" s="10"/>
      <c r="CZ60" s="10"/>
      <c r="DA60" s="10"/>
      <c r="DB60" s="10"/>
      <c r="DC60" s="10"/>
      <c r="DD60" s="10"/>
      <c r="DE60" s="10"/>
      <c r="DF60" s="10"/>
      <c r="DG60" s="10"/>
      <c r="DH60" s="10"/>
      <c r="DI60" s="10"/>
      <c r="DJ60" s="10"/>
      <c r="DK60" s="10"/>
      <c r="DL60" s="10"/>
      <c r="DM60" s="10"/>
      <c r="DN60" s="10"/>
      <c r="DO60" s="10"/>
      <c r="DP60" s="10"/>
      <c r="DQ60" s="10"/>
      <c r="DR60" s="10"/>
    </row>
    <row r="61" spans="1:122" x14ac:dyDescent="0.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10"/>
      <c r="CI61" s="10"/>
      <c r="CJ61" s="10"/>
      <c r="CK61" s="10"/>
      <c r="CL61" s="10"/>
      <c r="CM61" s="10"/>
      <c r="CN61" s="10"/>
      <c r="CO61" s="10"/>
      <c r="CP61" s="10"/>
      <c r="CQ61" s="10"/>
      <c r="CR61" s="10"/>
      <c r="CS61" s="10"/>
      <c r="CT61" s="10"/>
      <c r="CU61" s="10"/>
      <c r="CV61" s="10"/>
      <c r="CW61" s="10"/>
      <c r="CX61" s="10"/>
      <c r="CY61" s="10"/>
      <c r="CZ61" s="10"/>
      <c r="DA61" s="10"/>
      <c r="DB61" s="10"/>
      <c r="DC61" s="10"/>
      <c r="DD61" s="10"/>
      <c r="DE61" s="10"/>
      <c r="DF61" s="10"/>
      <c r="DG61" s="10"/>
      <c r="DH61" s="10"/>
      <c r="DI61" s="10"/>
      <c r="DJ61" s="10"/>
      <c r="DK61" s="10"/>
      <c r="DL61" s="10"/>
      <c r="DM61" s="10"/>
      <c r="DN61" s="10"/>
      <c r="DO61" s="10"/>
      <c r="DP61" s="10"/>
      <c r="DQ61" s="10"/>
      <c r="DR61" s="10"/>
    </row>
    <row r="62" spans="1:122" x14ac:dyDescent="0.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c r="CW62" s="10"/>
      <c r="CX62" s="10"/>
      <c r="CY62" s="10"/>
      <c r="CZ62" s="10"/>
      <c r="DA62" s="10"/>
      <c r="DB62" s="10"/>
      <c r="DC62" s="10"/>
      <c r="DD62" s="10"/>
      <c r="DE62" s="10"/>
      <c r="DF62" s="10"/>
      <c r="DG62" s="10"/>
      <c r="DH62" s="10"/>
      <c r="DI62" s="10"/>
      <c r="DJ62" s="10"/>
      <c r="DK62" s="10"/>
      <c r="DL62" s="10"/>
      <c r="DM62" s="10"/>
      <c r="DN62" s="10"/>
      <c r="DO62" s="10"/>
      <c r="DP62" s="10"/>
      <c r="DQ62" s="10"/>
      <c r="DR62" s="10"/>
    </row>
    <row r="63" spans="1:122" x14ac:dyDescent="0.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c r="CW63" s="10"/>
      <c r="CX63" s="10"/>
      <c r="CY63" s="10"/>
      <c r="CZ63" s="10"/>
      <c r="DA63" s="10"/>
      <c r="DB63" s="10"/>
      <c r="DC63" s="10"/>
      <c r="DD63" s="10"/>
      <c r="DE63" s="10"/>
      <c r="DF63" s="10"/>
      <c r="DG63" s="10"/>
      <c r="DH63" s="10"/>
      <c r="DI63" s="10"/>
      <c r="DJ63" s="10"/>
      <c r="DK63" s="10"/>
      <c r="DL63" s="10"/>
      <c r="DM63" s="10"/>
      <c r="DN63" s="10"/>
      <c r="DO63" s="10"/>
      <c r="DP63" s="10"/>
      <c r="DQ63" s="10"/>
      <c r="DR63" s="10"/>
    </row>
    <row r="64" spans="1:122" x14ac:dyDescent="0.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c r="CI64" s="10"/>
      <c r="CJ64" s="10"/>
      <c r="CK64" s="10"/>
      <c r="CL64" s="10"/>
      <c r="CM64" s="10"/>
      <c r="CN64" s="10"/>
      <c r="CO64" s="10"/>
      <c r="CP64" s="10"/>
      <c r="CQ64" s="10"/>
      <c r="CR64" s="10"/>
      <c r="CS64" s="10"/>
      <c r="CT64" s="10"/>
      <c r="CU64" s="10"/>
      <c r="CV64" s="10"/>
      <c r="CW64" s="10"/>
      <c r="CX64" s="10"/>
      <c r="CY64" s="10"/>
      <c r="CZ64" s="10"/>
      <c r="DA64" s="10"/>
      <c r="DB64" s="10"/>
      <c r="DC64" s="10"/>
      <c r="DD64" s="10"/>
      <c r="DE64" s="10"/>
      <c r="DF64" s="10"/>
      <c r="DG64" s="10"/>
      <c r="DH64" s="10"/>
      <c r="DI64" s="10"/>
      <c r="DJ64" s="10"/>
      <c r="DK64" s="10"/>
      <c r="DL64" s="10"/>
      <c r="DM64" s="10"/>
      <c r="DN64" s="10"/>
      <c r="DO64" s="10"/>
      <c r="DP64" s="10"/>
      <c r="DQ64" s="10"/>
      <c r="DR64" s="10"/>
    </row>
    <row r="65" spans="1:122" x14ac:dyDescent="0.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c r="CW65" s="10"/>
      <c r="CX65" s="10"/>
      <c r="CY65" s="10"/>
      <c r="CZ65" s="10"/>
      <c r="DA65" s="10"/>
      <c r="DB65" s="10"/>
      <c r="DC65" s="10"/>
      <c r="DD65" s="10"/>
      <c r="DE65" s="10"/>
      <c r="DF65" s="10"/>
      <c r="DG65" s="10"/>
      <c r="DH65" s="10"/>
      <c r="DI65" s="10"/>
      <c r="DJ65" s="10"/>
      <c r="DK65" s="10"/>
      <c r="DL65" s="10"/>
      <c r="DM65" s="10"/>
      <c r="DN65" s="10"/>
      <c r="DO65" s="10"/>
      <c r="DP65" s="10"/>
      <c r="DQ65" s="10"/>
      <c r="DR65" s="10"/>
    </row>
    <row r="66" spans="1:122" x14ac:dyDescent="0.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c r="CW66" s="10"/>
      <c r="CX66" s="10"/>
      <c r="CY66" s="10"/>
      <c r="CZ66" s="10"/>
      <c r="DA66" s="10"/>
      <c r="DB66" s="10"/>
      <c r="DC66" s="10"/>
      <c r="DD66" s="10"/>
      <c r="DE66" s="10"/>
      <c r="DF66" s="10"/>
      <c r="DG66" s="10"/>
      <c r="DH66" s="10"/>
      <c r="DI66" s="10"/>
      <c r="DJ66" s="10"/>
      <c r="DK66" s="10"/>
      <c r="DL66" s="10"/>
      <c r="DM66" s="10"/>
      <c r="DN66" s="10"/>
      <c r="DO66" s="10"/>
      <c r="DP66" s="10"/>
      <c r="DQ66" s="10"/>
      <c r="DR66" s="10"/>
    </row>
    <row r="67" spans="1:122" x14ac:dyDescent="0.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c r="CW67" s="10"/>
      <c r="CX67" s="10"/>
      <c r="CY67" s="10"/>
      <c r="CZ67" s="10"/>
      <c r="DA67" s="10"/>
      <c r="DB67" s="10"/>
      <c r="DC67" s="10"/>
      <c r="DD67" s="10"/>
      <c r="DE67" s="10"/>
      <c r="DF67" s="10"/>
      <c r="DG67" s="10"/>
      <c r="DH67" s="10"/>
      <c r="DI67" s="10"/>
      <c r="DJ67" s="10"/>
      <c r="DK67" s="10"/>
      <c r="DL67" s="10"/>
      <c r="DM67" s="10"/>
      <c r="DN67" s="10"/>
      <c r="DO67" s="10"/>
      <c r="DP67" s="10"/>
      <c r="DQ67" s="10"/>
      <c r="DR67" s="10"/>
    </row>
    <row r="68" spans="1:122" x14ac:dyDescent="0.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c r="CW68" s="10"/>
      <c r="CX68" s="10"/>
      <c r="CY68" s="10"/>
      <c r="CZ68" s="10"/>
      <c r="DA68" s="10"/>
      <c r="DB68" s="10"/>
      <c r="DC68" s="10"/>
      <c r="DD68" s="10"/>
      <c r="DE68" s="10"/>
      <c r="DF68" s="10"/>
      <c r="DG68" s="10"/>
      <c r="DH68" s="10"/>
      <c r="DI68" s="10"/>
      <c r="DJ68" s="10"/>
      <c r="DK68" s="10"/>
      <c r="DL68" s="10"/>
      <c r="DM68" s="10"/>
      <c r="DN68" s="10"/>
      <c r="DO68" s="10"/>
      <c r="DP68" s="10"/>
      <c r="DQ68" s="10"/>
      <c r="DR68" s="10"/>
    </row>
    <row r="69" spans="1:122" x14ac:dyDescent="0.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c r="CI69" s="10"/>
      <c r="CJ69" s="10"/>
      <c r="CK69" s="10"/>
      <c r="CL69" s="10"/>
      <c r="CM69" s="10"/>
      <c r="CN69" s="10"/>
      <c r="CO69" s="10"/>
      <c r="CP69" s="10"/>
      <c r="CQ69" s="10"/>
      <c r="CR69" s="10"/>
      <c r="CS69" s="10"/>
      <c r="CT69" s="10"/>
      <c r="CU69" s="10"/>
      <c r="CV69" s="10"/>
      <c r="CW69" s="10"/>
      <c r="CX69" s="10"/>
      <c r="CY69" s="10"/>
      <c r="CZ69" s="10"/>
      <c r="DA69" s="10"/>
      <c r="DB69" s="10"/>
      <c r="DC69" s="10"/>
      <c r="DD69" s="10"/>
      <c r="DE69" s="10"/>
      <c r="DF69" s="10"/>
      <c r="DG69" s="10"/>
      <c r="DH69" s="10"/>
      <c r="DI69" s="10"/>
      <c r="DJ69" s="10"/>
      <c r="DK69" s="10"/>
      <c r="DL69" s="10"/>
      <c r="DM69" s="10"/>
      <c r="DN69" s="10"/>
      <c r="DO69" s="10"/>
      <c r="DP69" s="10"/>
      <c r="DQ69" s="10"/>
      <c r="DR69" s="10"/>
    </row>
    <row r="70" spans="1:122" x14ac:dyDescent="0.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c r="CW70" s="10"/>
      <c r="CX70" s="10"/>
      <c r="CY70" s="10"/>
      <c r="CZ70" s="10"/>
      <c r="DA70" s="10"/>
      <c r="DB70" s="10"/>
      <c r="DC70" s="10"/>
      <c r="DD70" s="10"/>
      <c r="DE70" s="10"/>
      <c r="DF70" s="10"/>
      <c r="DG70" s="10"/>
      <c r="DH70" s="10"/>
      <c r="DI70" s="10"/>
      <c r="DJ70" s="10"/>
      <c r="DK70" s="10"/>
      <c r="DL70" s="10"/>
      <c r="DM70" s="10"/>
      <c r="DN70" s="10"/>
      <c r="DO70" s="10"/>
      <c r="DP70" s="10"/>
      <c r="DQ70" s="10"/>
      <c r="DR70" s="10"/>
    </row>
    <row r="71" spans="1:122" x14ac:dyDescent="0.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c r="CI71" s="10"/>
      <c r="CJ71" s="10"/>
      <c r="CK71" s="10"/>
      <c r="CL71" s="10"/>
      <c r="CM71" s="10"/>
      <c r="CN71" s="10"/>
      <c r="CO71" s="10"/>
      <c r="CP71" s="10"/>
      <c r="CQ71" s="10"/>
      <c r="CR71" s="10"/>
      <c r="CS71" s="10"/>
      <c r="CT71" s="10"/>
      <c r="CU71" s="10"/>
      <c r="CV71" s="10"/>
      <c r="CW71" s="10"/>
      <c r="CX71" s="10"/>
      <c r="CY71" s="10"/>
      <c r="CZ71" s="10"/>
      <c r="DA71" s="10"/>
      <c r="DB71" s="10"/>
      <c r="DC71" s="10"/>
      <c r="DD71" s="10"/>
      <c r="DE71" s="10"/>
      <c r="DF71" s="10"/>
      <c r="DG71" s="10"/>
      <c r="DH71" s="10"/>
      <c r="DI71" s="10"/>
      <c r="DJ71" s="10"/>
      <c r="DK71" s="10"/>
      <c r="DL71" s="10"/>
      <c r="DM71" s="10"/>
      <c r="DN71" s="10"/>
      <c r="DO71" s="10"/>
      <c r="DP71" s="10"/>
      <c r="DQ71" s="10"/>
      <c r="DR71" s="10"/>
    </row>
    <row r="72" spans="1:122" x14ac:dyDescent="0.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c r="CU72" s="10"/>
      <c r="CV72" s="10"/>
      <c r="CW72" s="10"/>
      <c r="CX72" s="10"/>
      <c r="CY72" s="10"/>
      <c r="CZ72" s="10"/>
      <c r="DA72" s="10"/>
      <c r="DB72" s="10"/>
      <c r="DC72" s="10"/>
      <c r="DD72" s="10"/>
      <c r="DE72" s="10"/>
      <c r="DF72" s="10"/>
      <c r="DG72" s="10"/>
      <c r="DH72" s="10"/>
      <c r="DI72" s="10"/>
      <c r="DJ72" s="10"/>
      <c r="DK72" s="10"/>
      <c r="DL72" s="10"/>
      <c r="DM72" s="10"/>
      <c r="DN72" s="10"/>
      <c r="DO72" s="10"/>
      <c r="DP72" s="10"/>
      <c r="DQ72" s="10"/>
      <c r="DR72" s="10"/>
    </row>
    <row r="73" spans="1:122" x14ac:dyDescent="0.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10"/>
      <c r="CI73" s="10"/>
      <c r="CJ73" s="10"/>
      <c r="CK73" s="10"/>
      <c r="CL73" s="10"/>
      <c r="CM73" s="10"/>
      <c r="CN73" s="10"/>
      <c r="CO73" s="10"/>
      <c r="CP73" s="10"/>
      <c r="CQ73" s="10"/>
      <c r="CR73" s="10"/>
      <c r="CS73" s="10"/>
      <c r="CT73" s="10"/>
      <c r="CU73" s="10"/>
      <c r="CV73" s="10"/>
      <c r="CW73" s="10"/>
      <c r="CX73" s="10"/>
      <c r="CY73" s="10"/>
      <c r="CZ73" s="10"/>
      <c r="DA73" s="10"/>
      <c r="DB73" s="10"/>
      <c r="DC73" s="10"/>
      <c r="DD73" s="10"/>
      <c r="DE73" s="10"/>
      <c r="DF73" s="10"/>
      <c r="DG73" s="10"/>
      <c r="DH73" s="10"/>
      <c r="DI73" s="10"/>
      <c r="DJ73" s="10"/>
      <c r="DK73" s="10"/>
      <c r="DL73" s="10"/>
      <c r="DM73" s="10"/>
      <c r="DN73" s="10"/>
      <c r="DO73" s="10"/>
      <c r="DP73" s="10"/>
      <c r="DQ73" s="10"/>
      <c r="DR73" s="10"/>
    </row>
    <row r="74" spans="1:122" x14ac:dyDescent="0.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c r="CJ74" s="10"/>
      <c r="CK74" s="10"/>
      <c r="CL74" s="10"/>
      <c r="CM74" s="10"/>
      <c r="CN74" s="10"/>
      <c r="CO74" s="10"/>
      <c r="CP74" s="10"/>
      <c r="CQ74" s="10"/>
      <c r="CR74" s="10"/>
      <c r="CS74" s="10"/>
      <c r="CT74" s="10"/>
      <c r="CU74" s="10"/>
      <c r="CV74" s="10"/>
      <c r="CW74" s="10"/>
      <c r="CX74" s="10"/>
      <c r="CY74" s="10"/>
      <c r="CZ74" s="10"/>
      <c r="DA74" s="10"/>
      <c r="DB74" s="10"/>
      <c r="DC74" s="10"/>
      <c r="DD74" s="10"/>
      <c r="DE74" s="10"/>
      <c r="DF74" s="10"/>
      <c r="DG74" s="10"/>
      <c r="DH74" s="10"/>
      <c r="DI74" s="10"/>
      <c r="DJ74" s="10"/>
      <c r="DK74" s="10"/>
      <c r="DL74" s="10"/>
      <c r="DM74" s="10"/>
      <c r="DN74" s="10"/>
      <c r="DO74" s="10"/>
      <c r="DP74" s="10"/>
      <c r="DQ74" s="10"/>
      <c r="DR74" s="10"/>
    </row>
    <row r="75" spans="1:122" x14ac:dyDescent="0.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c r="CW75" s="10"/>
      <c r="CX75" s="10"/>
      <c r="CY75" s="10"/>
      <c r="CZ75" s="10"/>
      <c r="DA75" s="10"/>
      <c r="DB75" s="10"/>
      <c r="DC75" s="10"/>
      <c r="DD75" s="10"/>
      <c r="DE75" s="10"/>
      <c r="DF75" s="10"/>
      <c r="DG75" s="10"/>
      <c r="DH75" s="10"/>
      <c r="DI75" s="10"/>
      <c r="DJ75" s="10"/>
      <c r="DK75" s="10"/>
      <c r="DL75" s="10"/>
      <c r="DM75" s="10"/>
      <c r="DN75" s="10"/>
      <c r="DO75" s="10"/>
      <c r="DP75" s="10"/>
      <c r="DQ75" s="10"/>
      <c r="DR75" s="10"/>
    </row>
    <row r="76" spans="1:122" x14ac:dyDescent="0.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c r="CJ76" s="10"/>
      <c r="CK76" s="10"/>
      <c r="CL76" s="10"/>
      <c r="CM76" s="10"/>
      <c r="CN76" s="10"/>
      <c r="CO76" s="10"/>
      <c r="CP76" s="10"/>
      <c r="CQ76" s="10"/>
      <c r="CR76" s="10"/>
      <c r="CS76" s="10"/>
      <c r="CT76" s="10"/>
      <c r="CU76" s="10"/>
      <c r="CV76" s="10"/>
      <c r="CW76" s="10"/>
      <c r="CX76" s="10"/>
      <c r="CY76" s="10"/>
      <c r="CZ76" s="10"/>
      <c r="DA76" s="10"/>
      <c r="DB76" s="10"/>
      <c r="DC76" s="10"/>
      <c r="DD76" s="10"/>
      <c r="DE76" s="10"/>
      <c r="DF76" s="10"/>
      <c r="DG76" s="10"/>
      <c r="DH76" s="10"/>
      <c r="DI76" s="10"/>
      <c r="DJ76" s="10"/>
      <c r="DK76" s="10"/>
      <c r="DL76" s="10"/>
      <c r="DM76" s="10"/>
      <c r="DN76" s="10"/>
      <c r="DO76" s="10"/>
      <c r="DP76" s="10"/>
      <c r="DQ76" s="10"/>
      <c r="DR76" s="10"/>
    </row>
    <row r="77" spans="1:122" x14ac:dyDescent="0.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0"/>
      <c r="CE77" s="10"/>
      <c r="CF77" s="10"/>
      <c r="CG77" s="10"/>
      <c r="CH77" s="10"/>
      <c r="CI77" s="10"/>
      <c r="CJ77" s="10"/>
      <c r="CK77" s="10"/>
      <c r="CL77" s="10"/>
      <c r="CM77" s="10"/>
      <c r="CN77" s="10"/>
      <c r="CO77" s="10"/>
      <c r="CP77" s="10"/>
      <c r="CQ77" s="10"/>
      <c r="CR77" s="10"/>
      <c r="CS77" s="10"/>
      <c r="CT77" s="10"/>
      <c r="CU77" s="10"/>
      <c r="CV77" s="10"/>
      <c r="CW77" s="10"/>
      <c r="CX77" s="10"/>
      <c r="CY77" s="10"/>
      <c r="CZ77" s="10"/>
      <c r="DA77" s="10"/>
      <c r="DB77" s="10"/>
      <c r="DC77" s="10"/>
      <c r="DD77" s="10"/>
      <c r="DE77" s="10"/>
      <c r="DF77" s="10"/>
      <c r="DG77" s="10"/>
      <c r="DH77" s="10"/>
      <c r="DI77" s="10"/>
      <c r="DJ77" s="10"/>
      <c r="DK77" s="10"/>
      <c r="DL77" s="10"/>
      <c r="DM77" s="10"/>
      <c r="DN77" s="10"/>
      <c r="DO77" s="10"/>
      <c r="DP77" s="10"/>
      <c r="DQ77" s="10"/>
      <c r="DR77" s="10"/>
    </row>
    <row r="78" spans="1:122" x14ac:dyDescent="0.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c r="CF78" s="10"/>
      <c r="CG78" s="10"/>
      <c r="CH78" s="10"/>
      <c r="CI78" s="10"/>
      <c r="CJ78" s="10"/>
      <c r="CK78" s="10"/>
      <c r="CL78" s="10"/>
      <c r="CM78" s="10"/>
      <c r="CN78" s="10"/>
      <c r="CO78" s="10"/>
      <c r="CP78" s="10"/>
      <c r="CQ78" s="10"/>
      <c r="CR78" s="10"/>
      <c r="CS78" s="10"/>
      <c r="CT78" s="10"/>
      <c r="CU78" s="10"/>
      <c r="CV78" s="10"/>
      <c r="CW78" s="10"/>
      <c r="CX78" s="10"/>
      <c r="CY78" s="10"/>
      <c r="CZ78" s="10"/>
      <c r="DA78" s="10"/>
      <c r="DB78" s="10"/>
      <c r="DC78" s="10"/>
      <c r="DD78" s="10"/>
      <c r="DE78" s="10"/>
      <c r="DF78" s="10"/>
      <c r="DG78" s="10"/>
      <c r="DH78" s="10"/>
      <c r="DI78" s="10"/>
      <c r="DJ78" s="10"/>
      <c r="DK78" s="10"/>
      <c r="DL78" s="10"/>
      <c r="DM78" s="10"/>
      <c r="DN78" s="10"/>
      <c r="DO78" s="10"/>
      <c r="DP78" s="10"/>
      <c r="DQ78" s="10"/>
      <c r="DR78" s="10"/>
    </row>
    <row r="79" spans="1:122" x14ac:dyDescent="0.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c r="BU79" s="10"/>
      <c r="BV79" s="10"/>
      <c r="BW79" s="10"/>
      <c r="BX79" s="10"/>
      <c r="BY79" s="10"/>
      <c r="BZ79" s="10"/>
      <c r="CA79" s="10"/>
      <c r="CB79" s="10"/>
      <c r="CC79" s="10"/>
      <c r="CD79" s="10"/>
      <c r="CE79" s="10"/>
      <c r="CF79" s="10"/>
      <c r="CG79" s="10"/>
      <c r="CH79" s="10"/>
      <c r="CI79" s="10"/>
      <c r="CJ79" s="10"/>
      <c r="CK79" s="10"/>
      <c r="CL79" s="10"/>
      <c r="CM79" s="10"/>
      <c r="CN79" s="10"/>
      <c r="CO79" s="10"/>
      <c r="CP79" s="10"/>
      <c r="CQ79" s="10"/>
      <c r="CR79" s="10"/>
      <c r="CS79" s="10"/>
      <c r="CT79" s="10"/>
      <c r="CU79" s="10"/>
      <c r="CV79" s="10"/>
      <c r="CW79" s="10"/>
      <c r="CX79" s="10"/>
      <c r="CY79" s="10"/>
      <c r="CZ79" s="10"/>
      <c r="DA79" s="10"/>
      <c r="DB79" s="10"/>
      <c r="DC79" s="10"/>
      <c r="DD79" s="10"/>
      <c r="DE79" s="10"/>
      <c r="DF79" s="10"/>
      <c r="DG79" s="10"/>
      <c r="DH79" s="10"/>
      <c r="DI79" s="10"/>
      <c r="DJ79" s="10"/>
      <c r="DK79" s="10"/>
      <c r="DL79" s="10"/>
      <c r="DM79" s="10"/>
      <c r="DN79" s="10"/>
      <c r="DO79" s="10"/>
      <c r="DP79" s="10"/>
      <c r="DQ79" s="10"/>
      <c r="DR79" s="10"/>
    </row>
    <row r="80" spans="1:122" x14ac:dyDescent="0.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c r="BU80" s="10"/>
      <c r="BV80" s="10"/>
      <c r="BW80" s="10"/>
      <c r="BX80" s="10"/>
      <c r="BY80" s="10"/>
      <c r="BZ80" s="10"/>
      <c r="CA80" s="10"/>
      <c r="CB80" s="10"/>
      <c r="CC80" s="10"/>
      <c r="CD80" s="10"/>
      <c r="CE80" s="10"/>
      <c r="CF80" s="10"/>
      <c r="CG80" s="10"/>
      <c r="CH80" s="10"/>
      <c r="CI80" s="10"/>
      <c r="CJ80" s="10"/>
      <c r="CK80" s="10"/>
      <c r="CL80" s="10"/>
      <c r="CM80" s="10"/>
      <c r="CN80" s="10"/>
      <c r="CO80" s="10"/>
      <c r="CP80" s="10"/>
      <c r="CQ80" s="10"/>
      <c r="CR80" s="10"/>
      <c r="CS80" s="10"/>
      <c r="CT80" s="10"/>
      <c r="CU80" s="10"/>
      <c r="CV80" s="10"/>
      <c r="CW80" s="10"/>
      <c r="CX80" s="10"/>
      <c r="CY80" s="10"/>
      <c r="CZ80" s="10"/>
      <c r="DA80" s="10"/>
      <c r="DB80" s="10"/>
      <c r="DC80" s="10"/>
      <c r="DD80" s="10"/>
      <c r="DE80" s="10"/>
      <c r="DF80" s="10"/>
      <c r="DG80" s="10"/>
      <c r="DH80" s="10"/>
      <c r="DI80" s="10"/>
      <c r="DJ80" s="10"/>
      <c r="DK80" s="10"/>
      <c r="DL80" s="10"/>
      <c r="DM80" s="10"/>
      <c r="DN80" s="10"/>
      <c r="DO80" s="10"/>
      <c r="DP80" s="10"/>
      <c r="DQ80" s="10"/>
      <c r="DR80" s="10"/>
    </row>
    <row r="81" spans="1:122" x14ac:dyDescent="0.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c r="BY81" s="10"/>
      <c r="BZ81" s="10"/>
      <c r="CA81" s="10"/>
      <c r="CB81" s="10"/>
      <c r="CC81" s="10"/>
      <c r="CD81" s="10"/>
      <c r="CE81" s="10"/>
      <c r="CF81" s="10"/>
      <c r="CG81" s="10"/>
      <c r="CH81" s="10"/>
      <c r="CI81" s="10"/>
      <c r="CJ81" s="10"/>
      <c r="CK81" s="10"/>
      <c r="CL81" s="10"/>
      <c r="CM81" s="10"/>
      <c r="CN81" s="10"/>
      <c r="CO81" s="10"/>
      <c r="CP81" s="10"/>
      <c r="CQ81" s="10"/>
      <c r="CR81" s="10"/>
      <c r="CS81" s="10"/>
      <c r="CT81" s="10"/>
      <c r="CU81" s="10"/>
      <c r="CV81" s="10"/>
      <c r="CW81" s="10"/>
      <c r="CX81" s="10"/>
      <c r="CY81" s="10"/>
      <c r="CZ81" s="10"/>
      <c r="DA81" s="10"/>
      <c r="DB81" s="10"/>
      <c r="DC81" s="10"/>
      <c r="DD81" s="10"/>
      <c r="DE81" s="10"/>
      <c r="DF81" s="10"/>
      <c r="DG81" s="10"/>
      <c r="DH81" s="10"/>
      <c r="DI81" s="10"/>
      <c r="DJ81" s="10"/>
      <c r="DK81" s="10"/>
      <c r="DL81" s="10"/>
      <c r="DM81" s="10"/>
      <c r="DN81" s="10"/>
      <c r="DO81" s="10"/>
      <c r="DP81" s="10"/>
      <c r="DQ81" s="10"/>
      <c r="DR81" s="10"/>
    </row>
    <row r="82" spans="1:122" x14ac:dyDescent="0.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c r="BR82" s="10"/>
      <c r="BS82" s="10"/>
      <c r="BT82" s="10"/>
      <c r="BU82" s="10"/>
      <c r="BV82" s="10"/>
      <c r="BW82" s="10"/>
      <c r="BX82" s="10"/>
      <c r="BY82" s="10"/>
      <c r="BZ82" s="10"/>
      <c r="CA82" s="10"/>
      <c r="CB82" s="10"/>
      <c r="CC82" s="10"/>
      <c r="CD82" s="10"/>
      <c r="CE82" s="10"/>
      <c r="CF82" s="10"/>
      <c r="CG82" s="10"/>
      <c r="CH82" s="10"/>
      <c r="CI82" s="10"/>
      <c r="CJ82" s="10"/>
      <c r="CK82" s="10"/>
      <c r="CL82" s="10"/>
      <c r="CM82" s="10"/>
      <c r="CN82" s="10"/>
      <c r="CO82" s="10"/>
      <c r="CP82" s="10"/>
      <c r="CQ82" s="10"/>
      <c r="CR82" s="10"/>
      <c r="CS82" s="10"/>
      <c r="CT82" s="10"/>
      <c r="CU82" s="10"/>
      <c r="CV82" s="10"/>
      <c r="CW82" s="10"/>
      <c r="CX82" s="10"/>
      <c r="CY82" s="10"/>
      <c r="CZ82" s="10"/>
      <c r="DA82" s="10"/>
      <c r="DB82" s="10"/>
      <c r="DC82" s="10"/>
      <c r="DD82" s="10"/>
      <c r="DE82" s="10"/>
      <c r="DF82" s="10"/>
      <c r="DG82" s="10"/>
      <c r="DH82" s="10"/>
      <c r="DI82" s="10"/>
      <c r="DJ82" s="10"/>
      <c r="DK82" s="10"/>
      <c r="DL82" s="10"/>
      <c r="DM82" s="10"/>
      <c r="DN82" s="10"/>
      <c r="DO82" s="10"/>
      <c r="DP82" s="10"/>
      <c r="DQ82" s="10"/>
      <c r="DR82" s="10"/>
    </row>
    <row r="83" spans="1:122" x14ac:dyDescent="0.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c r="BU83" s="10"/>
      <c r="BV83" s="10"/>
      <c r="BW83" s="10"/>
      <c r="BX83" s="10"/>
      <c r="BY83" s="10"/>
      <c r="BZ83" s="10"/>
      <c r="CA83" s="10"/>
      <c r="CB83" s="10"/>
      <c r="CC83" s="10"/>
      <c r="CD83" s="10"/>
      <c r="CE83" s="10"/>
      <c r="CF83" s="10"/>
      <c r="CG83" s="10"/>
      <c r="CH83" s="10"/>
      <c r="CI83" s="10"/>
      <c r="CJ83" s="10"/>
      <c r="CK83" s="10"/>
      <c r="CL83" s="10"/>
      <c r="CM83" s="10"/>
      <c r="CN83" s="10"/>
      <c r="CO83" s="10"/>
      <c r="CP83" s="10"/>
      <c r="CQ83" s="10"/>
      <c r="CR83" s="10"/>
      <c r="CS83" s="10"/>
      <c r="CT83" s="10"/>
      <c r="CU83" s="10"/>
      <c r="CV83" s="10"/>
      <c r="CW83" s="10"/>
      <c r="CX83" s="10"/>
      <c r="CY83" s="10"/>
      <c r="CZ83" s="10"/>
      <c r="DA83" s="10"/>
      <c r="DB83" s="10"/>
      <c r="DC83" s="10"/>
      <c r="DD83" s="10"/>
      <c r="DE83" s="10"/>
      <c r="DF83" s="10"/>
      <c r="DG83" s="10"/>
      <c r="DH83" s="10"/>
      <c r="DI83" s="10"/>
      <c r="DJ83" s="10"/>
      <c r="DK83" s="10"/>
      <c r="DL83" s="10"/>
      <c r="DM83" s="10"/>
      <c r="DN83" s="10"/>
      <c r="DO83" s="10"/>
      <c r="DP83" s="10"/>
      <c r="DQ83" s="10"/>
      <c r="DR83" s="10"/>
    </row>
    <row r="84" spans="1:122" x14ac:dyDescent="0.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c r="BR84" s="10"/>
      <c r="BS84" s="10"/>
      <c r="BT84" s="10"/>
      <c r="BU84" s="10"/>
      <c r="BV84" s="10"/>
      <c r="BW84" s="10"/>
      <c r="BX84" s="10"/>
      <c r="BY84" s="10"/>
      <c r="BZ84" s="10"/>
      <c r="CA84" s="10"/>
      <c r="CB84" s="10"/>
      <c r="CC84" s="10"/>
      <c r="CD84" s="10"/>
      <c r="CE84" s="10"/>
      <c r="CF84" s="10"/>
      <c r="CG84" s="10"/>
      <c r="CH84" s="10"/>
      <c r="CI84" s="10"/>
      <c r="CJ84" s="10"/>
      <c r="CK84" s="10"/>
      <c r="CL84" s="10"/>
      <c r="CM84" s="10"/>
      <c r="CN84" s="10"/>
      <c r="CO84" s="10"/>
      <c r="CP84" s="10"/>
      <c r="CQ84" s="10"/>
      <c r="CR84" s="10"/>
      <c r="CS84" s="10"/>
      <c r="CT84" s="10"/>
      <c r="CU84" s="10"/>
      <c r="CV84" s="10"/>
      <c r="CW84" s="10"/>
      <c r="CX84" s="10"/>
      <c r="CY84" s="10"/>
      <c r="CZ84" s="10"/>
      <c r="DA84" s="10"/>
      <c r="DB84" s="10"/>
      <c r="DC84" s="10"/>
      <c r="DD84" s="10"/>
      <c r="DE84" s="10"/>
      <c r="DF84" s="10"/>
      <c r="DG84" s="10"/>
      <c r="DH84" s="10"/>
      <c r="DI84" s="10"/>
      <c r="DJ84" s="10"/>
      <c r="DK84" s="10"/>
      <c r="DL84" s="10"/>
      <c r="DM84" s="10"/>
      <c r="DN84" s="10"/>
      <c r="DO84" s="10"/>
      <c r="DP84" s="10"/>
      <c r="DQ84" s="10"/>
      <c r="DR84" s="10"/>
    </row>
    <row r="85" spans="1:122" x14ac:dyDescent="0.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c r="BU85" s="10"/>
      <c r="BV85" s="10"/>
      <c r="BW85" s="10"/>
      <c r="BX85" s="10"/>
      <c r="BY85" s="10"/>
      <c r="BZ85" s="10"/>
      <c r="CA85" s="10"/>
      <c r="CB85" s="10"/>
      <c r="CC85" s="10"/>
      <c r="CD85" s="10"/>
      <c r="CE85" s="10"/>
      <c r="CF85" s="10"/>
      <c r="CG85" s="10"/>
      <c r="CH85" s="10"/>
      <c r="CI85" s="10"/>
      <c r="CJ85" s="10"/>
      <c r="CK85" s="10"/>
      <c r="CL85" s="10"/>
      <c r="CM85" s="10"/>
      <c r="CN85" s="10"/>
      <c r="CO85" s="10"/>
      <c r="CP85" s="10"/>
      <c r="CQ85" s="10"/>
      <c r="CR85" s="10"/>
      <c r="CS85" s="10"/>
      <c r="CT85" s="10"/>
      <c r="CU85" s="10"/>
      <c r="CV85" s="10"/>
      <c r="CW85" s="10"/>
      <c r="CX85" s="10"/>
      <c r="CY85" s="10"/>
      <c r="CZ85" s="10"/>
      <c r="DA85" s="10"/>
      <c r="DB85" s="10"/>
      <c r="DC85" s="10"/>
      <c r="DD85" s="10"/>
      <c r="DE85" s="10"/>
      <c r="DF85" s="10"/>
      <c r="DG85" s="10"/>
      <c r="DH85" s="10"/>
      <c r="DI85" s="10"/>
      <c r="DJ85" s="10"/>
      <c r="DK85" s="10"/>
      <c r="DL85" s="10"/>
      <c r="DM85" s="10"/>
      <c r="DN85" s="10"/>
      <c r="DO85" s="10"/>
      <c r="DP85" s="10"/>
      <c r="DQ85" s="10"/>
      <c r="DR85" s="10"/>
    </row>
    <row r="86" spans="1:122" x14ac:dyDescent="0.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c r="BQ86" s="10"/>
      <c r="BR86" s="10"/>
      <c r="BS86" s="10"/>
      <c r="BT86" s="10"/>
      <c r="BU86" s="10"/>
      <c r="BV86" s="10"/>
      <c r="BW86" s="10"/>
      <c r="BX86" s="10"/>
      <c r="BY86" s="10"/>
      <c r="BZ86" s="10"/>
      <c r="CA86" s="10"/>
      <c r="CB86" s="10"/>
      <c r="CC86" s="10"/>
      <c r="CD86" s="10"/>
      <c r="CE86" s="10"/>
      <c r="CF86" s="10"/>
      <c r="CG86" s="10"/>
      <c r="CH86" s="10"/>
      <c r="CI86" s="10"/>
      <c r="CJ86" s="10"/>
      <c r="CK86" s="10"/>
      <c r="CL86" s="10"/>
      <c r="CM86" s="10"/>
      <c r="CN86" s="10"/>
      <c r="CO86" s="10"/>
      <c r="CP86" s="10"/>
      <c r="CQ86" s="10"/>
      <c r="CR86" s="10"/>
      <c r="CS86" s="10"/>
      <c r="CT86" s="10"/>
      <c r="CU86" s="10"/>
      <c r="CV86" s="10"/>
      <c r="CW86" s="10"/>
      <c r="CX86" s="10"/>
      <c r="CY86" s="10"/>
      <c r="CZ86" s="10"/>
      <c r="DA86" s="10"/>
      <c r="DB86" s="10"/>
      <c r="DC86" s="10"/>
      <c r="DD86" s="10"/>
      <c r="DE86" s="10"/>
      <c r="DF86" s="10"/>
      <c r="DG86" s="10"/>
      <c r="DH86" s="10"/>
      <c r="DI86" s="10"/>
      <c r="DJ86" s="10"/>
      <c r="DK86" s="10"/>
      <c r="DL86" s="10"/>
      <c r="DM86" s="10"/>
      <c r="DN86" s="10"/>
      <c r="DO86" s="10"/>
      <c r="DP86" s="10"/>
      <c r="DQ86" s="10"/>
      <c r="DR86" s="10"/>
    </row>
    <row r="87" spans="1:122" x14ac:dyDescent="0.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c r="BR87" s="10"/>
      <c r="BS87" s="10"/>
      <c r="BT87" s="10"/>
      <c r="BU87" s="10"/>
      <c r="BV87" s="10"/>
      <c r="BW87" s="10"/>
      <c r="BX87" s="10"/>
      <c r="BY87" s="10"/>
      <c r="BZ87" s="10"/>
      <c r="CA87" s="10"/>
      <c r="CB87" s="10"/>
      <c r="CC87" s="10"/>
      <c r="CD87" s="10"/>
      <c r="CE87" s="10"/>
      <c r="CF87" s="10"/>
      <c r="CG87" s="10"/>
      <c r="CH87" s="10"/>
      <c r="CI87" s="10"/>
      <c r="CJ87" s="10"/>
      <c r="CK87" s="10"/>
      <c r="CL87" s="10"/>
      <c r="CM87" s="10"/>
      <c r="CN87" s="10"/>
      <c r="CO87" s="10"/>
      <c r="CP87" s="10"/>
      <c r="CQ87" s="10"/>
      <c r="CR87" s="10"/>
      <c r="CS87" s="10"/>
      <c r="CT87" s="10"/>
      <c r="CU87" s="10"/>
      <c r="CV87" s="10"/>
      <c r="CW87" s="10"/>
      <c r="CX87" s="10"/>
      <c r="CY87" s="10"/>
      <c r="CZ87" s="10"/>
      <c r="DA87" s="10"/>
      <c r="DB87" s="10"/>
      <c r="DC87" s="10"/>
      <c r="DD87" s="10"/>
      <c r="DE87" s="10"/>
      <c r="DF87" s="10"/>
      <c r="DG87" s="10"/>
      <c r="DH87" s="10"/>
      <c r="DI87" s="10"/>
      <c r="DJ87" s="10"/>
      <c r="DK87" s="10"/>
      <c r="DL87" s="10"/>
      <c r="DM87" s="10"/>
      <c r="DN87" s="10"/>
      <c r="DO87" s="10"/>
      <c r="DP87" s="10"/>
      <c r="DQ87" s="10"/>
      <c r="DR87" s="10"/>
    </row>
    <row r="88" spans="1:122" x14ac:dyDescent="0.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c r="BP88" s="10"/>
      <c r="BQ88" s="10"/>
      <c r="BR88" s="10"/>
      <c r="BS88" s="10"/>
      <c r="BT88" s="10"/>
      <c r="BU88" s="10"/>
      <c r="BV88" s="10"/>
      <c r="BW88" s="10"/>
      <c r="BX88" s="10"/>
      <c r="BY88" s="10"/>
      <c r="BZ88" s="10"/>
      <c r="CA88" s="10"/>
      <c r="CB88" s="10"/>
      <c r="CC88" s="10"/>
      <c r="CD88" s="10"/>
      <c r="CE88" s="10"/>
      <c r="CF88" s="10"/>
      <c r="CG88" s="10"/>
      <c r="CH88" s="10"/>
      <c r="CI88" s="10"/>
      <c r="CJ88" s="10"/>
      <c r="CK88" s="10"/>
      <c r="CL88" s="10"/>
      <c r="CM88" s="10"/>
      <c r="CN88" s="10"/>
      <c r="CO88" s="10"/>
      <c r="CP88" s="10"/>
      <c r="CQ88" s="10"/>
      <c r="CR88" s="10"/>
      <c r="CS88" s="10"/>
      <c r="CT88" s="10"/>
      <c r="CU88" s="10"/>
      <c r="CV88" s="10"/>
      <c r="CW88" s="10"/>
      <c r="CX88" s="10"/>
      <c r="CY88" s="10"/>
      <c r="CZ88" s="10"/>
      <c r="DA88" s="10"/>
      <c r="DB88" s="10"/>
      <c r="DC88" s="10"/>
      <c r="DD88" s="10"/>
      <c r="DE88" s="10"/>
      <c r="DF88" s="10"/>
      <c r="DG88" s="10"/>
      <c r="DH88" s="10"/>
      <c r="DI88" s="10"/>
      <c r="DJ88" s="10"/>
      <c r="DK88" s="10"/>
      <c r="DL88" s="10"/>
      <c r="DM88" s="10"/>
      <c r="DN88" s="10"/>
      <c r="DO88" s="10"/>
      <c r="DP88" s="10"/>
      <c r="DQ88" s="10"/>
      <c r="DR88" s="10"/>
    </row>
    <row r="89" spans="1:122" x14ac:dyDescent="0.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c r="BQ89" s="10"/>
      <c r="BR89" s="10"/>
      <c r="BS89" s="10"/>
      <c r="BT89" s="10"/>
      <c r="BU89" s="10"/>
      <c r="BV89" s="10"/>
      <c r="BW89" s="10"/>
      <c r="BX89" s="10"/>
      <c r="BY89" s="10"/>
      <c r="BZ89" s="10"/>
      <c r="CA89" s="10"/>
      <c r="CB89" s="10"/>
      <c r="CC89" s="10"/>
      <c r="CD89" s="10"/>
      <c r="CE89" s="10"/>
      <c r="CF89" s="10"/>
      <c r="CG89" s="10"/>
      <c r="CH89" s="10"/>
      <c r="CI89" s="10"/>
      <c r="CJ89" s="10"/>
      <c r="CK89" s="10"/>
      <c r="CL89" s="10"/>
      <c r="CM89" s="10"/>
      <c r="CN89" s="10"/>
      <c r="CO89" s="10"/>
      <c r="CP89" s="10"/>
      <c r="CQ89" s="10"/>
      <c r="CR89" s="10"/>
      <c r="CS89" s="10"/>
      <c r="CT89" s="10"/>
      <c r="CU89" s="10"/>
      <c r="CV89" s="10"/>
      <c r="CW89" s="10"/>
      <c r="CX89" s="10"/>
      <c r="CY89" s="10"/>
      <c r="CZ89" s="10"/>
      <c r="DA89" s="10"/>
      <c r="DB89" s="10"/>
      <c r="DC89" s="10"/>
      <c r="DD89" s="10"/>
      <c r="DE89" s="10"/>
      <c r="DF89" s="10"/>
      <c r="DG89" s="10"/>
      <c r="DH89" s="10"/>
      <c r="DI89" s="10"/>
      <c r="DJ89" s="10"/>
      <c r="DK89" s="10"/>
      <c r="DL89" s="10"/>
      <c r="DM89" s="10"/>
      <c r="DN89" s="10"/>
      <c r="DO89" s="10"/>
      <c r="DP89" s="10"/>
      <c r="DQ89" s="10"/>
      <c r="DR89" s="10"/>
    </row>
    <row r="90" spans="1:122" x14ac:dyDescent="0.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c r="BQ90" s="10"/>
      <c r="BR90" s="10"/>
      <c r="BS90" s="10"/>
      <c r="BT90" s="10"/>
      <c r="BU90" s="10"/>
      <c r="BV90" s="10"/>
      <c r="BW90" s="10"/>
      <c r="BX90" s="10"/>
      <c r="BY90" s="10"/>
      <c r="BZ90" s="10"/>
      <c r="CA90" s="10"/>
      <c r="CB90" s="10"/>
      <c r="CC90" s="10"/>
      <c r="CD90" s="10"/>
      <c r="CE90" s="10"/>
      <c r="CF90" s="10"/>
      <c r="CG90" s="10"/>
      <c r="CH90" s="10"/>
      <c r="CI90" s="10"/>
      <c r="CJ90" s="10"/>
      <c r="CK90" s="10"/>
      <c r="CL90" s="10"/>
      <c r="CM90" s="10"/>
      <c r="CN90" s="10"/>
      <c r="CO90" s="10"/>
      <c r="CP90" s="10"/>
      <c r="CQ90" s="10"/>
      <c r="CR90" s="10"/>
      <c r="CS90" s="10"/>
      <c r="CT90" s="10"/>
      <c r="CU90" s="10"/>
      <c r="CV90" s="10"/>
      <c r="CW90" s="10"/>
      <c r="CX90" s="10"/>
      <c r="CY90" s="10"/>
      <c r="CZ90" s="10"/>
      <c r="DA90" s="10"/>
      <c r="DB90" s="10"/>
      <c r="DC90" s="10"/>
      <c r="DD90" s="10"/>
      <c r="DE90" s="10"/>
      <c r="DF90" s="10"/>
      <c r="DG90" s="10"/>
      <c r="DH90" s="10"/>
      <c r="DI90" s="10"/>
      <c r="DJ90" s="10"/>
      <c r="DK90" s="10"/>
      <c r="DL90" s="10"/>
      <c r="DM90" s="10"/>
      <c r="DN90" s="10"/>
      <c r="DO90" s="10"/>
      <c r="DP90" s="10"/>
      <c r="DQ90" s="10"/>
      <c r="DR90" s="10"/>
    </row>
    <row r="91" spans="1:122" x14ac:dyDescent="0.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c r="BQ91" s="10"/>
      <c r="BR91" s="10"/>
      <c r="BS91" s="10"/>
      <c r="BT91" s="10"/>
      <c r="BU91" s="10"/>
      <c r="BV91" s="10"/>
      <c r="BW91" s="10"/>
      <c r="BX91" s="10"/>
      <c r="BY91" s="10"/>
      <c r="BZ91" s="10"/>
      <c r="CA91" s="10"/>
      <c r="CB91" s="10"/>
      <c r="CC91" s="10"/>
      <c r="CD91" s="10"/>
      <c r="CE91" s="10"/>
      <c r="CF91" s="10"/>
      <c r="CG91" s="10"/>
      <c r="CH91" s="10"/>
      <c r="CI91" s="10"/>
      <c r="CJ91" s="10"/>
      <c r="CK91" s="10"/>
      <c r="CL91" s="10"/>
      <c r="CM91" s="10"/>
      <c r="CN91" s="10"/>
      <c r="CO91" s="10"/>
      <c r="CP91" s="10"/>
      <c r="CQ91" s="10"/>
      <c r="CR91" s="10"/>
      <c r="CS91" s="10"/>
      <c r="CT91" s="10"/>
      <c r="CU91" s="10"/>
      <c r="CV91" s="10"/>
      <c r="CW91" s="10"/>
      <c r="CX91" s="10"/>
      <c r="CY91" s="10"/>
      <c r="CZ91" s="10"/>
      <c r="DA91" s="10"/>
      <c r="DB91" s="10"/>
      <c r="DC91" s="10"/>
      <c r="DD91" s="10"/>
      <c r="DE91" s="10"/>
      <c r="DF91" s="10"/>
      <c r="DG91" s="10"/>
      <c r="DH91" s="10"/>
      <c r="DI91" s="10"/>
      <c r="DJ91" s="10"/>
      <c r="DK91" s="10"/>
      <c r="DL91" s="10"/>
      <c r="DM91" s="10"/>
      <c r="DN91" s="10"/>
      <c r="DO91" s="10"/>
      <c r="DP91" s="10"/>
      <c r="DQ91" s="10"/>
      <c r="DR91" s="10"/>
    </row>
    <row r="92" spans="1:122" x14ac:dyDescent="0.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c r="BR92" s="10"/>
      <c r="BS92" s="10"/>
      <c r="BT92" s="10"/>
      <c r="BU92" s="10"/>
      <c r="BV92" s="10"/>
      <c r="BW92" s="10"/>
      <c r="BX92" s="10"/>
      <c r="BY92" s="10"/>
      <c r="BZ92" s="10"/>
      <c r="CA92" s="10"/>
      <c r="CB92" s="10"/>
      <c r="CC92" s="10"/>
      <c r="CD92" s="10"/>
      <c r="CE92" s="10"/>
      <c r="CF92" s="10"/>
      <c r="CG92" s="10"/>
      <c r="CH92" s="10"/>
      <c r="CI92" s="10"/>
      <c r="CJ92" s="10"/>
      <c r="CK92" s="10"/>
      <c r="CL92" s="10"/>
      <c r="CM92" s="10"/>
      <c r="CN92" s="10"/>
      <c r="CO92" s="10"/>
      <c r="CP92" s="10"/>
      <c r="CQ92" s="10"/>
      <c r="CR92" s="10"/>
      <c r="CS92" s="10"/>
      <c r="CT92" s="10"/>
      <c r="CU92" s="10"/>
      <c r="CV92" s="10"/>
      <c r="CW92" s="10"/>
      <c r="CX92" s="10"/>
      <c r="CY92" s="10"/>
      <c r="CZ92" s="10"/>
      <c r="DA92" s="10"/>
      <c r="DB92" s="10"/>
      <c r="DC92" s="10"/>
      <c r="DD92" s="10"/>
      <c r="DE92" s="10"/>
      <c r="DF92" s="10"/>
      <c r="DG92" s="10"/>
      <c r="DH92" s="10"/>
      <c r="DI92" s="10"/>
      <c r="DJ92" s="10"/>
      <c r="DK92" s="10"/>
      <c r="DL92" s="10"/>
      <c r="DM92" s="10"/>
      <c r="DN92" s="10"/>
      <c r="DO92" s="10"/>
      <c r="DP92" s="10"/>
      <c r="DQ92" s="10"/>
      <c r="DR92" s="10"/>
    </row>
    <row r="93" spans="1:122" x14ac:dyDescent="0.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c r="BR93" s="10"/>
      <c r="BS93" s="10"/>
      <c r="BT93" s="10"/>
      <c r="BU93" s="10"/>
      <c r="BV93" s="10"/>
      <c r="BW93" s="10"/>
      <c r="BX93" s="10"/>
      <c r="BY93" s="10"/>
      <c r="BZ93" s="10"/>
      <c r="CA93" s="10"/>
      <c r="CB93" s="10"/>
      <c r="CC93" s="10"/>
      <c r="CD93" s="10"/>
      <c r="CE93" s="10"/>
      <c r="CF93" s="10"/>
      <c r="CG93" s="10"/>
      <c r="CH93" s="10"/>
      <c r="CI93" s="10"/>
      <c r="CJ93" s="10"/>
      <c r="CK93" s="10"/>
      <c r="CL93" s="10"/>
      <c r="CM93" s="10"/>
      <c r="CN93" s="10"/>
      <c r="CO93" s="10"/>
      <c r="CP93" s="10"/>
      <c r="CQ93" s="10"/>
      <c r="CR93" s="10"/>
      <c r="CS93" s="10"/>
      <c r="CT93" s="10"/>
      <c r="CU93" s="10"/>
      <c r="CV93" s="10"/>
      <c r="CW93" s="10"/>
      <c r="CX93" s="10"/>
      <c r="CY93" s="10"/>
      <c r="CZ93" s="10"/>
      <c r="DA93" s="10"/>
      <c r="DB93" s="10"/>
      <c r="DC93" s="10"/>
      <c r="DD93" s="10"/>
      <c r="DE93" s="10"/>
      <c r="DF93" s="10"/>
      <c r="DG93" s="10"/>
      <c r="DH93" s="10"/>
      <c r="DI93" s="10"/>
      <c r="DJ93" s="10"/>
      <c r="DK93" s="10"/>
      <c r="DL93" s="10"/>
      <c r="DM93" s="10"/>
      <c r="DN93" s="10"/>
      <c r="DO93" s="10"/>
      <c r="DP93" s="10"/>
      <c r="DQ93" s="10"/>
      <c r="DR93" s="10"/>
    </row>
    <row r="94" spans="1:122" x14ac:dyDescent="0.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c r="BR94" s="10"/>
      <c r="BS94" s="10"/>
      <c r="BT94" s="10"/>
      <c r="BU94" s="10"/>
      <c r="BV94" s="10"/>
      <c r="BW94" s="10"/>
      <c r="BX94" s="10"/>
      <c r="BY94" s="10"/>
      <c r="BZ94" s="10"/>
      <c r="CA94" s="10"/>
      <c r="CB94" s="10"/>
      <c r="CC94" s="10"/>
      <c r="CD94" s="10"/>
      <c r="CE94" s="10"/>
      <c r="CF94" s="10"/>
      <c r="CG94" s="10"/>
      <c r="CH94" s="10"/>
      <c r="CI94" s="10"/>
      <c r="CJ94" s="10"/>
      <c r="CK94" s="10"/>
      <c r="CL94" s="10"/>
      <c r="CM94" s="10"/>
      <c r="CN94" s="10"/>
      <c r="CO94" s="10"/>
      <c r="CP94" s="10"/>
      <c r="CQ94" s="10"/>
      <c r="CR94" s="10"/>
      <c r="CS94" s="10"/>
      <c r="CT94" s="10"/>
      <c r="CU94" s="10"/>
      <c r="CV94" s="10"/>
      <c r="CW94" s="10"/>
      <c r="CX94" s="10"/>
      <c r="CY94" s="10"/>
      <c r="CZ94" s="10"/>
      <c r="DA94" s="10"/>
      <c r="DB94" s="10"/>
      <c r="DC94" s="10"/>
      <c r="DD94" s="10"/>
      <c r="DE94" s="10"/>
      <c r="DF94" s="10"/>
      <c r="DG94" s="10"/>
      <c r="DH94" s="10"/>
      <c r="DI94" s="10"/>
      <c r="DJ94" s="10"/>
      <c r="DK94" s="10"/>
      <c r="DL94" s="10"/>
      <c r="DM94" s="10"/>
      <c r="DN94" s="10"/>
      <c r="DO94" s="10"/>
      <c r="DP94" s="10"/>
      <c r="DQ94" s="10"/>
      <c r="DR94" s="10"/>
    </row>
    <row r="95" spans="1:122" x14ac:dyDescent="0.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c r="BQ95" s="10"/>
      <c r="BR95" s="10"/>
      <c r="BS95" s="10"/>
      <c r="BT95" s="10"/>
      <c r="BU95" s="10"/>
      <c r="BV95" s="10"/>
      <c r="BW95" s="10"/>
      <c r="BX95" s="10"/>
      <c r="BY95" s="10"/>
      <c r="BZ95" s="10"/>
      <c r="CA95" s="10"/>
      <c r="CB95" s="10"/>
      <c r="CC95" s="10"/>
      <c r="CD95" s="10"/>
      <c r="CE95" s="10"/>
      <c r="CF95" s="10"/>
      <c r="CG95" s="10"/>
      <c r="CH95" s="10"/>
      <c r="CI95" s="10"/>
      <c r="CJ95" s="10"/>
      <c r="CK95" s="10"/>
      <c r="CL95" s="10"/>
      <c r="CM95" s="10"/>
      <c r="CN95" s="10"/>
      <c r="CO95" s="10"/>
      <c r="CP95" s="10"/>
      <c r="CQ95" s="10"/>
      <c r="CR95" s="10"/>
      <c r="CS95" s="10"/>
      <c r="CT95" s="10"/>
      <c r="CU95" s="10"/>
      <c r="CV95" s="10"/>
      <c r="CW95" s="10"/>
      <c r="CX95" s="10"/>
      <c r="CY95" s="10"/>
      <c r="CZ95" s="10"/>
      <c r="DA95" s="10"/>
      <c r="DB95" s="10"/>
      <c r="DC95" s="10"/>
      <c r="DD95" s="10"/>
      <c r="DE95" s="10"/>
      <c r="DF95" s="10"/>
      <c r="DG95" s="10"/>
      <c r="DH95" s="10"/>
      <c r="DI95" s="10"/>
      <c r="DJ95" s="10"/>
      <c r="DK95" s="10"/>
      <c r="DL95" s="10"/>
      <c r="DM95" s="10"/>
      <c r="DN95" s="10"/>
      <c r="DO95" s="10"/>
      <c r="DP95" s="10"/>
      <c r="DQ95" s="10"/>
      <c r="DR95" s="10"/>
    </row>
    <row r="96" spans="1:122" x14ac:dyDescent="0.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c r="BQ96" s="10"/>
      <c r="BR96" s="10"/>
      <c r="BS96" s="10"/>
      <c r="BT96" s="10"/>
      <c r="BU96" s="10"/>
      <c r="BV96" s="10"/>
      <c r="BW96" s="10"/>
      <c r="BX96" s="10"/>
      <c r="BY96" s="10"/>
      <c r="BZ96" s="10"/>
      <c r="CA96" s="10"/>
      <c r="CB96" s="10"/>
      <c r="CC96" s="10"/>
      <c r="CD96" s="10"/>
      <c r="CE96" s="10"/>
      <c r="CF96" s="10"/>
      <c r="CG96" s="10"/>
      <c r="CH96" s="10"/>
      <c r="CI96" s="10"/>
      <c r="CJ96" s="10"/>
      <c r="CK96" s="10"/>
      <c r="CL96" s="10"/>
      <c r="CM96" s="10"/>
      <c r="CN96" s="10"/>
      <c r="CO96" s="10"/>
      <c r="CP96" s="10"/>
      <c r="CQ96" s="10"/>
      <c r="CR96" s="10"/>
      <c r="CS96" s="10"/>
      <c r="CT96" s="10"/>
      <c r="CU96" s="10"/>
      <c r="CV96" s="10"/>
      <c r="CW96" s="10"/>
      <c r="CX96" s="10"/>
      <c r="CY96" s="10"/>
      <c r="CZ96" s="10"/>
      <c r="DA96" s="10"/>
      <c r="DB96" s="10"/>
      <c r="DC96" s="10"/>
      <c r="DD96" s="10"/>
      <c r="DE96" s="10"/>
      <c r="DF96" s="10"/>
      <c r="DG96" s="10"/>
      <c r="DH96" s="10"/>
      <c r="DI96" s="10"/>
      <c r="DJ96" s="10"/>
      <c r="DK96" s="10"/>
      <c r="DL96" s="10"/>
      <c r="DM96" s="10"/>
      <c r="DN96" s="10"/>
      <c r="DO96" s="10"/>
      <c r="DP96" s="10"/>
      <c r="DQ96" s="10"/>
      <c r="DR96" s="10"/>
    </row>
    <row r="97" spans="1:122" x14ac:dyDescent="0.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c r="BQ97" s="10"/>
      <c r="BR97" s="10"/>
      <c r="BS97" s="10"/>
      <c r="BT97" s="10"/>
      <c r="BU97" s="10"/>
      <c r="BV97" s="10"/>
      <c r="BW97" s="10"/>
      <c r="BX97" s="10"/>
      <c r="BY97" s="10"/>
      <c r="BZ97" s="10"/>
      <c r="CA97" s="10"/>
      <c r="CB97" s="10"/>
      <c r="CC97" s="10"/>
      <c r="CD97" s="10"/>
      <c r="CE97" s="10"/>
      <c r="CF97" s="10"/>
      <c r="CG97" s="10"/>
      <c r="CH97" s="10"/>
      <c r="CI97" s="10"/>
      <c r="CJ97" s="10"/>
      <c r="CK97" s="10"/>
      <c r="CL97" s="10"/>
      <c r="CM97" s="10"/>
      <c r="CN97" s="10"/>
      <c r="CO97" s="10"/>
      <c r="CP97" s="10"/>
      <c r="CQ97" s="10"/>
      <c r="CR97" s="10"/>
      <c r="CS97" s="10"/>
      <c r="CT97" s="10"/>
      <c r="CU97" s="10"/>
      <c r="CV97" s="10"/>
      <c r="CW97" s="10"/>
      <c r="CX97" s="10"/>
      <c r="CY97" s="10"/>
      <c r="CZ97" s="10"/>
      <c r="DA97" s="10"/>
      <c r="DB97" s="10"/>
      <c r="DC97" s="10"/>
      <c r="DD97" s="10"/>
      <c r="DE97" s="10"/>
      <c r="DF97" s="10"/>
      <c r="DG97" s="10"/>
      <c r="DH97" s="10"/>
      <c r="DI97" s="10"/>
      <c r="DJ97" s="10"/>
      <c r="DK97" s="10"/>
      <c r="DL97" s="10"/>
      <c r="DM97" s="10"/>
      <c r="DN97" s="10"/>
      <c r="DO97" s="10"/>
      <c r="DP97" s="10"/>
      <c r="DQ97" s="10"/>
      <c r="DR97" s="10"/>
    </row>
    <row r="98" spans="1:122" x14ac:dyDescent="0.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10"/>
      <c r="CN98" s="10"/>
      <c r="CO98" s="10"/>
      <c r="CP98" s="10"/>
      <c r="CQ98" s="10"/>
      <c r="CR98" s="10"/>
      <c r="CS98" s="10"/>
      <c r="CT98" s="10"/>
      <c r="CU98" s="10"/>
      <c r="CV98" s="10"/>
      <c r="CW98" s="10"/>
      <c r="CX98" s="10"/>
      <c r="CY98" s="10"/>
      <c r="CZ98" s="10"/>
      <c r="DA98" s="10"/>
      <c r="DB98" s="10"/>
      <c r="DC98" s="10"/>
      <c r="DD98" s="10"/>
      <c r="DE98" s="10"/>
      <c r="DF98" s="10"/>
      <c r="DG98" s="10"/>
      <c r="DH98" s="10"/>
      <c r="DI98" s="10"/>
      <c r="DJ98" s="10"/>
      <c r="DK98" s="10"/>
      <c r="DL98" s="10"/>
      <c r="DM98" s="10"/>
      <c r="DN98" s="10"/>
      <c r="DO98" s="10"/>
      <c r="DP98" s="10"/>
      <c r="DQ98" s="10"/>
      <c r="DR98" s="10"/>
    </row>
    <row r="99" spans="1:122" x14ac:dyDescent="0.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c r="CW99" s="10"/>
      <c r="CX99" s="10"/>
      <c r="CY99" s="10"/>
      <c r="CZ99" s="10"/>
      <c r="DA99" s="10"/>
      <c r="DB99" s="10"/>
      <c r="DC99" s="10"/>
      <c r="DD99" s="10"/>
      <c r="DE99" s="10"/>
      <c r="DF99" s="10"/>
      <c r="DG99" s="10"/>
      <c r="DH99" s="10"/>
      <c r="DI99" s="10"/>
      <c r="DJ99" s="10"/>
      <c r="DK99" s="10"/>
      <c r="DL99" s="10"/>
      <c r="DM99" s="10"/>
      <c r="DN99" s="10"/>
      <c r="DO99" s="10"/>
      <c r="DP99" s="10"/>
      <c r="DQ99" s="10"/>
      <c r="DR99" s="10"/>
    </row>
    <row r="100" spans="1:122" x14ac:dyDescent="0.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row>
    <row r="101" spans="1:122" x14ac:dyDescent="0.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c r="CW101" s="10"/>
      <c r="CX101" s="10"/>
      <c r="CY101" s="10"/>
      <c r="CZ101" s="10"/>
      <c r="DA101" s="10"/>
      <c r="DB101" s="10"/>
      <c r="DC101" s="10"/>
      <c r="DD101" s="10"/>
      <c r="DE101" s="10"/>
      <c r="DF101" s="10"/>
      <c r="DG101" s="10"/>
      <c r="DH101" s="10"/>
      <c r="DI101" s="10"/>
      <c r="DJ101" s="10"/>
      <c r="DK101" s="10"/>
      <c r="DL101" s="10"/>
      <c r="DM101" s="10"/>
      <c r="DN101" s="10"/>
      <c r="DO101" s="10"/>
      <c r="DP101" s="10"/>
      <c r="DQ101" s="10"/>
      <c r="DR101" s="10"/>
    </row>
    <row r="102" spans="1:122" x14ac:dyDescent="0.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10"/>
      <c r="CG102" s="10"/>
      <c r="CH102" s="10"/>
      <c r="CI102" s="10"/>
      <c r="CJ102" s="10"/>
      <c r="CK102" s="10"/>
      <c r="CL102" s="10"/>
      <c r="CM102" s="10"/>
      <c r="CN102" s="10"/>
      <c r="CO102" s="10"/>
      <c r="CP102" s="10"/>
      <c r="CQ102" s="10"/>
      <c r="CR102" s="10"/>
      <c r="CS102" s="10"/>
      <c r="CT102" s="10"/>
      <c r="CU102" s="10"/>
      <c r="CV102" s="10"/>
      <c r="CW102" s="10"/>
      <c r="CX102" s="10"/>
      <c r="CY102" s="10"/>
      <c r="CZ102" s="10"/>
      <c r="DA102" s="10"/>
      <c r="DB102" s="10"/>
      <c r="DC102" s="10"/>
      <c r="DD102" s="10"/>
      <c r="DE102" s="10"/>
      <c r="DF102" s="10"/>
      <c r="DG102" s="10"/>
      <c r="DH102" s="10"/>
      <c r="DI102" s="10"/>
      <c r="DJ102" s="10"/>
      <c r="DK102" s="10"/>
      <c r="DL102" s="10"/>
      <c r="DM102" s="10"/>
      <c r="DN102" s="10"/>
      <c r="DO102" s="10"/>
      <c r="DP102" s="10"/>
      <c r="DQ102" s="10"/>
      <c r="DR102" s="10"/>
    </row>
    <row r="103" spans="1:122" x14ac:dyDescent="0.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10"/>
      <c r="CG103" s="10"/>
      <c r="CH103" s="10"/>
      <c r="CI103" s="10"/>
      <c r="CJ103" s="10"/>
      <c r="CK103" s="10"/>
      <c r="CL103" s="10"/>
      <c r="CM103" s="10"/>
      <c r="CN103" s="10"/>
      <c r="CO103" s="10"/>
      <c r="CP103" s="10"/>
      <c r="CQ103" s="10"/>
      <c r="CR103" s="10"/>
      <c r="CS103" s="10"/>
      <c r="CT103" s="10"/>
      <c r="CU103" s="10"/>
      <c r="CV103" s="10"/>
      <c r="CW103" s="10"/>
      <c r="CX103" s="10"/>
      <c r="CY103" s="10"/>
      <c r="CZ103" s="10"/>
      <c r="DA103" s="10"/>
      <c r="DB103" s="10"/>
      <c r="DC103" s="10"/>
      <c r="DD103" s="10"/>
      <c r="DE103" s="10"/>
      <c r="DF103" s="10"/>
      <c r="DG103" s="10"/>
      <c r="DH103" s="10"/>
      <c r="DI103" s="10"/>
      <c r="DJ103" s="10"/>
      <c r="DK103" s="10"/>
      <c r="DL103" s="10"/>
      <c r="DM103" s="10"/>
      <c r="DN103" s="10"/>
      <c r="DO103" s="10"/>
      <c r="DP103" s="10"/>
      <c r="DQ103" s="10"/>
      <c r="DR103" s="10"/>
    </row>
    <row r="104" spans="1:122" x14ac:dyDescent="0.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c r="BP104" s="10"/>
      <c r="BQ104" s="10"/>
      <c r="BR104" s="10"/>
      <c r="BS104" s="10"/>
      <c r="BT104" s="10"/>
      <c r="BU104" s="10"/>
      <c r="BV104" s="10"/>
      <c r="BW104" s="10"/>
      <c r="BX104" s="10"/>
      <c r="BY104" s="10"/>
      <c r="BZ104" s="10"/>
      <c r="CA104" s="10"/>
      <c r="CB104" s="10"/>
      <c r="CC104" s="10"/>
      <c r="CD104" s="10"/>
      <c r="CE104" s="10"/>
      <c r="CF104" s="10"/>
      <c r="CG104" s="10"/>
      <c r="CH104" s="10"/>
      <c r="CI104" s="10"/>
      <c r="CJ104" s="10"/>
      <c r="CK104" s="10"/>
      <c r="CL104" s="10"/>
      <c r="CM104" s="10"/>
      <c r="CN104" s="10"/>
      <c r="CO104" s="10"/>
      <c r="CP104" s="10"/>
      <c r="CQ104" s="10"/>
      <c r="CR104" s="10"/>
      <c r="CS104" s="10"/>
      <c r="CT104" s="10"/>
      <c r="CU104" s="10"/>
      <c r="CV104" s="10"/>
      <c r="CW104" s="10"/>
      <c r="CX104" s="10"/>
      <c r="CY104" s="10"/>
      <c r="CZ104" s="10"/>
      <c r="DA104" s="10"/>
      <c r="DB104" s="10"/>
      <c r="DC104" s="10"/>
      <c r="DD104" s="10"/>
      <c r="DE104" s="10"/>
      <c r="DF104" s="10"/>
      <c r="DG104" s="10"/>
      <c r="DH104" s="10"/>
      <c r="DI104" s="10"/>
      <c r="DJ104" s="10"/>
      <c r="DK104" s="10"/>
      <c r="DL104" s="10"/>
      <c r="DM104" s="10"/>
      <c r="DN104" s="10"/>
      <c r="DO104" s="10"/>
      <c r="DP104" s="10"/>
      <c r="DQ104" s="10"/>
      <c r="DR104" s="10"/>
    </row>
    <row r="105" spans="1:122" x14ac:dyDescent="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10"/>
      <c r="BN105" s="10"/>
      <c r="BO105" s="10"/>
      <c r="BP105" s="10"/>
      <c r="BQ105" s="10"/>
      <c r="BR105" s="10"/>
      <c r="BS105" s="10"/>
      <c r="BT105" s="10"/>
      <c r="BU105" s="10"/>
      <c r="BV105" s="10"/>
      <c r="BW105" s="10"/>
      <c r="BX105" s="10"/>
      <c r="BY105" s="10"/>
      <c r="BZ105" s="10"/>
      <c r="CA105" s="10"/>
      <c r="CB105" s="10"/>
      <c r="CC105" s="10"/>
      <c r="CD105" s="10"/>
      <c r="CE105" s="10"/>
      <c r="CF105" s="10"/>
      <c r="CG105" s="10"/>
      <c r="CH105" s="10"/>
      <c r="CI105" s="10"/>
      <c r="CJ105" s="10"/>
      <c r="CK105" s="10"/>
      <c r="CL105" s="10"/>
      <c r="CM105" s="10"/>
      <c r="CN105" s="10"/>
      <c r="CO105" s="10"/>
      <c r="CP105" s="10"/>
      <c r="CQ105" s="10"/>
      <c r="CR105" s="10"/>
      <c r="CS105" s="10"/>
      <c r="CT105" s="10"/>
      <c r="CU105" s="10"/>
      <c r="CV105" s="10"/>
      <c r="CW105" s="10"/>
      <c r="CX105" s="10"/>
      <c r="CY105" s="10"/>
      <c r="CZ105" s="10"/>
      <c r="DA105" s="10"/>
      <c r="DB105" s="10"/>
      <c r="DC105" s="10"/>
      <c r="DD105" s="10"/>
      <c r="DE105" s="10"/>
      <c r="DF105" s="10"/>
      <c r="DG105" s="10"/>
      <c r="DH105" s="10"/>
      <c r="DI105" s="10"/>
      <c r="DJ105" s="10"/>
      <c r="DK105" s="10"/>
      <c r="DL105" s="10"/>
      <c r="DM105" s="10"/>
      <c r="DN105" s="10"/>
      <c r="DO105" s="10"/>
      <c r="DP105" s="10"/>
      <c r="DQ105" s="10"/>
      <c r="DR105" s="10"/>
    </row>
    <row r="106" spans="1:122" x14ac:dyDescent="0.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c r="BM106" s="10"/>
      <c r="BN106" s="10"/>
      <c r="BO106" s="10"/>
      <c r="BP106" s="10"/>
      <c r="BQ106" s="10"/>
      <c r="BR106" s="10"/>
      <c r="BS106" s="10"/>
      <c r="BT106" s="10"/>
      <c r="BU106" s="10"/>
      <c r="BV106" s="10"/>
      <c r="BW106" s="10"/>
      <c r="BX106" s="10"/>
      <c r="BY106" s="10"/>
      <c r="BZ106" s="10"/>
      <c r="CA106" s="10"/>
      <c r="CB106" s="10"/>
      <c r="CC106" s="10"/>
      <c r="CD106" s="10"/>
      <c r="CE106" s="10"/>
      <c r="CF106" s="10"/>
      <c r="CG106" s="10"/>
      <c r="CH106" s="10"/>
      <c r="CI106" s="10"/>
      <c r="CJ106" s="10"/>
      <c r="CK106" s="10"/>
      <c r="CL106" s="10"/>
      <c r="CM106" s="10"/>
      <c r="CN106" s="10"/>
      <c r="CO106" s="10"/>
      <c r="CP106" s="10"/>
      <c r="CQ106" s="10"/>
      <c r="CR106" s="10"/>
      <c r="CS106" s="10"/>
      <c r="CT106" s="10"/>
      <c r="CU106" s="10"/>
      <c r="CV106" s="10"/>
      <c r="CW106" s="10"/>
      <c r="CX106" s="10"/>
      <c r="CY106" s="10"/>
      <c r="CZ106" s="10"/>
      <c r="DA106" s="10"/>
      <c r="DB106" s="10"/>
      <c r="DC106" s="10"/>
      <c r="DD106" s="10"/>
      <c r="DE106" s="10"/>
      <c r="DF106" s="10"/>
      <c r="DG106" s="10"/>
      <c r="DH106" s="10"/>
      <c r="DI106" s="10"/>
      <c r="DJ106" s="10"/>
      <c r="DK106" s="10"/>
      <c r="DL106" s="10"/>
      <c r="DM106" s="10"/>
      <c r="DN106" s="10"/>
      <c r="DO106" s="10"/>
      <c r="DP106" s="10"/>
      <c r="DQ106" s="10"/>
      <c r="DR106" s="10"/>
    </row>
    <row r="107" spans="1:122" x14ac:dyDescent="0.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c r="BL107" s="10"/>
      <c r="BM107" s="10"/>
      <c r="BN107" s="10"/>
      <c r="BO107" s="10"/>
      <c r="BP107" s="10"/>
      <c r="BQ107" s="10"/>
      <c r="BR107" s="10"/>
      <c r="BS107" s="10"/>
      <c r="BT107" s="10"/>
      <c r="BU107" s="10"/>
      <c r="BV107" s="10"/>
      <c r="BW107" s="10"/>
      <c r="BX107" s="10"/>
      <c r="BY107" s="10"/>
      <c r="BZ107" s="10"/>
      <c r="CA107" s="10"/>
      <c r="CB107" s="10"/>
      <c r="CC107" s="10"/>
      <c r="CD107" s="10"/>
      <c r="CE107" s="10"/>
      <c r="CF107" s="10"/>
      <c r="CG107" s="10"/>
      <c r="CH107" s="10"/>
      <c r="CI107" s="10"/>
      <c r="CJ107" s="10"/>
      <c r="CK107" s="10"/>
      <c r="CL107" s="10"/>
      <c r="CM107" s="10"/>
      <c r="CN107" s="10"/>
      <c r="CO107" s="10"/>
      <c r="CP107" s="10"/>
      <c r="CQ107" s="10"/>
      <c r="CR107" s="10"/>
      <c r="CS107" s="10"/>
      <c r="CT107" s="10"/>
      <c r="CU107" s="10"/>
      <c r="CV107" s="10"/>
      <c r="CW107" s="10"/>
      <c r="CX107" s="10"/>
      <c r="CY107" s="10"/>
      <c r="CZ107" s="10"/>
      <c r="DA107" s="10"/>
      <c r="DB107" s="10"/>
      <c r="DC107" s="10"/>
      <c r="DD107" s="10"/>
      <c r="DE107" s="10"/>
      <c r="DF107" s="10"/>
      <c r="DG107" s="10"/>
      <c r="DH107" s="10"/>
      <c r="DI107" s="10"/>
      <c r="DJ107" s="10"/>
      <c r="DK107" s="10"/>
      <c r="DL107" s="10"/>
      <c r="DM107" s="10"/>
      <c r="DN107" s="10"/>
      <c r="DO107" s="10"/>
      <c r="DP107" s="10"/>
      <c r="DQ107" s="10"/>
      <c r="DR107" s="10"/>
    </row>
    <row r="108" spans="1:122" x14ac:dyDescent="0.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c r="BM108" s="10"/>
      <c r="BN108" s="10"/>
      <c r="BO108" s="10"/>
      <c r="BP108" s="10"/>
      <c r="BQ108" s="10"/>
      <c r="BR108" s="10"/>
      <c r="BS108" s="10"/>
      <c r="BT108" s="10"/>
      <c r="BU108" s="10"/>
      <c r="BV108" s="10"/>
      <c r="BW108" s="10"/>
      <c r="BX108" s="10"/>
      <c r="BY108" s="10"/>
      <c r="BZ108" s="10"/>
      <c r="CA108" s="10"/>
      <c r="CB108" s="10"/>
      <c r="CC108" s="10"/>
      <c r="CD108" s="10"/>
      <c r="CE108" s="10"/>
      <c r="CF108" s="10"/>
      <c r="CG108" s="10"/>
      <c r="CH108" s="10"/>
      <c r="CI108" s="10"/>
      <c r="CJ108" s="10"/>
      <c r="CK108" s="10"/>
      <c r="CL108" s="10"/>
      <c r="CM108" s="10"/>
      <c r="CN108" s="10"/>
      <c r="CO108" s="10"/>
      <c r="CP108" s="10"/>
      <c r="CQ108" s="10"/>
      <c r="CR108" s="10"/>
      <c r="CS108" s="10"/>
      <c r="CT108" s="10"/>
      <c r="CU108" s="10"/>
      <c r="CV108" s="10"/>
      <c r="CW108" s="10"/>
      <c r="CX108" s="10"/>
      <c r="CY108" s="10"/>
      <c r="CZ108" s="10"/>
      <c r="DA108" s="10"/>
      <c r="DB108" s="10"/>
      <c r="DC108" s="10"/>
      <c r="DD108" s="10"/>
      <c r="DE108" s="10"/>
      <c r="DF108" s="10"/>
      <c r="DG108" s="10"/>
      <c r="DH108" s="10"/>
      <c r="DI108" s="10"/>
      <c r="DJ108" s="10"/>
      <c r="DK108" s="10"/>
      <c r="DL108" s="10"/>
      <c r="DM108" s="10"/>
      <c r="DN108" s="10"/>
      <c r="DO108" s="10"/>
      <c r="DP108" s="10"/>
      <c r="DQ108" s="10"/>
      <c r="DR108" s="10"/>
    </row>
    <row r="109" spans="1:122" x14ac:dyDescent="0.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c r="BM109" s="10"/>
      <c r="BN109" s="10"/>
      <c r="BO109" s="10"/>
      <c r="BP109" s="10"/>
      <c r="BQ109" s="10"/>
      <c r="BR109" s="10"/>
      <c r="BS109" s="10"/>
      <c r="BT109" s="10"/>
      <c r="BU109" s="10"/>
      <c r="BV109" s="10"/>
      <c r="BW109" s="10"/>
      <c r="BX109" s="10"/>
      <c r="BY109" s="10"/>
      <c r="BZ109" s="10"/>
      <c r="CA109" s="10"/>
      <c r="CB109" s="10"/>
      <c r="CC109" s="10"/>
      <c r="CD109" s="10"/>
      <c r="CE109" s="10"/>
      <c r="CF109" s="10"/>
      <c r="CG109" s="10"/>
      <c r="CH109" s="10"/>
      <c r="CI109" s="10"/>
      <c r="CJ109" s="10"/>
      <c r="CK109" s="10"/>
      <c r="CL109" s="10"/>
      <c r="CM109" s="10"/>
      <c r="CN109" s="10"/>
      <c r="CO109" s="10"/>
      <c r="CP109" s="10"/>
      <c r="CQ109" s="10"/>
      <c r="CR109" s="10"/>
      <c r="CS109" s="10"/>
      <c r="CT109" s="10"/>
      <c r="CU109" s="10"/>
      <c r="CV109" s="10"/>
      <c r="CW109" s="10"/>
      <c r="CX109" s="10"/>
      <c r="CY109" s="10"/>
      <c r="CZ109" s="10"/>
      <c r="DA109" s="10"/>
      <c r="DB109" s="10"/>
      <c r="DC109" s="10"/>
      <c r="DD109" s="10"/>
      <c r="DE109" s="10"/>
      <c r="DF109" s="10"/>
      <c r="DG109" s="10"/>
      <c r="DH109" s="10"/>
      <c r="DI109" s="10"/>
      <c r="DJ109" s="10"/>
      <c r="DK109" s="10"/>
      <c r="DL109" s="10"/>
      <c r="DM109" s="10"/>
      <c r="DN109" s="10"/>
      <c r="DO109" s="10"/>
      <c r="DP109" s="10"/>
      <c r="DQ109" s="10"/>
      <c r="DR109" s="10"/>
    </row>
    <row r="110" spans="1:122" x14ac:dyDescent="0.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0"/>
      <c r="BJ110" s="10"/>
      <c r="BK110" s="10"/>
      <c r="BL110" s="10"/>
      <c r="BM110" s="10"/>
      <c r="BN110" s="10"/>
      <c r="BO110" s="10"/>
      <c r="BP110" s="10"/>
      <c r="BQ110" s="10"/>
      <c r="BR110" s="10"/>
      <c r="BS110" s="10"/>
      <c r="BT110" s="10"/>
      <c r="BU110" s="10"/>
      <c r="BV110" s="10"/>
      <c r="BW110" s="10"/>
      <c r="BX110" s="10"/>
      <c r="BY110" s="10"/>
      <c r="BZ110" s="10"/>
      <c r="CA110" s="10"/>
      <c r="CB110" s="10"/>
      <c r="CC110" s="10"/>
      <c r="CD110" s="10"/>
      <c r="CE110" s="10"/>
      <c r="CF110" s="10"/>
      <c r="CG110" s="10"/>
      <c r="CH110" s="10"/>
      <c r="CI110" s="10"/>
      <c r="CJ110" s="10"/>
      <c r="CK110" s="10"/>
      <c r="CL110" s="10"/>
      <c r="CM110" s="10"/>
      <c r="CN110" s="10"/>
      <c r="CO110" s="10"/>
      <c r="CP110" s="10"/>
      <c r="CQ110" s="10"/>
      <c r="CR110" s="10"/>
      <c r="CS110" s="10"/>
      <c r="CT110" s="10"/>
      <c r="CU110" s="10"/>
      <c r="CV110" s="10"/>
      <c r="CW110" s="10"/>
      <c r="CX110" s="10"/>
      <c r="CY110" s="10"/>
      <c r="CZ110" s="10"/>
      <c r="DA110" s="10"/>
      <c r="DB110" s="10"/>
      <c r="DC110" s="10"/>
      <c r="DD110" s="10"/>
      <c r="DE110" s="10"/>
      <c r="DF110" s="10"/>
      <c r="DG110" s="10"/>
      <c r="DH110" s="10"/>
      <c r="DI110" s="10"/>
      <c r="DJ110" s="10"/>
      <c r="DK110" s="10"/>
      <c r="DL110" s="10"/>
      <c r="DM110" s="10"/>
      <c r="DN110" s="10"/>
      <c r="DO110" s="10"/>
      <c r="DP110" s="10"/>
      <c r="DQ110" s="10"/>
      <c r="DR110" s="10"/>
    </row>
    <row r="111" spans="1:122" x14ac:dyDescent="0.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c r="BN111" s="10"/>
      <c r="BO111" s="10"/>
      <c r="BP111" s="10"/>
      <c r="BQ111" s="10"/>
      <c r="BR111" s="10"/>
      <c r="BS111" s="10"/>
      <c r="BT111" s="10"/>
      <c r="BU111" s="10"/>
      <c r="BV111" s="10"/>
      <c r="BW111" s="10"/>
      <c r="BX111" s="10"/>
      <c r="BY111" s="10"/>
      <c r="BZ111" s="10"/>
      <c r="CA111" s="10"/>
      <c r="CB111" s="10"/>
      <c r="CC111" s="10"/>
      <c r="CD111" s="10"/>
      <c r="CE111" s="10"/>
      <c r="CF111" s="10"/>
      <c r="CG111" s="10"/>
      <c r="CH111" s="10"/>
      <c r="CI111" s="10"/>
      <c r="CJ111" s="10"/>
      <c r="CK111" s="10"/>
      <c r="CL111" s="10"/>
      <c r="CM111" s="10"/>
      <c r="CN111" s="10"/>
      <c r="CO111" s="10"/>
      <c r="CP111" s="10"/>
      <c r="CQ111" s="10"/>
      <c r="CR111" s="10"/>
      <c r="CS111" s="10"/>
      <c r="CT111" s="10"/>
      <c r="CU111" s="10"/>
      <c r="CV111" s="10"/>
      <c r="CW111" s="10"/>
      <c r="CX111" s="10"/>
      <c r="CY111" s="10"/>
      <c r="CZ111" s="10"/>
      <c r="DA111" s="10"/>
      <c r="DB111" s="10"/>
      <c r="DC111" s="10"/>
      <c r="DD111" s="10"/>
      <c r="DE111" s="10"/>
      <c r="DF111" s="10"/>
      <c r="DG111" s="10"/>
      <c r="DH111" s="10"/>
      <c r="DI111" s="10"/>
      <c r="DJ111" s="10"/>
      <c r="DK111" s="10"/>
      <c r="DL111" s="10"/>
      <c r="DM111" s="10"/>
      <c r="DN111" s="10"/>
      <c r="DO111" s="10"/>
      <c r="DP111" s="10"/>
      <c r="DQ111" s="10"/>
      <c r="DR111" s="10"/>
    </row>
    <row r="112" spans="1:122" x14ac:dyDescent="0.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10"/>
      <c r="BN112" s="10"/>
      <c r="BO112" s="10"/>
      <c r="BP112" s="10"/>
      <c r="BQ112" s="10"/>
      <c r="BR112" s="10"/>
      <c r="BS112" s="10"/>
      <c r="BT112" s="10"/>
      <c r="BU112" s="10"/>
      <c r="BV112" s="10"/>
      <c r="BW112" s="10"/>
      <c r="BX112" s="10"/>
      <c r="BY112" s="10"/>
      <c r="BZ112" s="10"/>
      <c r="CA112" s="10"/>
      <c r="CB112" s="10"/>
      <c r="CC112" s="10"/>
      <c r="CD112" s="10"/>
      <c r="CE112" s="10"/>
      <c r="CF112" s="10"/>
      <c r="CG112" s="10"/>
      <c r="CH112" s="10"/>
      <c r="CI112" s="10"/>
      <c r="CJ112" s="10"/>
      <c r="CK112" s="10"/>
      <c r="CL112" s="10"/>
      <c r="CM112" s="10"/>
      <c r="CN112" s="10"/>
      <c r="CO112" s="10"/>
      <c r="CP112" s="10"/>
      <c r="CQ112" s="10"/>
      <c r="CR112" s="10"/>
      <c r="CS112" s="10"/>
      <c r="CT112" s="10"/>
      <c r="CU112" s="10"/>
      <c r="CV112" s="10"/>
      <c r="CW112" s="10"/>
      <c r="CX112" s="10"/>
      <c r="CY112" s="10"/>
      <c r="CZ112" s="10"/>
      <c r="DA112" s="10"/>
      <c r="DB112" s="10"/>
      <c r="DC112" s="10"/>
      <c r="DD112" s="10"/>
      <c r="DE112" s="10"/>
      <c r="DF112" s="10"/>
      <c r="DG112" s="10"/>
      <c r="DH112" s="10"/>
      <c r="DI112" s="10"/>
      <c r="DJ112" s="10"/>
      <c r="DK112" s="10"/>
      <c r="DL112" s="10"/>
      <c r="DM112" s="10"/>
      <c r="DN112" s="10"/>
      <c r="DO112" s="10"/>
      <c r="DP112" s="10"/>
      <c r="DQ112" s="10"/>
      <c r="DR112" s="10"/>
    </row>
    <row r="113" spans="1:122" x14ac:dyDescent="0.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0"/>
      <c r="BJ113" s="10"/>
      <c r="BK113" s="10"/>
      <c r="BL113" s="10"/>
      <c r="BM113" s="10"/>
      <c r="BN113" s="10"/>
      <c r="BO113" s="10"/>
      <c r="BP113" s="10"/>
      <c r="BQ113" s="10"/>
      <c r="BR113" s="10"/>
      <c r="BS113" s="10"/>
      <c r="BT113" s="10"/>
      <c r="BU113" s="10"/>
      <c r="BV113" s="10"/>
      <c r="BW113" s="10"/>
      <c r="BX113" s="10"/>
      <c r="BY113" s="10"/>
      <c r="BZ113" s="10"/>
      <c r="CA113" s="10"/>
      <c r="CB113" s="10"/>
      <c r="CC113" s="10"/>
      <c r="CD113" s="10"/>
      <c r="CE113" s="10"/>
      <c r="CF113" s="10"/>
      <c r="CG113" s="10"/>
      <c r="CH113" s="10"/>
      <c r="CI113" s="10"/>
      <c r="CJ113" s="10"/>
      <c r="CK113" s="10"/>
      <c r="CL113" s="10"/>
      <c r="CM113" s="10"/>
      <c r="CN113" s="10"/>
      <c r="CO113" s="10"/>
      <c r="CP113" s="10"/>
      <c r="CQ113" s="10"/>
      <c r="CR113" s="10"/>
      <c r="CS113" s="10"/>
      <c r="CT113" s="10"/>
      <c r="CU113" s="10"/>
      <c r="CV113" s="10"/>
      <c r="CW113" s="10"/>
      <c r="CX113" s="10"/>
      <c r="CY113" s="10"/>
      <c r="CZ113" s="10"/>
      <c r="DA113" s="10"/>
      <c r="DB113" s="10"/>
      <c r="DC113" s="10"/>
      <c r="DD113" s="10"/>
      <c r="DE113" s="10"/>
      <c r="DF113" s="10"/>
      <c r="DG113" s="10"/>
      <c r="DH113" s="10"/>
      <c r="DI113" s="10"/>
      <c r="DJ113" s="10"/>
      <c r="DK113" s="10"/>
      <c r="DL113" s="10"/>
      <c r="DM113" s="10"/>
      <c r="DN113" s="10"/>
      <c r="DO113" s="10"/>
      <c r="DP113" s="10"/>
      <c r="DQ113" s="10"/>
      <c r="DR113" s="10"/>
    </row>
    <row r="114" spans="1:122" x14ac:dyDescent="0.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0"/>
      <c r="BL114" s="10"/>
      <c r="BM114" s="10"/>
      <c r="BN114" s="10"/>
      <c r="BO114" s="10"/>
      <c r="BP114" s="10"/>
      <c r="BQ114" s="10"/>
      <c r="BR114" s="10"/>
      <c r="BS114" s="10"/>
      <c r="BT114" s="10"/>
      <c r="BU114" s="10"/>
      <c r="BV114" s="10"/>
      <c r="BW114" s="10"/>
      <c r="BX114" s="10"/>
      <c r="BY114" s="10"/>
      <c r="BZ114" s="10"/>
      <c r="CA114" s="10"/>
      <c r="CB114" s="10"/>
      <c r="CC114" s="10"/>
      <c r="CD114" s="10"/>
      <c r="CE114" s="10"/>
      <c r="CF114" s="10"/>
      <c r="CG114" s="10"/>
      <c r="CH114" s="10"/>
      <c r="CI114" s="10"/>
      <c r="CJ114" s="10"/>
      <c r="CK114" s="10"/>
      <c r="CL114" s="10"/>
      <c r="CM114" s="10"/>
      <c r="CN114" s="10"/>
      <c r="CO114" s="10"/>
      <c r="CP114" s="10"/>
      <c r="CQ114" s="10"/>
      <c r="CR114" s="10"/>
      <c r="CS114" s="10"/>
      <c r="CT114" s="10"/>
      <c r="CU114" s="10"/>
      <c r="CV114" s="10"/>
      <c r="CW114" s="10"/>
      <c r="CX114" s="10"/>
      <c r="CY114" s="10"/>
      <c r="CZ114" s="10"/>
      <c r="DA114" s="10"/>
      <c r="DB114" s="10"/>
      <c r="DC114" s="10"/>
      <c r="DD114" s="10"/>
      <c r="DE114" s="10"/>
      <c r="DF114" s="10"/>
      <c r="DG114" s="10"/>
      <c r="DH114" s="10"/>
      <c r="DI114" s="10"/>
      <c r="DJ114" s="10"/>
      <c r="DK114" s="10"/>
      <c r="DL114" s="10"/>
      <c r="DM114" s="10"/>
      <c r="DN114" s="10"/>
      <c r="DO114" s="10"/>
      <c r="DP114" s="10"/>
      <c r="DQ114" s="10"/>
      <c r="DR114" s="10"/>
    </row>
    <row r="115" spans="1:122" x14ac:dyDescent="0.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c r="BK115" s="10"/>
      <c r="BL115" s="10"/>
      <c r="BM115" s="10"/>
      <c r="BN115" s="10"/>
      <c r="BO115" s="10"/>
      <c r="BP115" s="10"/>
      <c r="BQ115" s="10"/>
      <c r="BR115" s="10"/>
      <c r="BS115" s="10"/>
      <c r="BT115" s="10"/>
      <c r="BU115" s="10"/>
      <c r="BV115" s="10"/>
      <c r="BW115" s="10"/>
      <c r="BX115" s="10"/>
      <c r="BY115" s="10"/>
      <c r="BZ115" s="10"/>
      <c r="CA115" s="10"/>
      <c r="CB115" s="10"/>
      <c r="CC115" s="10"/>
      <c r="CD115" s="10"/>
      <c r="CE115" s="10"/>
      <c r="CF115" s="10"/>
      <c r="CG115" s="10"/>
      <c r="CH115" s="10"/>
      <c r="CI115" s="10"/>
      <c r="CJ115" s="10"/>
      <c r="CK115" s="10"/>
      <c r="CL115" s="10"/>
      <c r="CM115" s="10"/>
      <c r="CN115" s="10"/>
      <c r="CO115" s="10"/>
      <c r="CP115" s="10"/>
      <c r="CQ115" s="10"/>
      <c r="CR115" s="10"/>
      <c r="CS115" s="10"/>
      <c r="CT115" s="10"/>
      <c r="CU115" s="10"/>
      <c r="CV115" s="10"/>
      <c r="CW115" s="10"/>
      <c r="CX115" s="10"/>
      <c r="CY115" s="10"/>
      <c r="CZ115" s="10"/>
      <c r="DA115" s="10"/>
      <c r="DB115" s="10"/>
      <c r="DC115" s="10"/>
      <c r="DD115" s="10"/>
      <c r="DE115" s="10"/>
      <c r="DF115" s="10"/>
      <c r="DG115" s="10"/>
      <c r="DH115" s="10"/>
      <c r="DI115" s="10"/>
      <c r="DJ115" s="10"/>
      <c r="DK115" s="10"/>
      <c r="DL115" s="10"/>
      <c r="DM115" s="10"/>
      <c r="DN115" s="10"/>
      <c r="DO115" s="10"/>
      <c r="DP115" s="10"/>
      <c r="DQ115" s="10"/>
      <c r="DR115" s="10"/>
    </row>
    <row r="116" spans="1:122" x14ac:dyDescent="0.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c r="BK116" s="10"/>
      <c r="BL116" s="10"/>
      <c r="BM116" s="10"/>
      <c r="BN116" s="10"/>
      <c r="BO116" s="10"/>
      <c r="BP116" s="10"/>
      <c r="BQ116" s="10"/>
      <c r="BR116" s="10"/>
      <c r="BS116" s="10"/>
      <c r="BT116" s="10"/>
      <c r="BU116" s="10"/>
      <c r="BV116" s="10"/>
      <c r="BW116" s="10"/>
      <c r="BX116" s="10"/>
      <c r="BY116" s="10"/>
      <c r="BZ116" s="10"/>
      <c r="CA116" s="10"/>
      <c r="CB116" s="10"/>
      <c r="CC116" s="10"/>
      <c r="CD116" s="10"/>
      <c r="CE116" s="10"/>
      <c r="CF116" s="10"/>
      <c r="CG116" s="10"/>
      <c r="CH116" s="10"/>
      <c r="CI116" s="10"/>
      <c r="CJ116" s="10"/>
      <c r="CK116" s="10"/>
      <c r="CL116" s="10"/>
      <c r="CM116" s="10"/>
      <c r="CN116" s="10"/>
      <c r="CO116" s="10"/>
      <c r="CP116" s="10"/>
      <c r="CQ116" s="10"/>
      <c r="CR116" s="10"/>
      <c r="CS116" s="10"/>
      <c r="CT116" s="10"/>
      <c r="CU116" s="10"/>
      <c r="CV116" s="10"/>
      <c r="CW116" s="10"/>
      <c r="CX116" s="10"/>
      <c r="CY116" s="10"/>
      <c r="CZ116" s="10"/>
      <c r="DA116" s="10"/>
      <c r="DB116" s="10"/>
      <c r="DC116" s="10"/>
      <c r="DD116" s="10"/>
      <c r="DE116" s="10"/>
      <c r="DF116" s="10"/>
      <c r="DG116" s="10"/>
      <c r="DH116" s="10"/>
      <c r="DI116" s="10"/>
      <c r="DJ116" s="10"/>
      <c r="DK116" s="10"/>
      <c r="DL116" s="10"/>
      <c r="DM116" s="10"/>
      <c r="DN116" s="10"/>
      <c r="DO116" s="10"/>
      <c r="DP116" s="10"/>
      <c r="DQ116" s="10"/>
      <c r="DR116" s="10"/>
    </row>
    <row r="117" spans="1:122" x14ac:dyDescent="0.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0"/>
      <c r="BL117" s="10"/>
      <c r="BM117" s="10"/>
      <c r="BN117" s="10"/>
      <c r="BO117" s="10"/>
      <c r="BP117" s="10"/>
      <c r="BQ117" s="10"/>
      <c r="BR117" s="10"/>
      <c r="BS117" s="10"/>
      <c r="BT117" s="10"/>
      <c r="BU117" s="10"/>
      <c r="BV117" s="10"/>
      <c r="BW117" s="10"/>
      <c r="BX117" s="10"/>
      <c r="BY117" s="10"/>
      <c r="BZ117" s="10"/>
      <c r="CA117" s="10"/>
      <c r="CB117" s="10"/>
      <c r="CC117" s="10"/>
      <c r="CD117" s="10"/>
      <c r="CE117" s="10"/>
      <c r="CF117" s="10"/>
      <c r="CG117" s="10"/>
      <c r="CH117" s="10"/>
      <c r="CI117" s="10"/>
      <c r="CJ117" s="10"/>
      <c r="CK117" s="10"/>
      <c r="CL117" s="10"/>
      <c r="CM117" s="10"/>
      <c r="CN117" s="10"/>
      <c r="CO117" s="10"/>
      <c r="CP117" s="10"/>
      <c r="CQ117" s="10"/>
      <c r="CR117" s="10"/>
      <c r="CS117" s="10"/>
      <c r="CT117" s="10"/>
      <c r="CU117" s="10"/>
      <c r="CV117" s="10"/>
      <c r="CW117" s="10"/>
      <c r="CX117" s="10"/>
      <c r="CY117" s="10"/>
      <c r="CZ117" s="10"/>
      <c r="DA117" s="10"/>
      <c r="DB117" s="10"/>
      <c r="DC117" s="10"/>
      <c r="DD117" s="10"/>
      <c r="DE117" s="10"/>
      <c r="DF117" s="10"/>
      <c r="DG117" s="10"/>
      <c r="DH117" s="10"/>
      <c r="DI117" s="10"/>
      <c r="DJ117" s="10"/>
      <c r="DK117" s="10"/>
      <c r="DL117" s="10"/>
      <c r="DM117" s="10"/>
      <c r="DN117" s="10"/>
      <c r="DO117" s="10"/>
      <c r="DP117" s="10"/>
      <c r="DQ117" s="10"/>
      <c r="DR117" s="10"/>
    </row>
    <row r="118" spans="1:122" x14ac:dyDescent="0.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10"/>
      <c r="BN118" s="10"/>
      <c r="BO118" s="10"/>
      <c r="BP118" s="10"/>
      <c r="BQ118" s="10"/>
      <c r="BR118" s="10"/>
      <c r="BS118" s="10"/>
      <c r="BT118" s="10"/>
      <c r="BU118" s="10"/>
      <c r="BV118" s="10"/>
      <c r="BW118" s="10"/>
      <c r="BX118" s="10"/>
      <c r="BY118" s="10"/>
      <c r="BZ118" s="10"/>
      <c r="CA118" s="10"/>
      <c r="CB118" s="10"/>
      <c r="CC118" s="10"/>
      <c r="CD118" s="10"/>
      <c r="CE118" s="10"/>
      <c r="CF118" s="10"/>
      <c r="CG118" s="10"/>
      <c r="CH118" s="10"/>
      <c r="CI118" s="10"/>
      <c r="CJ118" s="10"/>
      <c r="CK118" s="10"/>
      <c r="CL118" s="10"/>
      <c r="CM118" s="10"/>
      <c r="CN118" s="10"/>
      <c r="CO118" s="10"/>
      <c r="CP118" s="10"/>
      <c r="CQ118" s="10"/>
      <c r="CR118" s="10"/>
      <c r="CS118" s="10"/>
      <c r="CT118" s="10"/>
      <c r="CU118" s="10"/>
      <c r="CV118" s="10"/>
      <c r="CW118" s="10"/>
      <c r="CX118" s="10"/>
      <c r="CY118" s="10"/>
      <c r="CZ118" s="10"/>
      <c r="DA118" s="10"/>
      <c r="DB118" s="10"/>
      <c r="DC118" s="10"/>
      <c r="DD118" s="10"/>
      <c r="DE118" s="10"/>
      <c r="DF118" s="10"/>
      <c r="DG118" s="10"/>
      <c r="DH118" s="10"/>
      <c r="DI118" s="10"/>
      <c r="DJ118" s="10"/>
      <c r="DK118" s="10"/>
      <c r="DL118" s="10"/>
      <c r="DM118" s="10"/>
      <c r="DN118" s="10"/>
      <c r="DO118" s="10"/>
      <c r="DP118" s="10"/>
      <c r="DQ118" s="10"/>
      <c r="DR118" s="10"/>
    </row>
    <row r="119" spans="1:122" x14ac:dyDescent="0.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c r="BN119" s="10"/>
      <c r="BO119" s="10"/>
      <c r="BP119" s="10"/>
      <c r="BQ119" s="10"/>
      <c r="BR119" s="10"/>
      <c r="BS119" s="10"/>
      <c r="BT119" s="10"/>
      <c r="BU119" s="10"/>
      <c r="BV119" s="10"/>
      <c r="BW119" s="10"/>
      <c r="BX119" s="10"/>
      <c r="BY119" s="10"/>
      <c r="BZ119" s="10"/>
      <c r="CA119" s="10"/>
      <c r="CB119" s="10"/>
      <c r="CC119" s="10"/>
      <c r="CD119" s="10"/>
      <c r="CE119" s="10"/>
      <c r="CF119" s="10"/>
      <c r="CG119" s="10"/>
      <c r="CH119" s="10"/>
      <c r="CI119" s="10"/>
      <c r="CJ119" s="10"/>
      <c r="CK119" s="10"/>
      <c r="CL119" s="10"/>
      <c r="CM119" s="10"/>
      <c r="CN119" s="10"/>
      <c r="CO119" s="10"/>
      <c r="CP119" s="10"/>
      <c r="CQ119" s="10"/>
      <c r="CR119" s="10"/>
      <c r="CS119" s="10"/>
      <c r="CT119" s="10"/>
      <c r="CU119" s="10"/>
      <c r="CV119" s="10"/>
      <c r="CW119" s="10"/>
      <c r="CX119" s="10"/>
      <c r="CY119" s="10"/>
      <c r="CZ119" s="10"/>
      <c r="DA119" s="10"/>
      <c r="DB119" s="10"/>
      <c r="DC119" s="10"/>
      <c r="DD119" s="10"/>
      <c r="DE119" s="10"/>
      <c r="DF119" s="10"/>
      <c r="DG119" s="10"/>
      <c r="DH119" s="10"/>
      <c r="DI119" s="10"/>
      <c r="DJ119" s="10"/>
      <c r="DK119" s="10"/>
      <c r="DL119" s="10"/>
      <c r="DM119" s="10"/>
      <c r="DN119" s="10"/>
      <c r="DO119" s="10"/>
      <c r="DP119" s="10"/>
      <c r="DQ119" s="10"/>
      <c r="DR119" s="10"/>
    </row>
    <row r="120" spans="1:122" x14ac:dyDescent="0.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c r="BL120" s="10"/>
      <c r="BM120" s="10"/>
      <c r="BN120" s="10"/>
      <c r="BO120" s="10"/>
      <c r="BP120" s="10"/>
      <c r="BQ120" s="10"/>
      <c r="BR120" s="10"/>
      <c r="BS120" s="10"/>
      <c r="BT120" s="10"/>
      <c r="BU120" s="10"/>
      <c r="BV120" s="10"/>
      <c r="BW120" s="10"/>
      <c r="BX120" s="10"/>
      <c r="BY120" s="10"/>
      <c r="BZ120" s="10"/>
      <c r="CA120" s="10"/>
      <c r="CB120" s="10"/>
      <c r="CC120" s="10"/>
      <c r="CD120" s="10"/>
      <c r="CE120" s="10"/>
      <c r="CF120" s="10"/>
      <c r="CG120" s="10"/>
      <c r="CH120" s="10"/>
      <c r="CI120" s="10"/>
      <c r="CJ120" s="10"/>
      <c r="CK120" s="10"/>
      <c r="CL120" s="10"/>
      <c r="CM120" s="10"/>
      <c r="CN120" s="10"/>
      <c r="CO120" s="10"/>
      <c r="CP120" s="10"/>
      <c r="CQ120" s="10"/>
      <c r="CR120" s="10"/>
      <c r="CS120" s="10"/>
      <c r="CT120" s="10"/>
      <c r="CU120" s="10"/>
      <c r="CV120" s="10"/>
      <c r="CW120" s="10"/>
      <c r="CX120" s="10"/>
      <c r="CY120" s="10"/>
      <c r="CZ120" s="10"/>
      <c r="DA120" s="10"/>
      <c r="DB120" s="10"/>
      <c r="DC120" s="10"/>
      <c r="DD120" s="10"/>
      <c r="DE120" s="10"/>
      <c r="DF120" s="10"/>
      <c r="DG120" s="10"/>
      <c r="DH120" s="10"/>
      <c r="DI120" s="10"/>
      <c r="DJ120" s="10"/>
      <c r="DK120" s="10"/>
      <c r="DL120" s="10"/>
      <c r="DM120" s="10"/>
      <c r="DN120" s="10"/>
      <c r="DO120" s="10"/>
      <c r="DP120" s="10"/>
      <c r="DQ120" s="10"/>
      <c r="DR120" s="10"/>
    </row>
    <row r="121" spans="1:122" x14ac:dyDescent="0.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10"/>
      <c r="BN121" s="10"/>
      <c r="BO121" s="10"/>
      <c r="BP121" s="10"/>
      <c r="BQ121" s="10"/>
      <c r="BR121" s="10"/>
      <c r="BS121" s="10"/>
      <c r="BT121" s="10"/>
      <c r="BU121" s="10"/>
      <c r="BV121" s="10"/>
      <c r="BW121" s="10"/>
      <c r="BX121" s="10"/>
      <c r="BY121" s="10"/>
      <c r="BZ121" s="10"/>
      <c r="CA121" s="10"/>
      <c r="CB121" s="10"/>
      <c r="CC121" s="10"/>
      <c r="CD121" s="10"/>
      <c r="CE121" s="10"/>
      <c r="CF121" s="10"/>
      <c r="CG121" s="10"/>
      <c r="CH121" s="10"/>
      <c r="CI121" s="10"/>
      <c r="CJ121" s="10"/>
      <c r="CK121" s="10"/>
      <c r="CL121" s="10"/>
      <c r="CM121" s="10"/>
      <c r="CN121" s="10"/>
      <c r="CO121" s="10"/>
      <c r="CP121" s="10"/>
      <c r="CQ121" s="10"/>
      <c r="CR121" s="10"/>
      <c r="CS121" s="10"/>
      <c r="CT121" s="10"/>
      <c r="CU121" s="10"/>
      <c r="CV121" s="10"/>
      <c r="CW121" s="10"/>
      <c r="CX121" s="10"/>
      <c r="CY121" s="10"/>
      <c r="CZ121" s="10"/>
      <c r="DA121" s="10"/>
      <c r="DB121" s="10"/>
      <c r="DC121" s="10"/>
      <c r="DD121" s="10"/>
      <c r="DE121" s="10"/>
      <c r="DF121" s="10"/>
      <c r="DG121" s="10"/>
      <c r="DH121" s="10"/>
      <c r="DI121" s="10"/>
      <c r="DJ121" s="10"/>
      <c r="DK121" s="10"/>
      <c r="DL121" s="10"/>
      <c r="DM121" s="10"/>
      <c r="DN121" s="10"/>
      <c r="DO121" s="10"/>
      <c r="DP121" s="10"/>
      <c r="DQ121" s="10"/>
      <c r="DR121" s="10"/>
    </row>
    <row r="122" spans="1:122" x14ac:dyDescent="0.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10"/>
      <c r="BN122" s="10"/>
      <c r="BO122" s="10"/>
      <c r="BP122" s="10"/>
      <c r="BQ122" s="10"/>
      <c r="BR122" s="10"/>
      <c r="BS122" s="10"/>
      <c r="BT122" s="10"/>
      <c r="BU122" s="10"/>
      <c r="BV122" s="10"/>
      <c r="BW122" s="10"/>
      <c r="BX122" s="10"/>
      <c r="BY122" s="10"/>
      <c r="BZ122" s="10"/>
      <c r="CA122" s="10"/>
      <c r="CB122" s="10"/>
      <c r="CC122" s="10"/>
      <c r="CD122" s="10"/>
      <c r="CE122" s="10"/>
      <c r="CF122" s="10"/>
      <c r="CG122" s="10"/>
      <c r="CH122" s="10"/>
      <c r="CI122" s="10"/>
      <c r="CJ122" s="10"/>
      <c r="CK122" s="10"/>
      <c r="CL122" s="10"/>
      <c r="CM122" s="10"/>
      <c r="CN122" s="10"/>
      <c r="CO122" s="10"/>
      <c r="CP122" s="10"/>
      <c r="CQ122" s="10"/>
      <c r="CR122" s="10"/>
      <c r="CS122" s="10"/>
      <c r="CT122" s="10"/>
      <c r="CU122" s="10"/>
      <c r="CV122" s="10"/>
      <c r="CW122" s="10"/>
      <c r="CX122" s="10"/>
      <c r="CY122" s="10"/>
      <c r="CZ122" s="10"/>
      <c r="DA122" s="10"/>
      <c r="DB122" s="10"/>
      <c r="DC122" s="10"/>
      <c r="DD122" s="10"/>
      <c r="DE122" s="10"/>
      <c r="DF122" s="10"/>
      <c r="DG122" s="10"/>
      <c r="DH122" s="10"/>
      <c r="DI122" s="10"/>
      <c r="DJ122" s="10"/>
      <c r="DK122" s="10"/>
      <c r="DL122" s="10"/>
      <c r="DM122" s="10"/>
      <c r="DN122" s="10"/>
      <c r="DO122" s="10"/>
      <c r="DP122" s="10"/>
      <c r="DQ122" s="10"/>
      <c r="DR122" s="10"/>
    </row>
    <row r="123" spans="1:122" x14ac:dyDescent="0.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c r="BL123" s="10"/>
      <c r="BM123" s="10"/>
      <c r="BN123" s="10"/>
      <c r="BO123" s="10"/>
      <c r="BP123" s="10"/>
      <c r="BQ123" s="10"/>
      <c r="BR123" s="10"/>
      <c r="BS123" s="10"/>
      <c r="BT123" s="10"/>
      <c r="BU123" s="10"/>
      <c r="BV123" s="10"/>
      <c r="BW123" s="10"/>
      <c r="BX123" s="10"/>
      <c r="BY123" s="10"/>
      <c r="BZ123" s="10"/>
      <c r="CA123" s="10"/>
      <c r="CB123" s="10"/>
      <c r="CC123" s="10"/>
      <c r="CD123" s="10"/>
      <c r="CE123" s="10"/>
      <c r="CF123" s="10"/>
      <c r="CG123" s="10"/>
      <c r="CH123" s="10"/>
      <c r="CI123" s="10"/>
      <c r="CJ123" s="10"/>
      <c r="CK123" s="10"/>
      <c r="CL123" s="10"/>
      <c r="CM123" s="10"/>
      <c r="CN123" s="10"/>
      <c r="CO123" s="10"/>
      <c r="CP123" s="10"/>
      <c r="CQ123" s="10"/>
      <c r="CR123" s="10"/>
      <c r="CS123" s="10"/>
      <c r="CT123" s="10"/>
      <c r="CU123" s="10"/>
      <c r="CV123" s="10"/>
      <c r="CW123" s="10"/>
      <c r="CX123" s="10"/>
      <c r="CY123" s="10"/>
      <c r="CZ123" s="10"/>
      <c r="DA123" s="10"/>
      <c r="DB123" s="10"/>
      <c r="DC123" s="10"/>
      <c r="DD123" s="10"/>
      <c r="DE123" s="10"/>
      <c r="DF123" s="10"/>
      <c r="DG123" s="10"/>
      <c r="DH123" s="10"/>
      <c r="DI123" s="10"/>
      <c r="DJ123" s="10"/>
      <c r="DK123" s="10"/>
      <c r="DL123" s="10"/>
      <c r="DM123" s="10"/>
      <c r="DN123" s="10"/>
      <c r="DO123" s="10"/>
      <c r="DP123" s="10"/>
      <c r="DQ123" s="10"/>
      <c r="DR123" s="10"/>
    </row>
    <row r="124" spans="1:122" x14ac:dyDescent="0.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0"/>
      <c r="BL124" s="10"/>
      <c r="BM124" s="10"/>
      <c r="BN124" s="10"/>
      <c r="BO124" s="10"/>
      <c r="BP124" s="10"/>
      <c r="BQ124" s="10"/>
      <c r="BR124" s="10"/>
      <c r="BS124" s="10"/>
      <c r="BT124" s="10"/>
      <c r="BU124" s="10"/>
      <c r="BV124" s="10"/>
      <c r="BW124" s="10"/>
      <c r="BX124" s="10"/>
      <c r="BY124" s="10"/>
      <c r="BZ124" s="10"/>
      <c r="CA124" s="10"/>
      <c r="CB124" s="10"/>
      <c r="CC124" s="10"/>
      <c r="CD124" s="10"/>
      <c r="CE124" s="10"/>
      <c r="CF124" s="10"/>
      <c r="CG124" s="10"/>
      <c r="CH124" s="10"/>
      <c r="CI124" s="10"/>
      <c r="CJ124" s="10"/>
      <c r="CK124" s="10"/>
      <c r="CL124" s="10"/>
      <c r="CM124" s="10"/>
      <c r="CN124" s="10"/>
      <c r="CO124" s="10"/>
      <c r="CP124" s="10"/>
      <c r="CQ124" s="10"/>
      <c r="CR124" s="10"/>
      <c r="CS124" s="10"/>
      <c r="CT124" s="10"/>
      <c r="CU124" s="10"/>
      <c r="CV124" s="10"/>
      <c r="CW124" s="10"/>
      <c r="CX124" s="10"/>
      <c r="CY124" s="10"/>
      <c r="CZ124" s="10"/>
      <c r="DA124" s="10"/>
      <c r="DB124" s="10"/>
      <c r="DC124" s="10"/>
      <c r="DD124" s="10"/>
      <c r="DE124" s="10"/>
      <c r="DF124" s="10"/>
      <c r="DG124" s="10"/>
      <c r="DH124" s="10"/>
      <c r="DI124" s="10"/>
      <c r="DJ124" s="10"/>
      <c r="DK124" s="10"/>
      <c r="DL124" s="10"/>
      <c r="DM124" s="10"/>
      <c r="DN124" s="10"/>
      <c r="DO124" s="10"/>
      <c r="DP124" s="10"/>
      <c r="DQ124" s="10"/>
      <c r="DR124" s="10"/>
    </row>
    <row r="125" spans="1:122" x14ac:dyDescent="0.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0"/>
      <c r="BL125" s="10"/>
      <c r="BM125" s="10"/>
      <c r="BN125" s="10"/>
      <c r="BO125" s="10"/>
      <c r="BP125" s="10"/>
      <c r="BQ125" s="10"/>
      <c r="BR125" s="10"/>
      <c r="BS125" s="10"/>
      <c r="BT125" s="10"/>
      <c r="BU125" s="10"/>
      <c r="BV125" s="10"/>
      <c r="BW125" s="10"/>
      <c r="BX125" s="10"/>
      <c r="BY125" s="10"/>
      <c r="BZ125" s="10"/>
      <c r="CA125" s="10"/>
      <c r="CB125" s="10"/>
      <c r="CC125" s="10"/>
      <c r="CD125" s="10"/>
      <c r="CE125" s="10"/>
      <c r="CF125" s="10"/>
      <c r="CG125" s="10"/>
      <c r="CH125" s="10"/>
      <c r="CI125" s="10"/>
      <c r="CJ125" s="10"/>
      <c r="CK125" s="10"/>
      <c r="CL125" s="10"/>
      <c r="CM125" s="10"/>
      <c r="CN125" s="10"/>
      <c r="CO125" s="10"/>
      <c r="CP125" s="10"/>
      <c r="CQ125" s="10"/>
      <c r="CR125" s="10"/>
      <c r="CS125" s="10"/>
      <c r="CT125" s="10"/>
      <c r="CU125" s="10"/>
      <c r="CV125" s="10"/>
      <c r="CW125" s="10"/>
      <c r="CX125" s="10"/>
      <c r="CY125" s="10"/>
      <c r="CZ125" s="10"/>
      <c r="DA125" s="10"/>
      <c r="DB125" s="10"/>
      <c r="DC125" s="10"/>
      <c r="DD125" s="10"/>
      <c r="DE125" s="10"/>
      <c r="DF125" s="10"/>
      <c r="DG125" s="10"/>
      <c r="DH125" s="10"/>
      <c r="DI125" s="10"/>
      <c r="DJ125" s="10"/>
      <c r="DK125" s="10"/>
      <c r="DL125" s="10"/>
      <c r="DM125" s="10"/>
      <c r="DN125" s="10"/>
      <c r="DO125" s="10"/>
      <c r="DP125" s="10"/>
      <c r="DQ125" s="10"/>
      <c r="DR125" s="10"/>
    </row>
    <row r="126" spans="1:122" x14ac:dyDescent="0.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c r="BK126" s="10"/>
      <c r="BL126" s="10"/>
      <c r="BM126" s="10"/>
      <c r="BN126" s="10"/>
      <c r="BO126" s="10"/>
      <c r="BP126" s="10"/>
      <c r="BQ126" s="10"/>
      <c r="BR126" s="10"/>
      <c r="BS126" s="10"/>
      <c r="BT126" s="10"/>
      <c r="BU126" s="10"/>
      <c r="BV126" s="10"/>
      <c r="BW126" s="10"/>
      <c r="BX126" s="10"/>
      <c r="BY126" s="10"/>
      <c r="BZ126" s="10"/>
      <c r="CA126" s="10"/>
      <c r="CB126" s="10"/>
      <c r="CC126" s="10"/>
      <c r="CD126" s="10"/>
      <c r="CE126" s="10"/>
      <c r="CF126" s="10"/>
      <c r="CG126" s="10"/>
      <c r="CH126" s="10"/>
      <c r="CI126" s="10"/>
      <c r="CJ126" s="10"/>
      <c r="CK126" s="10"/>
      <c r="CL126" s="10"/>
      <c r="CM126" s="10"/>
      <c r="CN126" s="10"/>
      <c r="CO126" s="10"/>
      <c r="CP126" s="10"/>
      <c r="CQ126" s="10"/>
      <c r="CR126" s="10"/>
      <c r="CS126" s="10"/>
      <c r="CT126" s="10"/>
      <c r="CU126" s="10"/>
      <c r="CV126" s="10"/>
      <c r="CW126" s="10"/>
      <c r="CX126" s="10"/>
      <c r="CY126" s="10"/>
      <c r="CZ126" s="10"/>
      <c r="DA126" s="10"/>
      <c r="DB126" s="10"/>
      <c r="DC126" s="10"/>
      <c r="DD126" s="10"/>
      <c r="DE126" s="10"/>
      <c r="DF126" s="10"/>
      <c r="DG126" s="10"/>
      <c r="DH126" s="10"/>
      <c r="DI126" s="10"/>
      <c r="DJ126" s="10"/>
      <c r="DK126" s="10"/>
      <c r="DL126" s="10"/>
      <c r="DM126" s="10"/>
      <c r="DN126" s="10"/>
      <c r="DO126" s="10"/>
      <c r="DP126" s="10"/>
      <c r="DQ126" s="10"/>
      <c r="DR126" s="10"/>
    </row>
    <row r="127" spans="1:122" x14ac:dyDescent="0.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0"/>
      <c r="BL127" s="10"/>
      <c r="BM127" s="10"/>
      <c r="BN127" s="10"/>
      <c r="BO127" s="10"/>
      <c r="BP127" s="10"/>
      <c r="BQ127" s="10"/>
      <c r="BR127" s="10"/>
      <c r="BS127" s="10"/>
      <c r="BT127" s="10"/>
      <c r="BU127" s="10"/>
      <c r="BV127" s="10"/>
      <c r="BW127" s="10"/>
      <c r="BX127" s="10"/>
      <c r="BY127" s="10"/>
      <c r="BZ127" s="10"/>
      <c r="CA127" s="10"/>
      <c r="CB127" s="10"/>
      <c r="CC127" s="10"/>
      <c r="CD127" s="10"/>
      <c r="CE127" s="10"/>
      <c r="CF127" s="10"/>
      <c r="CG127" s="10"/>
      <c r="CH127" s="10"/>
      <c r="CI127" s="10"/>
      <c r="CJ127" s="10"/>
      <c r="CK127" s="10"/>
      <c r="CL127" s="10"/>
      <c r="CM127" s="10"/>
      <c r="CN127" s="10"/>
      <c r="CO127" s="10"/>
      <c r="CP127" s="10"/>
      <c r="CQ127" s="10"/>
      <c r="CR127" s="10"/>
      <c r="CS127" s="10"/>
      <c r="CT127" s="10"/>
      <c r="CU127" s="10"/>
      <c r="CV127" s="10"/>
      <c r="CW127" s="10"/>
      <c r="CX127" s="10"/>
      <c r="CY127" s="10"/>
      <c r="CZ127" s="10"/>
      <c r="DA127" s="10"/>
      <c r="DB127" s="10"/>
      <c r="DC127" s="10"/>
      <c r="DD127" s="10"/>
      <c r="DE127" s="10"/>
      <c r="DF127" s="10"/>
      <c r="DG127" s="10"/>
      <c r="DH127" s="10"/>
      <c r="DI127" s="10"/>
      <c r="DJ127" s="10"/>
      <c r="DK127" s="10"/>
      <c r="DL127" s="10"/>
      <c r="DM127" s="10"/>
      <c r="DN127" s="10"/>
      <c r="DO127" s="10"/>
      <c r="DP127" s="10"/>
      <c r="DQ127" s="10"/>
      <c r="DR127" s="10"/>
    </row>
    <row r="128" spans="1:122" x14ac:dyDescent="0.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10"/>
      <c r="BJ128" s="10"/>
      <c r="BK128" s="10"/>
      <c r="BL128" s="10"/>
      <c r="BM128" s="10"/>
      <c r="BN128" s="10"/>
      <c r="BO128" s="10"/>
      <c r="BP128" s="10"/>
      <c r="BQ128" s="10"/>
      <c r="BR128" s="10"/>
      <c r="BS128" s="10"/>
      <c r="BT128" s="10"/>
      <c r="BU128" s="10"/>
      <c r="BV128" s="10"/>
      <c r="BW128" s="10"/>
      <c r="BX128" s="10"/>
      <c r="BY128" s="10"/>
      <c r="BZ128" s="10"/>
      <c r="CA128" s="10"/>
      <c r="CB128" s="10"/>
      <c r="CC128" s="10"/>
      <c r="CD128" s="10"/>
      <c r="CE128" s="10"/>
      <c r="CF128" s="10"/>
      <c r="CG128" s="10"/>
      <c r="CH128" s="10"/>
      <c r="CI128" s="10"/>
      <c r="CJ128" s="10"/>
      <c r="CK128" s="10"/>
      <c r="CL128" s="10"/>
      <c r="CM128" s="10"/>
      <c r="CN128" s="10"/>
      <c r="CO128" s="10"/>
      <c r="CP128" s="10"/>
      <c r="CQ128" s="10"/>
      <c r="CR128" s="10"/>
      <c r="CS128" s="10"/>
      <c r="CT128" s="10"/>
      <c r="CU128" s="10"/>
      <c r="CV128" s="10"/>
      <c r="CW128" s="10"/>
      <c r="CX128" s="10"/>
      <c r="CY128" s="10"/>
      <c r="CZ128" s="10"/>
      <c r="DA128" s="10"/>
      <c r="DB128" s="10"/>
      <c r="DC128" s="10"/>
      <c r="DD128" s="10"/>
      <c r="DE128" s="10"/>
      <c r="DF128" s="10"/>
      <c r="DG128" s="10"/>
      <c r="DH128" s="10"/>
      <c r="DI128" s="10"/>
      <c r="DJ128" s="10"/>
      <c r="DK128" s="10"/>
      <c r="DL128" s="10"/>
      <c r="DM128" s="10"/>
      <c r="DN128" s="10"/>
      <c r="DO128" s="10"/>
      <c r="DP128" s="10"/>
      <c r="DQ128" s="10"/>
      <c r="DR128" s="10"/>
    </row>
    <row r="129" spans="1:122" x14ac:dyDescent="0.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10"/>
      <c r="BJ129" s="10"/>
      <c r="BK129" s="10"/>
      <c r="BL129" s="10"/>
      <c r="BM129" s="10"/>
      <c r="BN129" s="10"/>
      <c r="BO129" s="10"/>
      <c r="BP129" s="10"/>
      <c r="BQ129" s="10"/>
      <c r="BR129" s="10"/>
      <c r="BS129" s="10"/>
      <c r="BT129" s="10"/>
      <c r="BU129" s="10"/>
      <c r="BV129" s="10"/>
      <c r="BW129" s="10"/>
      <c r="BX129" s="10"/>
      <c r="BY129" s="10"/>
      <c r="BZ129" s="10"/>
      <c r="CA129" s="10"/>
      <c r="CB129" s="10"/>
      <c r="CC129" s="10"/>
      <c r="CD129" s="10"/>
      <c r="CE129" s="10"/>
      <c r="CF129" s="10"/>
      <c r="CG129" s="10"/>
      <c r="CH129" s="10"/>
      <c r="CI129" s="10"/>
      <c r="CJ129" s="10"/>
      <c r="CK129" s="10"/>
      <c r="CL129" s="10"/>
      <c r="CM129" s="10"/>
      <c r="CN129" s="10"/>
      <c r="CO129" s="10"/>
      <c r="CP129" s="10"/>
      <c r="CQ129" s="10"/>
      <c r="CR129" s="10"/>
      <c r="CS129" s="10"/>
      <c r="CT129" s="10"/>
      <c r="CU129" s="10"/>
      <c r="CV129" s="10"/>
      <c r="CW129" s="10"/>
      <c r="CX129" s="10"/>
      <c r="CY129" s="10"/>
      <c r="CZ129" s="10"/>
      <c r="DA129" s="10"/>
      <c r="DB129" s="10"/>
      <c r="DC129" s="10"/>
      <c r="DD129" s="10"/>
      <c r="DE129" s="10"/>
      <c r="DF129" s="10"/>
      <c r="DG129" s="10"/>
      <c r="DH129" s="10"/>
      <c r="DI129" s="10"/>
      <c r="DJ129" s="10"/>
      <c r="DK129" s="10"/>
      <c r="DL129" s="10"/>
      <c r="DM129" s="10"/>
      <c r="DN129" s="10"/>
      <c r="DO129" s="10"/>
      <c r="DP129" s="10"/>
      <c r="DQ129" s="10"/>
      <c r="DR129" s="10"/>
    </row>
    <row r="130" spans="1:122" x14ac:dyDescent="0.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10"/>
      <c r="BJ130" s="10"/>
      <c r="BK130" s="10"/>
      <c r="BL130" s="10"/>
      <c r="BM130" s="10"/>
      <c r="BN130" s="10"/>
      <c r="BO130" s="10"/>
      <c r="BP130" s="10"/>
      <c r="BQ130" s="10"/>
      <c r="BR130" s="10"/>
      <c r="BS130" s="10"/>
      <c r="BT130" s="10"/>
      <c r="BU130" s="10"/>
      <c r="BV130" s="10"/>
      <c r="BW130" s="10"/>
      <c r="BX130" s="10"/>
      <c r="BY130" s="10"/>
      <c r="BZ130" s="10"/>
      <c r="CA130" s="10"/>
      <c r="CB130" s="10"/>
      <c r="CC130" s="10"/>
      <c r="CD130" s="10"/>
      <c r="CE130" s="10"/>
      <c r="CF130" s="10"/>
      <c r="CG130" s="10"/>
      <c r="CH130" s="10"/>
      <c r="CI130" s="10"/>
      <c r="CJ130" s="10"/>
      <c r="CK130" s="10"/>
      <c r="CL130" s="10"/>
      <c r="CM130" s="10"/>
      <c r="CN130" s="10"/>
      <c r="CO130" s="10"/>
      <c r="CP130" s="10"/>
      <c r="CQ130" s="10"/>
      <c r="CR130" s="10"/>
      <c r="CS130" s="10"/>
      <c r="CT130" s="10"/>
      <c r="CU130" s="10"/>
      <c r="CV130" s="10"/>
      <c r="CW130" s="10"/>
      <c r="CX130" s="10"/>
      <c r="CY130" s="10"/>
      <c r="CZ130" s="10"/>
      <c r="DA130" s="10"/>
      <c r="DB130" s="10"/>
      <c r="DC130" s="10"/>
      <c r="DD130" s="10"/>
      <c r="DE130" s="10"/>
      <c r="DF130" s="10"/>
      <c r="DG130" s="10"/>
      <c r="DH130" s="10"/>
      <c r="DI130" s="10"/>
      <c r="DJ130" s="10"/>
      <c r="DK130" s="10"/>
      <c r="DL130" s="10"/>
      <c r="DM130" s="10"/>
      <c r="DN130" s="10"/>
      <c r="DO130" s="10"/>
      <c r="DP130" s="10"/>
      <c r="DQ130" s="10"/>
      <c r="DR130" s="10"/>
    </row>
    <row r="131" spans="1:122" x14ac:dyDescent="0.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10"/>
      <c r="BJ131" s="10"/>
      <c r="BK131" s="10"/>
      <c r="BL131" s="10"/>
      <c r="BM131" s="10"/>
      <c r="BN131" s="10"/>
      <c r="BO131" s="10"/>
      <c r="BP131" s="10"/>
      <c r="BQ131" s="10"/>
      <c r="BR131" s="10"/>
      <c r="BS131" s="10"/>
      <c r="BT131" s="10"/>
      <c r="BU131" s="10"/>
      <c r="BV131" s="10"/>
      <c r="BW131" s="10"/>
      <c r="BX131" s="10"/>
      <c r="BY131" s="10"/>
      <c r="BZ131" s="10"/>
      <c r="CA131" s="10"/>
      <c r="CB131" s="10"/>
      <c r="CC131" s="10"/>
      <c r="CD131" s="10"/>
      <c r="CE131" s="10"/>
      <c r="CF131" s="10"/>
      <c r="CG131" s="10"/>
      <c r="CH131" s="10"/>
      <c r="CI131" s="10"/>
      <c r="CJ131" s="10"/>
      <c r="CK131" s="10"/>
      <c r="CL131" s="10"/>
      <c r="CM131" s="10"/>
      <c r="CN131" s="10"/>
      <c r="CO131" s="10"/>
      <c r="CP131" s="10"/>
      <c r="CQ131" s="10"/>
      <c r="CR131" s="10"/>
      <c r="CS131" s="10"/>
      <c r="CT131" s="10"/>
      <c r="CU131" s="10"/>
      <c r="CV131" s="10"/>
      <c r="CW131" s="10"/>
      <c r="CX131" s="10"/>
      <c r="CY131" s="10"/>
      <c r="CZ131" s="10"/>
      <c r="DA131" s="10"/>
      <c r="DB131" s="10"/>
      <c r="DC131" s="10"/>
      <c r="DD131" s="10"/>
      <c r="DE131" s="10"/>
      <c r="DF131" s="10"/>
      <c r="DG131" s="10"/>
      <c r="DH131" s="10"/>
      <c r="DI131" s="10"/>
      <c r="DJ131" s="10"/>
      <c r="DK131" s="10"/>
      <c r="DL131" s="10"/>
      <c r="DM131" s="10"/>
      <c r="DN131" s="10"/>
      <c r="DO131" s="10"/>
      <c r="DP131" s="10"/>
      <c r="DQ131" s="10"/>
      <c r="DR131" s="10"/>
    </row>
    <row r="132" spans="1:122" x14ac:dyDescent="0.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10"/>
      <c r="BJ132" s="10"/>
      <c r="BK132" s="10"/>
      <c r="BL132" s="10"/>
      <c r="BM132" s="10"/>
      <c r="BN132" s="10"/>
      <c r="BO132" s="10"/>
      <c r="BP132" s="10"/>
      <c r="BQ132" s="10"/>
      <c r="BR132" s="10"/>
      <c r="BS132" s="10"/>
      <c r="BT132" s="10"/>
      <c r="BU132" s="10"/>
      <c r="BV132" s="10"/>
      <c r="BW132" s="10"/>
      <c r="BX132" s="10"/>
      <c r="BY132" s="10"/>
      <c r="BZ132" s="10"/>
      <c r="CA132" s="10"/>
      <c r="CB132" s="10"/>
      <c r="CC132" s="10"/>
      <c r="CD132" s="10"/>
      <c r="CE132" s="10"/>
      <c r="CF132" s="10"/>
      <c r="CG132" s="10"/>
      <c r="CH132" s="10"/>
      <c r="CI132" s="10"/>
      <c r="CJ132" s="10"/>
      <c r="CK132" s="10"/>
      <c r="CL132" s="10"/>
      <c r="CM132" s="10"/>
      <c r="CN132" s="10"/>
      <c r="CO132" s="10"/>
      <c r="CP132" s="10"/>
      <c r="CQ132" s="10"/>
      <c r="CR132" s="10"/>
      <c r="CS132" s="10"/>
      <c r="CT132" s="10"/>
      <c r="CU132" s="10"/>
      <c r="CV132" s="10"/>
      <c r="CW132" s="10"/>
      <c r="CX132" s="10"/>
      <c r="CY132" s="10"/>
      <c r="CZ132" s="10"/>
      <c r="DA132" s="10"/>
      <c r="DB132" s="10"/>
      <c r="DC132" s="10"/>
      <c r="DD132" s="10"/>
      <c r="DE132" s="10"/>
      <c r="DF132" s="10"/>
      <c r="DG132" s="10"/>
      <c r="DH132" s="10"/>
      <c r="DI132" s="10"/>
      <c r="DJ132" s="10"/>
      <c r="DK132" s="10"/>
      <c r="DL132" s="10"/>
      <c r="DM132" s="10"/>
      <c r="DN132" s="10"/>
      <c r="DO132" s="10"/>
      <c r="DP132" s="10"/>
      <c r="DQ132" s="10"/>
      <c r="DR132" s="10"/>
    </row>
    <row r="133" spans="1:122" x14ac:dyDescent="0.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10"/>
      <c r="BJ133" s="10"/>
      <c r="BK133" s="10"/>
      <c r="BL133" s="10"/>
      <c r="BM133" s="10"/>
      <c r="BN133" s="10"/>
      <c r="BO133" s="10"/>
      <c r="BP133" s="10"/>
      <c r="BQ133" s="10"/>
      <c r="BR133" s="10"/>
      <c r="BS133" s="10"/>
      <c r="BT133" s="10"/>
      <c r="BU133" s="10"/>
      <c r="BV133" s="10"/>
      <c r="BW133" s="10"/>
      <c r="BX133" s="10"/>
      <c r="BY133" s="10"/>
      <c r="BZ133" s="10"/>
      <c r="CA133" s="10"/>
      <c r="CB133" s="10"/>
      <c r="CC133" s="10"/>
      <c r="CD133" s="10"/>
      <c r="CE133" s="10"/>
      <c r="CF133" s="10"/>
      <c r="CG133" s="10"/>
      <c r="CH133" s="10"/>
      <c r="CI133" s="10"/>
      <c r="CJ133" s="10"/>
      <c r="CK133" s="10"/>
      <c r="CL133" s="10"/>
      <c r="CM133" s="10"/>
      <c r="CN133" s="10"/>
      <c r="CO133" s="10"/>
      <c r="CP133" s="10"/>
      <c r="CQ133" s="10"/>
      <c r="CR133" s="10"/>
      <c r="CS133" s="10"/>
      <c r="CT133" s="10"/>
      <c r="CU133" s="10"/>
      <c r="CV133" s="10"/>
      <c r="CW133" s="10"/>
      <c r="CX133" s="10"/>
      <c r="CY133" s="10"/>
      <c r="CZ133" s="10"/>
      <c r="DA133" s="10"/>
      <c r="DB133" s="10"/>
      <c r="DC133" s="10"/>
      <c r="DD133" s="10"/>
      <c r="DE133" s="10"/>
      <c r="DF133" s="10"/>
      <c r="DG133" s="10"/>
      <c r="DH133" s="10"/>
      <c r="DI133" s="10"/>
      <c r="DJ133" s="10"/>
      <c r="DK133" s="10"/>
      <c r="DL133" s="10"/>
      <c r="DM133" s="10"/>
      <c r="DN133" s="10"/>
      <c r="DO133" s="10"/>
      <c r="DP133" s="10"/>
      <c r="DQ133" s="10"/>
      <c r="DR133" s="10"/>
    </row>
    <row r="134" spans="1:122" x14ac:dyDescent="0.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10"/>
      <c r="BJ134" s="10"/>
      <c r="BK134" s="10"/>
      <c r="BL134" s="10"/>
      <c r="BM134" s="10"/>
      <c r="BN134" s="10"/>
      <c r="BO134" s="10"/>
      <c r="BP134" s="10"/>
      <c r="BQ134" s="10"/>
      <c r="BR134" s="10"/>
      <c r="BS134" s="10"/>
      <c r="BT134" s="10"/>
      <c r="BU134" s="10"/>
      <c r="BV134" s="10"/>
      <c r="BW134" s="10"/>
      <c r="BX134" s="10"/>
      <c r="BY134" s="10"/>
      <c r="BZ134" s="10"/>
      <c r="CA134" s="10"/>
      <c r="CB134" s="10"/>
      <c r="CC134" s="10"/>
      <c r="CD134" s="10"/>
      <c r="CE134" s="10"/>
      <c r="CF134" s="10"/>
      <c r="CG134" s="10"/>
      <c r="CH134" s="10"/>
      <c r="CI134" s="10"/>
      <c r="CJ134" s="10"/>
      <c r="CK134" s="10"/>
      <c r="CL134" s="10"/>
      <c r="CM134" s="10"/>
      <c r="CN134" s="10"/>
      <c r="CO134" s="10"/>
      <c r="CP134" s="10"/>
      <c r="CQ134" s="10"/>
      <c r="CR134" s="10"/>
      <c r="CS134" s="10"/>
      <c r="CT134" s="10"/>
      <c r="CU134" s="10"/>
      <c r="CV134" s="10"/>
      <c r="CW134" s="10"/>
      <c r="CX134" s="10"/>
      <c r="CY134" s="10"/>
      <c r="CZ134" s="10"/>
      <c r="DA134" s="10"/>
      <c r="DB134" s="10"/>
      <c r="DC134" s="10"/>
      <c r="DD134" s="10"/>
      <c r="DE134" s="10"/>
      <c r="DF134" s="10"/>
      <c r="DG134" s="10"/>
      <c r="DH134" s="10"/>
      <c r="DI134" s="10"/>
      <c r="DJ134" s="10"/>
      <c r="DK134" s="10"/>
      <c r="DL134" s="10"/>
      <c r="DM134" s="10"/>
      <c r="DN134" s="10"/>
      <c r="DO134" s="10"/>
      <c r="DP134" s="10"/>
      <c r="DQ134" s="10"/>
      <c r="DR134" s="10"/>
    </row>
    <row r="135" spans="1:122" x14ac:dyDescent="0.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10"/>
      <c r="BJ135" s="10"/>
      <c r="BK135" s="10"/>
      <c r="BL135" s="10"/>
      <c r="BM135" s="10"/>
      <c r="BN135" s="10"/>
      <c r="BO135" s="10"/>
      <c r="BP135" s="10"/>
      <c r="BQ135" s="10"/>
      <c r="BR135" s="10"/>
      <c r="BS135" s="10"/>
      <c r="BT135" s="10"/>
      <c r="BU135" s="10"/>
      <c r="BV135" s="10"/>
      <c r="BW135" s="10"/>
      <c r="BX135" s="10"/>
      <c r="BY135" s="10"/>
      <c r="BZ135" s="10"/>
      <c r="CA135" s="10"/>
      <c r="CB135" s="10"/>
      <c r="CC135" s="10"/>
      <c r="CD135" s="10"/>
      <c r="CE135" s="10"/>
      <c r="CF135" s="10"/>
      <c r="CG135" s="10"/>
      <c r="CH135" s="10"/>
      <c r="CI135" s="10"/>
      <c r="CJ135" s="10"/>
      <c r="CK135" s="10"/>
      <c r="CL135" s="10"/>
      <c r="CM135" s="10"/>
      <c r="CN135" s="10"/>
      <c r="CO135" s="10"/>
      <c r="CP135" s="10"/>
      <c r="CQ135" s="10"/>
      <c r="CR135" s="10"/>
      <c r="CS135" s="10"/>
      <c r="CT135" s="10"/>
      <c r="CU135" s="10"/>
      <c r="CV135" s="10"/>
      <c r="CW135" s="10"/>
      <c r="CX135" s="10"/>
      <c r="CY135" s="10"/>
      <c r="CZ135" s="10"/>
      <c r="DA135" s="10"/>
      <c r="DB135" s="10"/>
      <c r="DC135" s="10"/>
      <c r="DD135" s="10"/>
      <c r="DE135" s="10"/>
      <c r="DF135" s="10"/>
      <c r="DG135" s="10"/>
      <c r="DH135" s="10"/>
      <c r="DI135" s="10"/>
      <c r="DJ135" s="10"/>
      <c r="DK135" s="10"/>
      <c r="DL135" s="10"/>
      <c r="DM135" s="10"/>
      <c r="DN135" s="10"/>
      <c r="DO135" s="10"/>
      <c r="DP135" s="10"/>
      <c r="DQ135" s="10"/>
      <c r="DR135" s="10"/>
    </row>
    <row r="136" spans="1:122" x14ac:dyDescent="0.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10"/>
      <c r="BJ136" s="10"/>
      <c r="BK136" s="10"/>
      <c r="BL136" s="10"/>
      <c r="BM136" s="10"/>
      <c r="BN136" s="10"/>
      <c r="BO136" s="10"/>
      <c r="BP136" s="10"/>
      <c r="BQ136" s="10"/>
      <c r="BR136" s="10"/>
      <c r="BS136" s="10"/>
      <c r="BT136" s="10"/>
      <c r="BU136" s="10"/>
      <c r="BV136" s="10"/>
      <c r="BW136" s="10"/>
      <c r="BX136" s="10"/>
      <c r="BY136" s="10"/>
      <c r="BZ136" s="10"/>
      <c r="CA136" s="10"/>
      <c r="CB136" s="10"/>
      <c r="CC136" s="10"/>
      <c r="CD136" s="10"/>
      <c r="CE136" s="10"/>
      <c r="CF136" s="10"/>
      <c r="CG136" s="10"/>
      <c r="CH136" s="10"/>
      <c r="CI136" s="10"/>
      <c r="CJ136" s="10"/>
      <c r="CK136" s="10"/>
      <c r="CL136" s="10"/>
      <c r="CM136" s="10"/>
      <c r="CN136" s="10"/>
      <c r="CO136" s="10"/>
      <c r="CP136" s="10"/>
      <c r="CQ136" s="10"/>
      <c r="CR136" s="10"/>
      <c r="CS136" s="10"/>
      <c r="CT136" s="10"/>
      <c r="CU136" s="10"/>
      <c r="CV136" s="10"/>
      <c r="CW136" s="10"/>
      <c r="CX136" s="10"/>
      <c r="CY136" s="10"/>
      <c r="CZ136" s="10"/>
      <c r="DA136" s="10"/>
      <c r="DB136" s="10"/>
      <c r="DC136" s="10"/>
      <c r="DD136" s="10"/>
      <c r="DE136" s="10"/>
      <c r="DF136" s="10"/>
      <c r="DG136" s="10"/>
      <c r="DH136" s="10"/>
      <c r="DI136" s="10"/>
      <c r="DJ136" s="10"/>
      <c r="DK136" s="10"/>
      <c r="DL136" s="10"/>
      <c r="DM136" s="10"/>
      <c r="DN136" s="10"/>
      <c r="DO136" s="10"/>
      <c r="DP136" s="10"/>
      <c r="DQ136" s="10"/>
      <c r="DR136" s="10"/>
    </row>
    <row r="137" spans="1:122" x14ac:dyDescent="0.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10"/>
      <c r="BJ137" s="10"/>
      <c r="BK137" s="10"/>
      <c r="BL137" s="10"/>
      <c r="BM137" s="10"/>
      <c r="BN137" s="10"/>
      <c r="BO137" s="10"/>
      <c r="BP137" s="10"/>
      <c r="BQ137" s="10"/>
      <c r="BR137" s="10"/>
      <c r="BS137" s="10"/>
      <c r="BT137" s="10"/>
      <c r="BU137" s="10"/>
      <c r="BV137" s="10"/>
      <c r="BW137" s="10"/>
      <c r="BX137" s="10"/>
      <c r="BY137" s="10"/>
      <c r="BZ137" s="10"/>
      <c r="CA137" s="10"/>
      <c r="CB137" s="10"/>
      <c r="CC137" s="10"/>
      <c r="CD137" s="10"/>
      <c r="CE137" s="10"/>
      <c r="CF137" s="10"/>
      <c r="CG137" s="10"/>
      <c r="CH137" s="10"/>
      <c r="CI137" s="10"/>
      <c r="CJ137" s="10"/>
      <c r="CK137" s="10"/>
      <c r="CL137" s="10"/>
      <c r="CM137" s="10"/>
      <c r="CN137" s="10"/>
      <c r="CO137" s="10"/>
      <c r="CP137" s="10"/>
      <c r="CQ137" s="10"/>
      <c r="CR137" s="10"/>
      <c r="CS137" s="10"/>
      <c r="CT137" s="10"/>
      <c r="CU137" s="10"/>
      <c r="CV137" s="10"/>
      <c r="CW137" s="10"/>
      <c r="CX137" s="10"/>
      <c r="CY137" s="10"/>
      <c r="CZ137" s="10"/>
      <c r="DA137" s="10"/>
      <c r="DB137" s="10"/>
      <c r="DC137" s="10"/>
      <c r="DD137" s="10"/>
      <c r="DE137" s="10"/>
      <c r="DF137" s="10"/>
      <c r="DG137" s="10"/>
      <c r="DH137" s="10"/>
      <c r="DI137" s="10"/>
      <c r="DJ137" s="10"/>
      <c r="DK137" s="10"/>
      <c r="DL137" s="10"/>
      <c r="DM137" s="10"/>
      <c r="DN137" s="10"/>
      <c r="DO137" s="10"/>
      <c r="DP137" s="10"/>
      <c r="DQ137" s="10"/>
      <c r="DR137" s="10"/>
    </row>
    <row r="138" spans="1:122" x14ac:dyDescent="0.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10"/>
      <c r="BJ138" s="10"/>
      <c r="BK138" s="10"/>
      <c r="BL138" s="10"/>
      <c r="BM138" s="10"/>
      <c r="BN138" s="10"/>
      <c r="BO138" s="10"/>
      <c r="BP138" s="10"/>
      <c r="BQ138" s="10"/>
      <c r="BR138" s="10"/>
      <c r="BS138" s="10"/>
      <c r="BT138" s="10"/>
      <c r="BU138" s="10"/>
      <c r="BV138" s="10"/>
      <c r="BW138" s="10"/>
      <c r="BX138" s="10"/>
      <c r="BY138" s="10"/>
      <c r="BZ138" s="10"/>
      <c r="CA138" s="10"/>
      <c r="CB138" s="10"/>
      <c r="CC138" s="10"/>
      <c r="CD138" s="10"/>
      <c r="CE138" s="10"/>
      <c r="CF138" s="10"/>
      <c r="CG138" s="10"/>
      <c r="CH138" s="10"/>
      <c r="CI138" s="10"/>
      <c r="CJ138" s="10"/>
      <c r="CK138" s="10"/>
      <c r="CL138" s="10"/>
      <c r="CM138" s="10"/>
      <c r="CN138" s="10"/>
      <c r="CO138" s="10"/>
      <c r="CP138" s="10"/>
      <c r="CQ138" s="10"/>
      <c r="CR138" s="10"/>
      <c r="CS138" s="10"/>
      <c r="CT138" s="10"/>
      <c r="CU138" s="10"/>
      <c r="CV138" s="10"/>
      <c r="CW138" s="10"/>
      <c r="CX138" s="10"/>
      <c r="CY138" s="10"/>
      <c r="CZ138" s="10"/>
      <c r="DA138" s="10"/>
      <c r="DB138" s="10"/>
      <c r="DC138" s="10"/>
      <c r="DD138" s="10"/>
      <c r="DE138" s="10"/>
      <c r="DF138" s="10"/>
      <c r="DG138" s="10"/>
      <c r="DH138" s="10"/>
      <c r="DI138" s="10"/>
      <c r="DJ138" s="10"/>
      <c r="DK138" s="10"/>
      <c r="DL138" s="10"/>
      <c r="DM138" s="10"/>
      <c r="DN138" s="10"/>
      <c r="DO138" s="10"/>
      <c r="DP138" s="10"/>
      <c r="DQ138" s="10"/>
      <c r="DR138" s="10"/>
    </row>
    <row r="139" spans="1:122" x14ac:dyDescent="0.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10"/>
      <c r="BJ139" s="10"/>
      <c r="BK139" s="10"/>
      <c r="BL139" s="10"/>
      <c r="BM139" s="10"/>
      <c r="BN139" s="10"/>
      <c r="BO139" s="10"/>
      <c r="BP139" s="10"/>
      <c r="BQ139" s="10"/>
      <c r="BR139" s="10"/>
      <c r="BS139" s="10"/>
      <c r="BT139" s="10"/>
      <c r="BU139" s="10"/>
      <c r="BV139" s="10"/>
      <c r="BW139" s="10"/>
      <c r="BX139" s="10"/>
      <c r="BY139" s="10"/>
      <c r="BZ139" s="10"/>
      <c r="CA139" s="10"/>
      <c r="CB139" s="10"/>
      <c r="CC139" s="10"/>
      <c r="CD139" s="10"/>
      <c r="CE139" s="10"/>
      <c r="CF139" s="10"/>
      <c r="CG139" s="10"/>
      <c r="CH139" s="10"/>
      <c r="CI139" s="10"/>
      <c r="CJ139" s="10"/>
      <c r="CK139" s="10"/>
      <c r="CL139" s="10"/>
      <c r="CM139" s="10"/>
      <c r="CN139" s="10"/>
      <c r="CO139" s="10"/>
      <c r="CP139" s="10"/>
      <c r="CQ139" s="10"/>
      <c r="CR139" s="10"/>
      <c r="CS139" s="10"/>
      <c r="CT139" s="10"/>
      <c r="CU139" s="10"/>
      <c r="CV139" s="10"/>
      <c r="CW139" s="10"/>
      <c r="CX139" s="10"/>
      <c r="CY139" s="10"/>
      <c r="CZ139" s="10"/>
      <c r="DA139" s="10"/>
      <c r="DB139" s="10"/>
      <c r="DC139" s="10"/>
      <c r="DD139" s="10"/>
      <c r="DE139" s="10"/>
      <c r="DF139" s="10"/>
      <c r="DG139" s="10"/>
      <c r="DH139" s="10"/>
      <c r="DI139" s="10"/>
      <c r="DJ139" s="10"/>
      <c r="DK139" s="10"/>
      <c r="DL139" s="10"/>
      <c r="DM139" s="10"/>
      <c r="DN139" s="10"/>
      <c r="DO139" s="10"/>
      <c r="DP139" s="10"/>
      <c r="DQ139" s="10"/>
      <c r="DR139" s="10"/>
    </row>
    <row r="140" spans="1:122" x14ac:dyDescent="0.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10"/>
      <c r="BJ140" s="10"/>
      <c r="BK140" s="10"/>
      <c r="BL140" s="10"/>
      <c r="BM140" s="10"/>
      <c r="BN140" s="10"/>
      <c r="BO140" s="10"/>
      <c r="BP140" s="10"/>
      <c r="BQ140" s="10"/>
      <c r="BR140" s="10"/>
      <c r="BS140" s="10"/>
      <c r="BT140" s="10"/>
      <c r="BU140" s="10"/>
      <c r="BV140" s="10"/>
      <c r="BW140" s="10"/>
      <c r="BX140" s="10"/>
      <c r="BY140" s="10"/>
      <c r="BZ140" s="10"/>
      <c r="CA140" s="10"/>
      <c r="CB140" s="10"/>
      <c r="CC140" s="10"/>
      <c r="CD140" s="10"/>
      <c r="CE140" s="10"/>
      <c r="CF140" s="10"/>
      <c r="CG140" s="10"/>
      <c r="CH140" s="10"/>
      <c r="CI140" s="10"/>
      <c r="CJ140" s="10"/>
      <c r="CK140" s="10"/>
      <c r="CL140" s="10"/>
      <c r="CM140" s="10"/>
      <c r="CN140" s="10"/>
      <c r="CO140" s="10"/>
      <c r="CP140" s="10"/>
      <c r="CQ140" s="10"/>
      <c r="CR140" s="10"/>
      <c r="CS140" s="10"/>
      <c r="CT140" s="10"/>
      <c r="CU140" s="10"/>
      <c r="CV140" s="10"/>
      <c r="CW140" s="10"/>
      <c r="CX140" s="10"/>
      <c r="CY140" s="10"/>
      <c r="CZ140" s="10"/>
      <c r="DA140" s="10"/>
      <c r="DB140" s="10"/>
      <c r="DC140" s="10"/>
      <c r="DD140" s="10"/>
      <c r="DE140" s="10"/>
      <c r="DF140" s="10"/>
      <c r="DG140" s="10"/>
      <c r="DH140" s="10"/>
      <c r="DI140" s="10"/>
      <c r="DJ140" s="10"/>
      <c r="DK140" s="10"/>
      <c r="DL140" s="10"/>
      <c r="DM140" s="10"/>
      <c r="DN140" s="10"/>
      <c r="DO140" s="10"/>
      <c r="DP140" s="10"/>
      <c r="DQ140" s="10"/>
      <c r="DR140" s="10"/>
    </row>
    <row r="141" spans="1:122" x14ac:dyDescent="0.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c r="BP141" s="10"/>
      <c r="BQ141" s="10"/>
      <c r="BR141" s="10"/>
      <c r="BS141" s="10"/>
      <c r="BT141" s="10"/>
      <c r="BU141" s="10"/>
      <c r="BV141" s="10"/>
      <c r="BW141" s="10"/>
      <c r="BX141" s="10"/>
      <c r="BY141" s="10"/>
      <c r="BZ141" s="10"/>
      <c r="CA141" s="10"/>
      <c r="CB141" s="10"/>
      <c r="CC141" s="10"/>
      <c r="CD141" s="10"/>
      <c r="CE141" s="10"/>
      <c r="CF141" s="10"/>
      <c r="CG141" s="10"/>
      <c r="CH141" s="10"/>
      <c r="CI141" s="10"/>
      <c r="CJ141" s="10"/>
      <c r="CK141" s="10"/>
      <c r="CL141" s="10"/>
      <c r="CM141" s="10"/>
      <c r="CN141" s="10"/>
      <c r="CO141" s="10"/>
      <c r="CP141" s="10"/>
      <c r="CQ141" s="10"/>
      <c r="CR141" s="10"/>
      <c r="CS141" s="10"/>
      <c r="CT141" s="10"/>
      <c r="CU141" s="10"/>
      <c r="CV141" s="10"/>
      <c r="CW141" s="10"/>
      <c r="CX141" s="10"/>
      <c r="CY141" s="10"/>
      <c r="CZ141" s="10"/>
      <c r="DA141" s="10"/>
      <c r="DB141" s="10"/>
      <c r="DC141" s="10"/>
      <c r="DD141" s="10"/>
      <c r="DE141" s="10"/>
      <c r="DF141" s="10"/>
      <c r="DG141" s="10"/>
      <c r="DH141" s="10"/>
      <c r="DI141" s="10"/>
      <c r="DJ141" s="10"/>
      <c r="DK141" s="10"/>
      <c r="DL141" s="10"/>
      <c r="DM141" s="10"/>
      <c r="DN141" s="10"/>
      <c r="DO141" s="10"/>
      <c r="DP141" s="10"/>
      <c r="DQ141" s="10"/>
      <c r="DR141" s="10"/>
    </row>
    <row r="142" spans="1:122" x14ac:dyDescent="0.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c r="BP142" s="10"/>
      <c r="BQ142" s="10"/>
      <c r="BR142" s="10"/>
      <c r="BS142" s="10"/>
      <c r="BT142" s="10"/>
      <c r="BU142" s="10"/>
      <c r="BV142" s="10"/>
      <c r="BW142" s="10"/>
      <c r="BX142" s="10"/>
      <c r="BY142" s="10"/>
      <c r="BZ142" s="10"/>
      <c r="CA142" s="10"/>
      <c r="CB142" s="10"/>
      <c r="CC142" s="10"/>
      <c r="CD142" s="10"/>
      <c r="CE142" s="10"/>
      <c r="CF142" s="10"/>
      <c r="CG142" s="10"/>
      <c r="CH142" s="10"/>
      <c r="CI142" s="10"/>
      <c r="CJ142" s="10"/>
      <c r="CK142" s="10"/>
      <c r="CL142" s="10"/>
      <c r="CM142" s="10"/>
      <c r="CN142" s="10"/>
      <c r="CO142" s="10"/>
      <c r="CP142" s="10"/>
      <c r="CQ142" s="10"/>
      <c r="CR142" s="10"/>
      <c r="CS142" s="10"/>
      <c r="CT142" s="10"/>
      <c r="CU142" s="10"/>
      <c r="CV142" s="10"/>
      <c r="CW142" s="10"/>
      <c r="CX142" s="10"/>
      <c r="CY142" s="10"/>
      <c r="CZ142" s="10"/>
      <c r="DA142" s="10"/>
      <c r="DB142" s="10"/>
      <c r="DC142" s="10"/>
      <c r="DD142" s="10"/>
      <c r="DE142" s="10"/>
      <c r="DF142" s="10"/>
      <c r="DG142" s="10"/>
      <c r="DH142" s="10"/>
      <c r="DI142" s="10"/>
      <c r="DJ142" s="10"/>
      <c r="DK142" s="10"/>
      <c r="DL142" s="10"/>
      <c r="DM142" s="10"/>
      <c r="DN142" s="10"/>
      <c r="DO142" s="10"/>
      <c r="DP142" s="10"/>
      <c r="DQ142" s="10"/>
      <c r="DR142" s="10"/>
    </row>
    <row r="143" spans="1:122" x14ac:dyDescent="0.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10"/>
      <c r="BJ143" s="10"/>
      <c r="BK143" s="10"/>
      <c r="BL143" s="10"/>
      <c r="BM143" s="10"/>
      <c r="BN143" s="10"/>
      <c r="BO143" s="10"/>
      <c r="BP143" s="10"/>
      <c r="BQ143" s="10"/>
      <c r="BR143" s="10"/>
      <c r="BS143" s="10"/>
      <c r="BT143" s="10"/>
      <c r="BU143" s="10"/>
      <c r="BV143" s="10"/>
      <c r="BW143" s="10"/>
      <c r="BX143" s="10"/>
      <c r="BY143" s="10"/>
      <c r="BZ143" s="10"/>
      <c r="CA143" s="10"/>
      <c r="CB143" s="10"/>
      <c r="CC143" s="10"/>
      <c r="CD143" s="10"/>
      <c r="CE143" s="10"/>
      <c r="CF143" s="10"/>
      <c r="CG143" s="10"/>
      <c r="CH143" s="10"/>
      <c r="CI143" s="10"/>
      <c r="CJ143" s="10"/>
      <c r="CK143" s="10"/>
      <c r="CL143" s="10"/>
      <c r="CM143" s="10"/>
      <c r="CN143" s="10"/>
      <c r="CO143" s="10"/>
      <c r="CP143" s="10"/>
      <c r="CQ143" s="10"/>
      <c r="CR143" s="10"/>
      <c r="CS143" s="10"/>
      <c r="CT143" s="10"/>
      <c r="CU143" s="10"/>
      <c r="CV143" s="10"/>
      <c r="CW143" s="10"/>
      <c r="CX143" s="10"/>
      <c r="CY143" s="10"/>
      <c r="CZ143" s="10"/>
      <c r="DA143" s="10"/>
      <c r="DB143" s="10"/>
      <c r="DC143" s="10"/>
      <c r="DD143" s="10"/>
      <c r="DE143" s="10"/>
      <c r="DF143" s="10"/>
      <c r="DG143" s="10"/>
      <c r="DH143" s="10"/>
      <c r="DI143" s="10"/>
      <c r="DJ143" s="10"/>
      <c r="DK143" s="10"/>
      <c r="DL143" s="10"/>
      <c r="DM143" s="10"/>
      <c r="DN143" s="10"/>
      <c r="DO143" s="10"/>
      <c r="DP143" s="10"/>
      <c r="DQ143" s="10"/>
      <c r="DR143" s="10"/>
    </row>
    <row r="144" spans="1:122" x14ac:dyDescent="0.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10"/>
      <c r="BJ144" s="10"/>
      <c r="BK144" s="10"/>
      <c r="BL144" s="10"/>
      <c r="BM144" s="10"/>
      <c r="BN144" s="10"/>
      <c r="BO144" s="10"/>
      <c r="BP144" s="10"/>
      <c r="BQ144" s="10"/>
      <c r="BR144" s="10"/>
      <c r="BS144" s="10"/>
      <c r="BT144" s="10"/>
      <c r="BU144" s="10"/>
      <c r="BV144" s="10"/>
      <c r="BW144" s="10"/>
      <c r="BX144" s="10"/>
      <c r="BY144" s="10"/>
      <c r="BZ144" s="10"/>
      <c r="CA144" s="10"/>
      <c r="CB144" s="10"/>
      <c r="CC144" s="10"/>
      <c r="CD144" s="10"/>
      <c r="CE144" s="10"/>
      <c r="CF144" s="10"/>
      <c r="CG144" s="10"/>
      <c r="CH144" s="10"/>
      <c r="CI144" s="10"/>
      <c r="CJ144" s="10"/>
      <c r="CK144" s="10"/>
      <c r="CL144" s="10"/>
      <c r="CM144" s="10"/>
      <c r="CN144" s="10"/>
      <c r="CO144" s="10"/>
      <c r="CP144" s="10"/>
      <c r="CQ144" s="10"/>
      <c r="CR144" s="10"/>
      <c r="CS144" s="10"/>
      <c r="CT144" s="10"/>
      <c r="CU144" s="10"/>
      <c r="CV144" s="10"/>
      <c r="CW144" s="10"/>
      <c r="CX144" s="10"/>
      <c r="CY144" s="10"/>
      <c r="CZ144" s="10"/>
      <c r="DA144" s="10"/>
      <c r="DB144" s="10"/>
      <c r="DC144" s="10"/>
      <c r="DD144" s="10"/>
      <c r="DE144" s="10"/>
      <c r="DF144" s="10"/>
      <c r="DG144" s="10"/>
      <c r="DH144" s="10"/>
      <c r="DI144" s="10"/>
      <c r="DJ144" s="10"/>
      <c r="DK144" s="10"/>
      <c r="DL144" s="10"/>
      <c r="DM144" s="10"/>
      <c r="DN144" s="10"/>
      <c r="DO144" s="10"/>
      <c r="DP144" s="10"/>
      <c r="DQ144" s="10"/>
      <c r="DR144" s="10"/>
    </row>
    <row r="145" spans="1:122" x14ac:dyDescent="0.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0"/>
      <c r="BK145" s="10"/>
      <c r="BL145" s="10"/>
      <c r="BM145" s="10"/>
      <c r="BN145" s="10"/>
      <c r="BO145" s="10"/>
      <c r="BP145" s="10"/>
      <c r="BQ145" s="10"/>
      <c r="BR145" s="10"/>
      <c r="BS145" s="10"/>
      <c r="BT145" s="10"/>
      <c r="BU145" s="10"/>
      <c r="BV145" s="10"/>
      <c r="BW145" s="10"/>
      <c r="BX145" s="10"/>
      <c r="BY145" s="10"/>
      <c r="BZ145" s="10"/>
      <c r="CA145" s="10"/>
      <c r="CB145" s="10"/>
      <c r="CC145" s="10"/>
      <c r="CD145" s="10"/>
      <c r="CE145" s="10"/>
      <c r="CF145" s="10"/>
      <c r="CG145" s="10"/>
      <c r="CH145" s="10"/>
      <c r="CI145" s="10"/>
      <c r="CJ145" s="10"/>
      <c r="CK145" s="10"/>
      <c r="CL145" s="10"/>
      <c r="CM145" s="10"/>
      <c r="CN145" s="10"/>
      <c r="CO145" s="10"/>
      <c r="CP145" s="10"/>
      <c r="CQ145" s="10"/>
      <c r="CR145" s="10"/>
      <c r="CS145" s="10"/>
      <c r="CT145" s="10"/>
      <c r="CU145" s="10"/>
      <c r="CV145" s="10"/>
      <c r="CW145" s="10"/>
      <c r="CX145" s="10"/>
      <c r="CY145" s="10"/>
      <c r="CZ145" s="10"/>
      <c r="DA145" s="10"/>
      <c r="DB145" s="10"/>
      <c r="DC145" s="10"/>
      <c r="DD145" s="10"/>
      <c r="DE145" s="10"/>
      <c r="DF145" s="10"/>
      <c r="DG145" s="10"/>
      <c r="DH145" s="10"/>
      <c r="DI145" s="10"/>
      <c r="DJ145" s="10"/>
      <c r="DK145" s="10"/>
      <c r="DL145" s="10"/>
      <c r="DM145" s="10"/>
      <c r="DN145" s="10"/>
      <c r="DO145" s="10"/>
      <c r="DP145" s="10"/>
      <c r="DQ145" s="10"/>
      <c r="DR145" s="10"/>
    </row>
    <row r="146" spans="1:122" x14ac:dyDescent="0.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c r="BK146" s="10"/>
      <c r="BL146" s="10"/>
      <c r="BM146" s="10"/>
      <c r="BN146" s="10"/>
      <c r="BO146" s="10"/>
      <c r="BP146" s="10"/>
      <c r="BQ146" s="10"/>
      <c r="BR146" s="10"/>
      <c r="BS146" s="10"/>
      <c r="BT146" s="10"/>
      <c r="BU146" s="10"/>
      <c r="BV146" s="10"/>
      <c r="BW146" s="10"/>
      <c r="BX146" s="10"/>
      <c r="BY146" s="10"/>
      <c r="BZ146" s="10"/>
      <c r="CA146" s="10"/>
      <c r="CB146" s="10"/>
      <c r="CC146" s="10"/>
      <c r="CD146" s="10"/>
      <c r="CE146" s="10"/>
      <c r="CF146" s="10"/>
      <c r="CG146" s="10"/>
      <c r="CH146" s="10"/>
      <c r="CI146" s="10"/>
      <c r="CJ146" s="10"/>
      <c r="CK146" s="10"/>
      <c r="CL146" s="10"/>
      <c r="CM146" s="10"/>
      <c r="CN146" s="10"/>
      <c r="CO146" s="10"/>
      <c r="CP146" s="10"/>
      <c r="CQ146" s="10"/>
      <c r="CR146" s="10"/>
      <c r="CS146" s="10"/>
      <c r="CT146" s="10"/>
      <c r="CU146" s="10"/>
      <c r="CV146" s="10"/>
      <c r="CW146" s="10"/>
      <c r="CX146" s="10"/>
      <c r="CY146" s="10"/>
      <c r="CZ146" s="10"/>
      <c r="DA146" s="10"/>
      <c r="DB146" s="10"/>
      <c r="DC146" s="10"/>
      <c r="DD146" s="10"/>
      <c r="DE146" s="10"/>
      <c r="DF146" s="10"/>
      <c r="DG146" s="10"/>
      <c r="DH146" s="10"/>
      <c r="DI146" s="10"/>
      <c r="DJ146" s="10"/>
      <c r="DK146" s="10"/>
      <c r="DL146" s="10"/>
      <c r="DM146" s="10"/>
      <c r="DN146" s="10"/>
      <c r="DO146" s="10"/>
      <c r="DP146" s="10"/>
      <c r="DQ146" s="10"/>
      <c r="DR146" s="10"/>
    </row>
    <row r="147" spans="1:122" x14ac:dyDescent="0.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10"/>
      <c r="BJ147" s="10"/>
      <c r="BK147" s="10"/>
      <c r="BL147" s="10"/>
      <c r="BM147" s="10"/>
      <c r="BN147" s="10"/>
      <c r="BO147" s="10"/>
      <c r="BP147" s="10"/>
      <c r="BQ147" s="10"/>
      <c r="BR147" s="10"/>
      <c r="BS147" s="10"/>
      <c r="BT147" s="10"/>
      <c r="BU147" s="10"/>
      <c r="BV147" s="10"/>
      <c r="BW147" s="10"/>
      <c r="BX147" s="10"/>
      <c r="BY147" s="10"/>
      <c r="BZ147" s="10"/>
      <c r="CA147" s="10"/>
      <c r="CB147" s="10"/>
      <c r="CC147" s="10"/>
      <c r="CD147" s="10"/>
      <c r="CE147" s="10"/>
      <c r="CF147" s="10"/>
      <c r="CG147" s="10"/>
      <c r="CH147" s="10"/>
      <c r="CI147" s="10"/>
      <c r="CJ147" s="10"/>
      <c r="CK147" s="10"/>
      <c r="CL147" s="10"/>
      <c r="CM147" s="10"/>
      <c r="CN147" s="10"/>
      <c r="CO147" s="10"/>
      <c r="CP147" s="10"/>
      <c r="CQ147" s="10"/>
      <c r="CR147" s="10"/>
      <c r="CS147" s="10"/>
      <c r="CT147" s="10"/>
      <c r="CU147" s="10"/>
      <c r="CV147" s="10"/>
      <c r="CW147" s="10"/>
      <c r="CX147" s="10"/>
      <c r="CY147" s="10"/>
      <c r="CZ147" s="10"/>
      <c r="DA147" s="10"/>
      <c r="DB147" s="10"/>
      <c r="DC147" s="10"/>
      <c r="DD147" s="10"/>
      <c r="DE147" s="10"/>
      <c r="DF147" s="10"/>
      <c r="DG147" s="10"/>
      <c r="DH147" s="10"/>
      <c r="DI147" s="10"/>
      <c r="DJ147" s="10"/>
      <c r="DK147" s="10"/>
      <c r="DL147" s="10"/>
      <c r="DM147" s="10"/>
      <c r="DN147" s="10"/>
      <c r="DO147" s="10"/>
      <c r="DP147" s="10"/>
      <c r="DQ147" s="10"/>
      <c r="DR147" s="10"/>
    </row>
    <row r="148" spans="1:122" x14ac:dyDescent="0.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10"/>
      <c r="BJ148" s="10"/>
      <c r="BK148" s="10"/>
      <c r="BL148" s="10"/>
      <c r="BM148" s="10"/>
      <c r="BN148" s="10"/>
      <c r="BO148" s="10"/>
      <c r="BP148" s="10"/>
      <c r="BQ148" s="10"/>
      <c r="BR148" s="10"/>
      <c r="BS148" s="10"/>
      <c r="BT148" s="10"/>
      <c r="BU148" s="10"/>
      <c r="BV148" s="10"/>
      <c r="BW148" s="10"/>
      <c r="BX148" s="10"/>
      <c r="BY148" s="10"/>
      <c r="BZ148" s="10"/>
      <c r="CA148" s="10"/>
      <c r="CB148" s="10"/>
      <c r="CC148" s="10"/>
      <c r="CD148" s="10"/>
      <c r="CE148" s="10"/>
      <c r="CF148" s="10"/>
      <c r="CG148" s="10"/>
      <c r="CH148" s="10"/>
      <c r="CI148" s="10"/>
      <c r="CJ148" s="10"/>
      <c r="CK148" s="10"/>
      <c r="CL148" s="10"/>
      <c r="CM148" s="10"/>
      <c r="CN148" s="10"/>
      <c r="CO148" s="10"/>
      <c r="CP148" s="10"/>
      <c r="CQ148" s="10"/>
      <c r="CR148" s="10"/>
      <c r="CS148" s="10"/>
      <c r="CT148" s="10"/>
      <c r="CU148" s="10"/>
      <c r="CV148" s="10"/>
      <c r="CW148" s="10"/>
      <c r="CX148" s="10"/>
      <c r="CY148" s="10"/>
      <c r="CZ148" s="10"/>
      <c r="DA148" s="10"/>
      <c r="DB148" s="10"/>
      <c r="DC148" s="10"/>
      <c r="DD148" s="10"/>
      <c r="DE148" s="10"/>
      <c r="DF148" s="10"/>
      <c r="DG148" s="10"/>
      <c r="DH148" s="10"/>
      <c r="DI148" s="10"/>
      <c r="DJ148" s="10"/>
      <c r="DK148" s="10"/>
      <c r="DL148" s="10"/>
      <c r="DM148" s="10"/>
      <c r="DN148" s="10"/>
      <c r="DO148" s="10"/>
      <c r="DP148" s="10"/>
      <c r="DQ148" s="10"/>
      <c r="DR148" s="10"/>
    </row>
    <row r="149" spans="1:122" x14ac:dyDescent="0.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10"/>
      <c r="BK149" s="10"/>
      <c r="BL149" s="10"/>
      <c r="BM149" s="10"/>
      <c r="BN149" s="10"/>
      <c r="BO149" s="10"/>
      <c r="BP149" s="10"/>
      <c r="BQ149" s="10"/>
      <c r="BR149" s="10"/>
      <c r="BS149" s="10"/>
      <c r="BT149" s="10"/>
      <c r="BU149" s="10"/>
      <c r="BV149" s="10"/>
      <c r="BW149" s="10"/>
      <c r="BX149" s="10"/>
      <c r="BY149" s="10"/>
      <c r="BZ149" s="10"/>
      <c r="CA149" s="10"/>
      <c r="CB149" s="10"/>
      <c r="CC149" s="10"/>
      <c r="CD149" s="10"/>
      <c r="CE149" s="10"/>
      <c r="CF149" s="10"/>
      <c r="CG149" s="10"/>
      <c r="CH149" s="10"/>
      <c r="CI149" s="10"/>
      <c r="CJ149" s="10"/>
      <c r="CK149" s="10"/>
      <c r="CL149" s="10"/>
      <c r="CM149" s="10"/>
      <c r="CN149" s="10"/>
      <c r="CO149" s="10"/>
      <c r="CP149" s="10"/>
      <c r="CQ149" s="10"/>
      <c r="CR149" s="10"/>
      <c r="CS149" s="10"/>
      <c r="CT149" s="10"/>
      <c r="CU149" s="10"/>
      <c r="CV149" s="10"/>
      <c r="CW149" s="10"/>
      <c r="CX149" s="10"/>
      <c r="CY149" s="10"/>
      <c r="CZ149" s="10"/>
      <c r="DA149" s="10"/>
      <c r="DB149" s="10"/>
      <c r="DC149" s="10"/>
      <c r="DD149" s="10"/>
      <c r="DE149" s="10"/>
      <c r="DF149" s="10"/>
      <c r="DG149" s="10"/>
      <c r="DH149" s="10"/>
      <c r="DI149" s="10"/>
      <c r="DJ149" s="10"/>
      <c r="DK149" s="10"/>
      <c r="DL149" s="10"/>
      <c r="DM149" s="10"/>
      <c r="DN149" s="10"/>
      <c r="DO149" s="10"/>
      <c r="DP149" s="10"/>
      <c r="DQ149" s="10"/>
      <c r="DR149" s="10"/>
    </row>
    <row r="150" spans="1:122" x14ac:dyDescent="0.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10"/>
      <c r="BJ150" s="10"/>
      <c r="BK150" s="10"/>
      <c r="BL150" s="10"/>
      <c r="BM150" s="10"/>
      <c r="BN150" s="10"/>
      <c r="BO150" s="10"/>
      <c r="BP150" s="10"/>
      <c r="BQ150" s="10"/>
      <c r="BR150" s="10"/>
      <c r="BS150" s="10"/>
      <c r="BT150" s="10"/>
      <c r="BU150" s="10"/>
      <c r="BV150" s="10"/>
      <c r="BW150" s="10"/>
      <c r="BX150" s="10"/>
      <c r="BY150" s="10"/>
      <c r="BZ150" s="10"/>
      <c r="CA150" s="10"/>
      <c r="CB150" s="10"/>
      <c r="CC150" s="10"/>
      <c r="CD150" s="10"/>
      <c r="CE150" s="10"/>
      <c r="CF150" s="10"/>
      <c r="CG150" s="10"/>
      <c r="CH150" s="10"/>
      <c r="CI150" s="10"/>
      <c r="CJ150" s="10"/>
      <c r="CK150" s="10"/>
      <c r="CL150" s="10"/>
      <c r="CM150" s="10"/>
      <c r="CN150" s="10"/>
      <c r="CO150" s="10"/>
      <c r="CP150" s="10"/>
      <c r="CQ150" s="10"/>
      <c r="CR150" s="10"/>
      <c r="CS150" s="10"/>
      <c r="CT150" s="10"/>
      <c r="CU150" s="10"/>
      <c r="CV150" s="10"/>
      <c r="CW150" s="10"/>
      <c r="CX150" s="10"/>
      <c r="CY150" s="10"/>
      <c r="CZ150" s="10"/>
      <c r="DA150" s="10"/>
      <c r="DB150" s="10"/>
      <c r="DC150" s="10"/>
      <c r="DD150" s="10"/>
      <c r="DE150" s="10"/>
      <c r="DF150" s="10"/>
      <c r="DG150" s="10"/>
      <c r="DH150" s="10"/>
      <c r="DI150" s="10"/>
      <c r="DJ150" s="10"/>
      <c r="DK150" s="10"/>
      <c r="DL150" s="10"/>
      <c r="DM150" s="10"/>
      <c r="DN150" s="10"/>
      <c r="DO150" s="10"/>
      <c r="DP150" s="10"/>
      <c r="DQ150" s="10"/>
      <c r="DR150" s="10"/>
    </row>
    <row r="151" spans="1:122" x14ac:dyDescent="0.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10"/>
      <c r="BK151" s="10"/>
      <c r="BL151" s="10"/>
      <c r="BM151" s="10"/>
      <c r="BN151" s="10"/>
      <c r="BO151" s="10"/>
      <c r="BP151" s="10"/>
      <c r="BQ151" s="10"/>
      <c r="BR151" s="10"/>
      <c r="BS151" s="10"/>
      <c r="BT151" s="10"/>
      <c r="BU151" s="10"/>
      <c r="BV151" s="10"/>
      <c r="BW151" s="10"/>
      <c r="BX151" s="10"/>
      <c r="BY151" s="10"/>
      <c r="BZ151" s="10"/>
      <c r="CA151" s="10"/>
      <c r="CB151" s="10"/>
      <c r="CC151" s="10"/>
      <c r="CD151" s="10"/>
      <c r="CE151" s="10"/>
      <c r="CF151" s="10"/>
      <c r="CG151" s="10"/>
      <c r="CH151" s="10"/>
      <c r="CI151" s="10"/>
      <c r="CJ151" s="10"/>
      <c r="CK151" s="10"/>
      <c r="CL151" s="10"/>
      <c r="CM151" s="10"/>
      <c r="CN151" s="10"/>
      <c r="CO151" s="10"/>
      <c r="CP151" s="10"/>
      <c r="CQ151" s="10"/>
      <c r="CR151" s="10"/>
      <c r="CS151" s="10"/>
      <c r="CT151" s="10"/>
      <c r="CU151" s="10"/>
      <c r="CV151" s="10"/>
      <c r="CW151" s="10"/>
      <c r="CX151" s="10"/>
      <c r="CY151" s="10"/>
      <c r="CZ151" s="10"/>
      <c r="DA151" s="10"/>
      <c r="DB151" s="10"/>
      <c r="DC151" s="10"/>
      <c r="DD151" s="10"/>
      <c r="DE151" s="10"/>
      <c r="DF151" s="10"/>
      <c r="DG151" s="10"/>
      <c r="DH151" s="10"/>
      <c r="DI151" s="10"/>
      <c r="DJ151" s="10"/>
      <c r="DK151" s="10"/>
      <c r="DL151" s="10"/>
      <c r="DM151" s="10"/>
      <c r="DN151" s="10"/>
      <c r="DO151" s="10"/>
      <c r="DP151" s="10"/>
      <c r="DQ151" s="10"/>
      <c r="DR151" s="10"/>
    </row>
    <row r="152" spans="1:122" x14ac:dyDescent="0.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10"/>
      <c r="BJ152" s="10"/>
      <c r="BK152" s="10"/>
      <c r="BL152" s="10"/>
      <c r="BM152" s="10"/>
      <c r="BN152" s="10"/>
      <c r="BO152" s="10"/>
      <c r="BP152" s="10"/>
      <c r="BQ152" s="10"/>
      <c r="BR152" s="10"/>
      <c r="BS152" s="10"/>
      <c r="BT152" s="10"/>
      <c r="BU152" s="10"/>
      <c r="BV152" s="10"/>
      <c r="BW152" s="10"/>
      <c r="BX152" s="10"/>
      <c r="BY152" s="10"/>
      <c r="BZ152" s="10"/>
      <c r="CA152" s="10"/>
      <c r="CB152" s="10"/>
      <c r="CC152" s="10"/>
      <c r="CD152" s="10"/>
      <c r="CE152" s="10"/>
      <c r="CF152" s="10"/>
      <c r="CG152" s="10"/>
      <c r="CH152" s="10"/>
      <c r="CI152" s="10"/>
      <c r="CJ152" s="10"/>
      <c r="CK152" s="10"/>
      <c r="CL152" s="10"/>
      <c r="CM152" s="10"/>
      <c r="CN152" s="10"/>
      <c r="CO152" s="10"/>
      <c r="CP152" s="10"/>
      <c r="CQ152" s="10"/>
      <c r="CR152" s="10"/>
      <c r="CS152" s="10"/>
      <c r="CT152" s="10"/>
      <c r="CU152" s="10"/>
      <c r="CV152" s="10"/>
      <c r="CW152" s="10"/>
      <c r="CX152" s="10"/>
      <c r="CY152" s="10"/>
      <c r="CZ152" s="10"/>
      <c r="DA152" s="10"/>
      <c r="DB152" s="10"/>
      <c r="DC152" s="10"/>
      <c r="DD152" s="10"/>
      <c r="DE152" s="10"/>
      <c r="DF152" s="10"/>
      <c r="DG152" s="10"/>
      <c r="DH152" s="10"/>
      <c r="DI152" s="10"/>
      <c r="DJ152" s="10"/>
      <c r="DK152" s="10"/>
      <c r="DL152" s="10"/>
      <c r="DM152" s="10"/>
      <c r="DN152" s="10"/>
      <c r="DO152" s="10"/>
      <c r="DP152" s="10"/>
      <c r="DQ152" s="10"/>
      <c r="DR152" s="10"/>
    </row>
    <row r="153" spans="1:122" x14ac:dyDescent="0.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c r="BK153" s="10"/>
      <c r="BL153" s="10"/>
      <c r="BM153" s="10"/>
      <c r="BN153" s="10"/>
      <c r="BO153" s="10"/>
      <c r="BP153" s="10"/>
      <c r="BQ153" s="10"/>
      <c r="BR153" s="10"/>
      <c r="BS153" s="10"/>
      <c r="BT153" s="10"/>
      <c r="BU153" s="10"/>
      <c r="BV153" s="10"/>
      <c r="BW153" s="10"/>
      <c r="BX153" s="10"/>
      <c r="BY153" s="10"/>
      <c r="BZ153" s="10"/>
      <c r="CA153" s="10"/>
      <c r="CB153" s="10"/>
      <c r="CC153" s="10"/>
      <c r="CD153" s="10"/>
      <c r="CE153" s="10"/>
      <c r="CF153" s="10"/>
      <c r="CG153" s="10"/>
      <c r="CH153" s="10"/>
      <c r="CI153" s="10"/>
      <c r="CJ153" s="10"/>
      <c r="CK153" s="10"/>
      <c r="CL153" s="10"/>
      <c r="CM153" s="10"/>
      <c r="CN153" s="10"/>
      <c r="CO153" s="10"/>
      <c r="CP153" s="10"/>
      <c r="CQ153" s="10"/>
      <c r="CR153" s="10"/>
      <c r="CS153" s="10"/>
      <c r="CT153" s="10"/>
      <c r="CU153" s="10"/>
      <c r="CV153" s="10"/>
      <c r="CW153" s="10"/>
      <c r="CX153" s="10"/>
      <c r="CY153" s="10"/>
      <c r="CZ153" s="10"/>
      <c r="DA153" s="10"/>
      <c r="DB153" s="10"/>
      <c r="DC153" s="10"/>
      <c r="DD153" s="10"/>
      <c r="DE153" s="10"/>
      <c r="DF153" s="10"/>
      <c r="DG153" s="10"/>
      <c r="DH153" s="10"/>
      <c r="DI153" s="10"/>
      <c r="DJ153" s="10"/>
      <c r="DK153" s="10"/>
      <c r="DL153" s="10"/>
      <c r="DM153" s="10"/>
      <c r="DN153" s="10"/>
      <c r="DO153" s="10"/>
      <c r="DP153" s="10"/>
      <c r="DQ153" s="10"/>
      <c r="DR153" s="10"/>
    </row>
    <row r="154" spans="1:122" x14ac:dyDescent="0.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10"/>
      <c r="BJ154" s="10"/>
      <c r="BK154" s="10"/>
      <c r="BL154" s="10"/>
      <c r="BM154" s="10"/>
      <c r="BN154" s="10"/>
      <c r="BO154" s="10"/>
      <c r="BP154" s="10"/>
      <c r="BQ154" s="10"/>
      <c r="BR154" s="10"/>
      <c r="BS154" s="10"/>
      <c r="BT154" s="10"/>
      <c r="BU154" s="10"/>
      <c r="BV154" s="10"/>
      <c r="BW154" s="10"/>
      <c r="BX154" s="10"/>
      <c r="BY154" s="10"/>
      <c r="BZ154" s="10"/>
      <c r="CA154" s="10"/>
      <c r="CB154" s="10"/>
      <c r="CC154" s="10"/>
      <c r="CD154" s="10"/>
      <c r="CE154" s="10"/>
      <c r="CF154" s="10"/>
      <c r="CG154" s="10"/>
      <c r="CH154" s="10"/>
      <c r="CI154" s="10"/>
      <c r="CJ154" s="10"/>
      <c r="CK154" s="10"/>
      <c r="CL154" s="10"/>
      <c r="CM154" s="10"/>
      <c r="CN154" s="10"/>
      <c r="CO154" s="10"/>
      <c r="CP154" s="10"/>
      <c r="CQ154" s="10"/>
      <c r="CR154" s="10"/>
      <c r="CS154" s="10"/>
      <c r="CT154" s="10"/>
      <c r="CU154" s="10"/>
      <c r="CV154" s="10"/>
      <c r="CW154" s="10"/>
      <c r="CX154" s="10"/>
      <c r="CY154" s="10"/>
      <c r="CZ154" s="10"/>
      <c r="DA154" s="10"/>
      <c r="DB154" s="10"/>
      <c r="DC154" s="10"/>
      <c r="DD154" s="10"/>
      <c r="DE154" s="10"/>
      <c r="DF154" s="10"/>
      <c r="DG154" s="10"/>
      <c r="DH154" s="10"/>
      <c r="DI154" s="10"/>
      <c r="DJ154" s="10"/>
      <c r="DK154" s="10"/>
      <c r="DL154" s="10"/>
      <c r="DM154" s="10"/>
      <c r="DN154" s="10"/>
      <c r="DO154" s="10"/>
      <c r="DP154" s="10"/>
      <c r="DQ154" s="10"/>
      <c r="DR154" s="10"/>
    </row>
    <row r="155" spans="1:122" x14ac:dyDescent="0.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10"/>
      <c r="BJ155" s="10"/>
      <c r="BK155" s="10"/>
      <c r="BL155" s="10"/>
      <c r="BM155" s="10"/>
      <c r="BN155" s="10"/>
      <c r="BO155" s="10"/>
      <c r="BP155" s="10"/>
      <c r="BQ155" s="10"/>
      <c r="BR155" s="10"/>
      <c r="BS155" s="10"/>
      <c r="BT155" s="10"/>
      <c r="BU155" s="10"/>
      <c r="BV155" s="10"/>
      <c r="BW155" s="10"/>
      <c r="BX155" s="10"/>
      <c r="BY155" s="10"/>
      <c r="BZ155" s="10"/>
      <c r="CA155" s="10"/>
      <c r="CB155" s="10"/>
      <c r="CC155" s="10"/>
      <c r="CD155" s="10"/>
      <c r="CE155" s="10"/>
      <c r="CF155" s="10"/>
      <c r="CG155" s="10"/>
      <c r="CH155" s="10"/>
      <c r="CI155" s="10"/>
      <c r="CJ155" s="10"/>
      <c r="CK155" s="10"/>
      <c r="CL155" s="10"/>
      <c r="CM155" s="10"/>
      <c r="CN155" s="10"/>
      <c r="CO155" s="10"/>
      <c r="CP155" s="10"/>
      <c r="CQ155" s="10"/>
      <c r="CR155" s="10"/>
      <c r="CS155" s="10"/>
      <c r="CT155" s="10"/>
      <c r="CU155" s="10"/>
      <c r="CV155" s="10"/>
      <c r="CW155" s="10"/>
      <c r="CX155" s="10"/>
      <c r="CY155" s="10"/>
      <c r="CZ155" s="10"/>
      <c r="DA155" s="10"/>
      <c r="DB155" s="10"/>
      <c r="DC155" s="10"/>
      <c r="DD155" s="10"/>
      <c r="DE155" s="10"/>
      <c r="DF155" s="10"/>
      <c r="DG155" s="10"/>
      <c r="DH155" s="10"/>
      <c r="DI155" s="10"/>
      <c r="DJ155" s="10"/>
      <c r="DK155" s="10"/>
      <c r="DL155" s="10"/>
      <c r="DM155" s="10"/>
      <c r="DN155" s="10"/>
      <c r="DO155" s="10"/>
      <c r="DP155" s="10"/>
      <c r="DQ155" s="10"/>
      <c r="DR155" s="10"/>
    </row>
    <row r="156" spans="1:122" x14ac:dyDescent="0.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10"/>
      <c r="BK156" s="10"/>
      <c r="BL156" s="10"/>
      <c r="BM156" s="10"/>
      <c r="BN156" s="10"/>
      <c r="BO156" s="10"/>
      <c r="BP156" s="10"/>
      <c r="BQ156" s="10"/>
      <c r="BR156" s="10"/>
      <c r="BS156" s="10"/>
      <c r="BT156" s="10"/>
      <c r="BU156" s="10"/>
      <c r="BV156" s="10"/>
      <c r="BW156" s="10"/>
      <c r="BX156" s="10"/>
      <c r="BY156" s="10"/>
      <c r="BZ156" s="10"/>
      <c r="CA156" s="10"/>
      <c r="CB156" s="10"/>
      <c r="CC156" s="10"/>
      <c r="CD156" s="10"/>
      <c r="CE156" s="10"/>
      <c r="CF156" s="10"/>
      <c r="CG156" s="10"/>
      <c r="CH156" s="10"/>
      <c r="CI156" s="10"/>
      <c r="CJ156" s="10"/>
      <c r="CK156" s="10"/>
      <c r="CL156" s="10"/>
      <c r="CM156" s="10"/>
      <c r="CN156" s="10"/>
      <c r="CO156" s="10"/>
      <c r="CP156" s="10"/>
      <c r="CQ156" s="10"/>
      <c r="CR156" s="10"/>
      <c r="CS156" s="10"/>
      <c r="CT156" s="10"/>
      <c r="CU156" s="10"/>
      <c r="CV156" s="10"/>
      <c r="CW156" s="10"/>
      <c r="CX156" s="10"/>
      <c r="CY156" s="10"/>
      <c r="CZ156" s="10"/>
      <c r="DA156" s="10"/>
      <c r="DB156" s="10"/>
      <c r="DC156" s="10"/>
      <c r="DD156" s="10"/>
      <c r="DE156" s="10"/>
      <c r="DF156" s="10"/>
      <c r="DG156" s="10"/>
      <c r="DH156" s="10"/>
      <c r="DI156" s="10"/>
      <c r="DJ156" s="10"/>
      <c r="DK156" s="10"/>
      <c r="DL156" s="10"/>
      <c r="DM156" s="10"/>
      <c r="DN156" s="10"/>
      <c r="DO156" s="10"/>
      <c r="DP156" s="10"/>
      <c r="DQ156" s="10"/>
      <c r="DR156" s="10"/>
    </row>
    <row r="157" spans="1:122" x14ac:dyDescent="0.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10"/>
      <c r="BJ157" s="10"/>
      <c r="BK157" s="10"/>
      <c r="BL157" s="10"/>
      <c r="BM157" s="10"/>
      <c r="BN157" s="10"/>
      <c r="BO157" s="10"/>
      <c r="BP157" s="10"/>
      <c r="BQ157" s="10"/>
      <c r="BR157" s="10"/>
      <c r="BS157" s="10"/>
      <c r="BT157" s="10"/>
      <c r="BU157" s="10"/>
      <c r="BV157" s="10"/>
      <c r="BW157" s="10"/>
      <c r="BX157" s="10"/>
      <c r="BY157" s="10"/>
      <c r="BZ157" s="10"/>
      <c r="CA157" s="10"/>
      <c r="CB157" s="10"/>
      <c r="CC157" s="10"/>
      <c r="CD157" s="10"/>
      <c r="CE157" s="10"/>
      <c r="CF157" s="10"/>
      <c r="CG157" s="10"/>
      <c r="CH157" s="10"/>
      <c r="CI157" s="10"/>
      <c r="CJ157" s="10"/>
      <c r="CK157" s="10"/>
      <c r="CL157" s="10"/>
      <c r="CM157" s="10"/>
      <c r="CN157" s="10"/>
      <c r="CO157" s="10"/>
      <c r="CP157" s="10"/>
      <c r="CQ157" s="10"/>
      <c r="CR157" s="10"/>
      <c r="CS157" s="10"/>
      <c r="CT157" s="10"/>
      <c r="CU157" s="10"/>
      <c r="CV157" s="10"/>
      <c r="CW157" s="10"/>
      <c r="CX157" s="10"/>
      <c r="CY157" s="10"/>
      <c r="CZ157" s="10"/>
      <c r="DA157" s="10"/>
      <c r="DB157" s="10"/>
      <c r="DC157" s="10"/>
      <c r="DD157" s="10"/>
      <c r="DE157" s="10"/>
      <c r="DF157" s="10"/>
      <c r="DG157" s="10"/>
      <c r="DH157" s="10"/>
      <c r="DI157" s="10"/>
      <c r="DJ157" s="10"/>
      <c r="DK157" s="10"/>
      <c r="DL157" s="10"/>
      <c r="DM157" s="10"/>
      <c r="DN157" s="10"/>
      <c r="DO157" s="10"/>
      <c r="DP157" s="10"/>
      <c r="DQ157" s="10"/>
      <c r="DR157" s="10"/>
    </row>
    <row r="158" spans="1:122" x14ac:dyDescent="0.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10"/>
      <c r="BK158" s="10"/>
      <c r="BL158" s="10"/>
      <c r="BM158" s="10"/>
      <c r="BN158" s="10"/>
      <c r="BO158" s="10"/>
      <c r="BP158" s="10"/>
      <c r="BQ158" s="10"/>
      <c r="BR158" s="10"/>
      <c r="BS158" s="10"/>
      <c r="BT158" s="10"/>
      <c r="BU158" s="10"/>
      <c r="BV158" s="10"/>
      <c r="BW158" s="10"/>
      <c r="BX158" s="10"/>
      <c r="BY158" s="10"/>
      <c r="BZ158" s="10"/>
      <c r="CA158" s="10"/>
      <c r="CB158" s="10"/>
      <c r="CC158" s="10"/>
      <c r="CD158" s="10"/>
      <c r="CE158" s="10"/>
      <c r="CF158" s="10"/>
      <c r="CG158" s="10"/>
      <c r="CH158" s="10"/>
      <c r="CI158" s="10"/>
      <c r="CJ158" s="10"/>
      <c r="CK158" s="10"/>
      <c r="CL158" s="10"/>
      <c r="CM158" s="10"/>
      <c r="CN158" s="10"/>
      <c r="CO158" s="10"/>
      <c r="CP158" s="10"/>
      <c r="CQ158" s="10"/>
      <c r="CR158" s="10"/>
      <c r="CS158" s="10"/>
      <c r="CT158" s="10"/>
      <c r="CU158" s="10"/>
      <c r="CV158" s="10"/>
      <c r="CW158" s="10"/>
      <c r="CX158" s="10"/>
      <c r="CY158" s="10"/>
      <c r="CZ158" s="10"/>
      <c r="DA158" s="10"/>
      <c r="DB158" s="10"/>
      <c r="DC158" s="10"/>
      <c r="DD158" s="10"/>
      <c r="DE158" s="10"/>
      <c r="DF158" s="10"/>
      <c r="DG158" s="10"/>
      <c r="DH158" s="10"/>
      <c r="DI158" s="10"/>
      <c r="DJ158" s="10"/>
      <c r="DK158" s="10"/>
      <c r="DL158" s="10"/>
      <c r="DM158" s="10"/>
      <c r="DN158" s="10"/>
      <c r="DO158" s="10"/>
      <c r="DP158" s="10"/>
      <c r="DQ158" s="10"/>
      <c r="DR158" s="10"/>
    </row>
    <row r="159" spans="1:122" x14ac:dyDescent="0.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10"/>
      <c r="BJ159" s="10"/>
      <c r="BK159" s="10"/>
      <c r="BL159" s="10"/>
      <c r="BM159" s="10"/>
      <c r="BN159" s="10"/>
      <c r="BO159" s="10"/>
      <c r="BP159" s="10"/>
      <c r="BQ159" s="10"/>
      <c r="BR159" s="10"/>
      <c r="BS159" s="10"/>
      <c r="BT159" s="10"/>
      <c r="BU159" s="10"/>
      <c r="BV159" s="10"/>
      <c r="BW159" s="10"/>
      <c r="BX159" s="10"/>
      <c r="BY159" s="10"/>
      <c r="BZ159" s="10"/>
      <c r="CA159" s="10"/>
      <c r="CB159" s="10"/>
      <c r="CC159" s="10"/>
      <c r="CD159" s="10"/>
      <c r="CE159" s="10"/>
      <c r="CF159" s="10"/>
      <c r="CG159" s="10"/>
      <c r="CH159" s="10"/>
      <c r="CI159" s="10"/>
      <c r="CJ159" s="10"/>
      <c r="CK159" s="10"/>
      <c r="CL159" s="10"/>
      <c r="CM159" s="10"/>
      <c r="CN159" s="10"/>
      <c r="CO159" s="10"/>
      <c r="CP159" s="10"/>
      <c r="CQ159" s="10"/>
      <c r="CR159" s="10"/>
      <c r="CS159" s="10"/>
      <c r="CT159" s="10"/>
      <c r="CU159" s="10"/>
      <c r="CV159" s="10"/>
      <c r="CW159" s="10"/>
      <c r="CX159" s="10"/>
      <c r="CY159" s="10"/>
      <c r="CZ159" s="10"/>
      <c r="DA159" s="10"/>
      <c r="DB159" s="10"/>
      <c r="DC159" s="10"/>
      <c r="DD159" s="10"/>
      <c r="DE159" s="10"/>
      <c r="DF159" s="10"/>
      <c r="DG159" s="10"/>
      <c r="DH159" s="10"/>
      <c r="DI159" s="10"/>
      <c r="DJ159" s="10"/>
      <c r="DK159" s="10"/>
      <c r="DL159" s="10"/>
      <c r="DM159" s="10"/>
      <c r="DN159" s="10"/>
      <c r="DO159" s="10"/>
      <c r="DP159" s="10"/>
      <c r="DQ159" s="10"/>
      <c r="DR159" s="10"/>
    </row>
    <row r="160" spans="1:122" x14ac:dyDescent="0.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10"/>
      <c r="BJ160" s="10"/>
      <c r="BK160" s="10"/>
      <c r="BL160" s="10"/>
      <c r="BM160" s="10"/>
      <c r="BN160" s="10"/>
      <c r="BO160" s="10"/>
      <c r="BP160" s="10"/>
      <c r="BQ160" s="10"/>
      <c r="BR160" s="10"/>
      <c r="BS160" s="10"/>
      <c r="BT160" s="10"/>
      <c r="BU160" s="10"/>
      <c r="BV160" s="10"/>
      <c r="BW160" s="10"/>
      <c r="BX160" s="10"/>
      <c r="BY160" s="10"/>
      <c r="BZ160" s="10"/>
      <c r="CA160" s="10"/>
      <c r="CB160" s="10"/>
      <c r="CC160" s="10"/>
      <c r="CD160" s="10"/>
      <c r="CE160" s="10"/>
      <c r="CF160" s="10"/>
      <c r="CG160" s="10"/>
      <c r="CH160" s="10"/>
      <c r="CI160" s="10"/>
      <c r="CJ160" s="10"/>
      <c r="CK160" s="10"/>
      <c r="CL160" s="10"/>
      <c r="CM160" s="10"/>
      <c r="CN160" s="10"/>
      <c r="CO160" s="10"/>
      <c r="CP160" s="10"/>
      <c r="CQ160" s="10"/>
      <c r="CR160" s="10"/>
      <c r="CS160" s="10"/>
      <c r="CT160" s="10"/>
      <c r="CU160" s="10"/>
      <c r="CV160" s="10"/>
      <c r="CW160" s="10"/>
      <c r="CX160" s="10"/>
      <c r="CY160" s="10"/>
      <c r="CZ160" s="10"/>
      <c r="DA160" s="10"/>
      <c r="DB160" s="10"/>
      <c r="DC160" s="10"/>
      <c r="DD160" s="10"/>
      <c r="DE160" s="10"/>
      <c r="DF160" s="10"/>
      <c r="DG160" s="10"/>
      <c r="DH160" s="10"/>
      <c r="DI160" s="10"/>
      <c r="DJ160" s="10"/>
      <c r="DK160" s="10"/>
      <c r="DL160" s="10"/>
      <c r="DM160" s="10"/>
      <c r="DN160" s="10"/>
      <c r="DO160" s="10"/>
      <c r="DP160" s="10"/>
      <c r="DQ160" s="10"/>
      <c r="DR160" s="10"/>
    </row>
    <row r="161" spans="1:122" x14ac:dyDescent="0.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10"/>
      <c r="BJ161" s="10"/>
      <c r="BK161" s="10"/>
      <c r="BL161" s="10"/>
      <c r="BM161" s="10"/>
      <c r="BN161" s="10"/>
      <c r="BO161" s="10"/>
      <c r="BP161" s="10"/>
      <c r="BQ161" s="10"/>
      <c r="BR161" s="10"/>
      <c r="BS161" s="10"/>
      <c r="BT161" s="10"/>
      <c r="BU161" s="10"/>
      <c r="BV161" s="10"/>
      <c r="BW161" s="10"/>
      <c r="BX161" s="10"/>
      <c r="BY161" s="10"/>
      <c r="BZ161" s="10"/>
      <c r="CA161" s="10"/>
      <c r="CB161" s="10"/>
      <c r="CC161" s="10"/>
      <c r="CD161" s="10"/>
      <c r="CE161" s="10"/>
      <c r="CF161" s="10"/>
      <c r="CG161" s="10"/>
      <c r="CH161" s="10"/>
      <c r="CI161" s="10"/>
      <c r="CJ161" s="10"/>
      <c r="CK161" s="10"/>
      <c r="CL161" s="10"/>
      <c r="CM161" s="10"/>
      <c r="CN161" s="10"/>
      <c r="CO161" s="10"/>
      <c r="CP161" s="10"/>
      <c r="CQ161" s="10"/>
      <c r="CR161" s="10"/>
      <c r="CS161" s="10"/>
      <c r="CT161" s="10"/>
      <c r="CU161" s="10"/>
      <c r="CV161" s="10"/>
      <c r="CW161" s="10"/>
      <c r="CX161" s="10"/>
      <c r="CY161" s="10"/>
      <c r="CZ161" s="10"/>
      <c r="DA161" s="10"/>
      <c r="DB161" s="10"/>
      <c r="DC161" s="10"/>
      <c r="DD161" s="10"/>
      <c r="DE161" s="10"/>
      <c r="DF161" s="10"/>
      <c r="DG161" s="10"/>
      <c r="DH161" s="10"/>
      <c r="DI161" s="10"/>
      <c r="DJ161" s="10"/>
      <c r="DK161" s="10"/>
      <c r="DL161" s="10"/>
      <c r="DM161" s="10"/>
      <c r="DN161" s="10"/>
      <c r="DO161" s="10"/>
      <c r="DP161" s="10"/>
      <c r="DQ161" s="10"/>
      <c r="DR161" s="10"/>
    </row>
    <row r="162" spans="1:122" x14ac:dyDescent="0.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10"/>
      <c r="BJ162" s="10"/>
      <c r="BK162" s="10"/>
      <c r="BL162" s="10"/>
      <c r="BM162" s="10"/>
      <c r="BN162" s="10"/>
      <c r="BO162" s="10"/>
      <c r="BP162" s="10"/>
      <c r="BQ162" s="10"/>
      <c r="BR162" s="10"/>
      <c r="BS162" s="10"/>
      <c r="BT162" s="10"/>
      <c r="BU162" s="10"/>
      <c r="BV162" s="10"/>
      <c r="BW162" s="10"/>
      <c r="BX162" s="10"/>
      <c r="BY162" s="10"/>
      <c r="BZ162" s="10"/>
      <c r="CA162" s="10"/>
      <c r="CB162" s="10"/>
      <c r="CC162" s="10"/>
      <c r="CD162" s="10"/>
      <c r="CE162" s="10"/>
      <c r="CF162" s="10"/>
      <c r="CG162" s="10"/>
      <c r="CH162" s="10"/>
      <c r="CI162" s="10"/>
      <c r="CJ162" s="10"/>
      <c r="CK162" s="10"/>
      <c r="CL162" s="10"/>
      <c r="CM162" s="10"/>
      <c r="CN162" s="10"/>
      <c r="CO162" s="10"/>
      <c r="CP162" s="10"/>
      <c r="CQ162" s="10"/>
      <c r="CR162" s="10"/>
      <c r="CS162" s="10"/>
      <c r="CT162" s="10"/>
      <c r="CU162" s="10"/>
      <c r="CV162" s="10"/>
      <c r="CW162" s="10"/>
      <c r="CX162" s="10"/>
      <c r="CY162" s="10"/>
      <c r="CZ162" s="10"/>
      <c r="DA162" s="10"/>
      <c r="DB162" s="10"/>
      <c r="DC162" s="10"/>
      <c r="DD162" s="10"/>
      <c r="DE162" s="10"/>
      <c r="DF162" s="10"/>
      <c r="DG162" s="10"/>
      <c r="DH162" s="10"/>
      <c r="DI162" s="10"/>
      <c r="DJ162" s="10"/>
      <c r="DK162" s="10"/>
      <c r="DL162" s="10"/>
      <c r="DM162" s="10"/>
      <c r="DN162" s="10"/>
      <c r="DO162" s="10"/>
      <c r="DP162" s="10"/>
      <c r="DQ162" s="10"/>
      <c r="DR162" s="10"/>
    </row>
    <row r="163" spans="1:122" x14ac:dyDescent="0.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10"/>
      <c r="BJ163" s="10"/>
      <c r="BK163" s="10"/>
      <c r="BL163" s="10"/>
      <c r="BM163" s="10"/>
      <c r="BN163" s="10"/>
      <c r="BO163" s="10"/>
      <c r="BP163" s="10"/>
      <c r="BQ163" s="10"/>
      <c r="BR163" s="10"/>
      <c r="BS163" s="10"/>
      <c r="BT163" s="10"/>
      <c r="BU163" s="10"/>
      <c r="BV163" s="10"/>
      <c r="BW163" s="10"/>
      <c r="BX163" s="10"/>
      <c r="BY163" s="10"/>
      <c r="BZ163" s="10"/>
      <c r="CA163" s="10"/>
      <c r="CB163" s="10"/>
      <c r="CC163" s="10"/>
      <c r="CD163" s="10"/>
      <c r="CE163" s="10"/>
      <c r="CF163" s="10"/>
      <c r="CG163" s="10"/>
      <c r="CH163" s="10"/>
      <c r="CI163" s="10"/>
      <c r="CJ163" s="10"/>
      <c r="CK163" s="10"/>
      <c r="CL163" s="10"/>
      <c r="CM163" s="10"/>
      <c r="CN163" s="10"/>
      <c r="CO163" s="10"/>
      <c r="CP163" s="10"/>
      <c r="CQ163" s="10"/>
      <c r="CR163" s="10"/>
      <c r="CS163" s="10"/>
      <c r="CT163" s="10"/>
      <c r="CU163" s="10"/>
      <c r="CV163" s="10"/>
      <c r="CW163" s="10"/>
      <c r="CX163" s="10"/>
      <c r="CY163" s="10"/>
      <c r="CZ163" s="10"/>
      <c r="DA163" s="10"/>
      <c r="DB163" s="10"/>
      <c r="DC163" s="10"/>
      <c r="DD163" s="10"/>
      <c r="DE163" s="10"/>
      <c r="DF163" s="10"/>
      <c r="DG163" s="10"/>
      <c r="DH163" s="10"/>
      <c r="DI163" s="10"/>
      <c r="DJ163" s="10"/>
      <c r="DK163" s="10"/>
      <c r="DL163" s="10"/>
      <c r="DM163" s="10"/>
      <c r="DN163" s="10"/>
      <c r="DO163" s="10"/>
      <c r="DP163" s="10"/>
      <c r="DQ163" s="10"/>
      <c r="DR163" s="10"/>
    </row>
    <row r="164" spans="1:122" x14ac:dyDescent="0.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10"/>
      <c r="BJ164" s="10"/>
      <c r="BK164" s="10"/>
      <c r="BL164" s="10"/>
      <c r="BM164" s="10"/>
      <c r="BN164" s="10"/>
      <c r="BO164" s="10"/>
      <c r="BP164" s="10"/>
      <c r="BQ164" s="10"/>
      <c r="BR164" s="10"/>
      <c r="BS164" s="10"/>
      <c r="BT164" s="10"/>
      <c r="BU164" s="10"/>
      <c r="BV164" s="10"/>
      <c r="BW164" s="10"/>
      <c r="BX164" s="10"/>
      <c r="BY164" s="10"/>
      <c r="BZ164" s="10"/>
      <c r="CA164" s="10"/>
      <c r="CB164" s="10"/>
      <c r="CC164" s="10"/>
      <c r="CD164" s="10"/>
      <c r="CE164" s="10"/>
      <c r="CF164" s="10"/>
      <c r="CG164" s="10"/>
      <c r="CH164" s="10"/>
      <c r="CI164" s="10"/>
      <c r="CJ164" s="10"/>
      <c r="CK164" s="10"/>
      <c r="CL164" s="10"/>
      <c r="CM164" s="10"/>
      <c r="CN164" s="10"/>
      <c r="CO164" s="10"/>
      <c r="CP164" s="10"/>
      <c r="CQ164" s="10"/>
      <c r="CR164" s="10"/>
      <c r="CS164" s="10"/>
      <c r="CT164" s="10"/>
      <c r="CU164" s="10"/>
      <c r="CV164" s="10"/>
      <c r="CW164" s="10"/>
      <c r="CX164" s="10"/>
      <c r="CY164" s="10"/>
      <c r="CZ164" s="10"/>
      <c r="DA164" s="10"/>
      <c r="DB164" s="10"/>
      <c r="DC164" s="10"/>
      <c r="DD164" s="10"/>
      <c r="DE164" s="10"/>
      <c r="DF164" s="10"/>
      <c r="DG164" s="10"/>
      <c r="DH164" s="10"/>
      <c r="DI164" s="10"/>
      <c r="DJ164" s="10"/>
      <c r="DK164" s="10"/>
      <c r="DL164" s="10"/>
      <c r="DM164" s="10"/>
      <c r="DN164" s="10"/>
      <c r="DO164" s="10"/>
      <c r="DP164" s="10"/>
      <c r="DQ164" s="10"/>
      <c r="DR164" s="10"/>
    </row>
    <row r="165" spans="1:122" x14ac:dyDescent="0.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10"/>
      <c r="BJ165" s="10"/>
      <c r="BK165" s="10"/>
      <c r="BL165" s="10"/>
      <c r="BM165" s="10"/>
      <c r="BN165" s="10"/>
      <c r="BO165" s="10"/>
      <c r="BP165" s="10"/>
      <c r="BQ165" s="10"/>
      <c r="BR165" s="10"/>
      <c r="BS165" s="10"/>
      <c r="BT165" s="10"/>
      <c r="BU165" s="10"/>
      <c r="BV165" s="10"/>
      <c r="BW165" s="10"/>
      <c r="BX165" s="10"/>
      <c r="BY165" s="10"/>
      <c r="BZ165" s="10"/>
      <c r="CA165" s="10"/>
      <c r="CB165" s="10"/>
      <c r="CC165" s="10"/>
      <c r="CD165" s="10"/>
      <c r="CE165" s="10"/>
      <c r="CF165" s="10"/>
      <c r="CG165" s="10"/>
      <c r="CH165" s="10"/>
      <c r="CI165" s="10"/>
      <c r="CJ165" s="10"/>
      <c r="CK165" s="10"/>
      <c r="CL165" s="10"/>
      <c r="CM165" s="10"/>
      <c r="CN165" s="10"/>
      <c r="CO165" s="10"/>
      <c r="CP165" s="10"/>
      <c r="CQ165" s="10"/>
      <c r="CR165" s="10"/>
      <c r="CS165" s="10"/>
      <c r="CT165" s="10"/>
      <c r="CU165" s="10"/>
      <c r="CV165" s="10"/>
      <c r="CW165" s="10"/>
      <c r="CX165" s="10"/>
      <c r="CY165" s="10"/>
      <c r="CZ165" s="10"/>
      <c r="DA165" s="10"/>
      <c r="DB165" s="10"/>
      <c r="DC165" s="10"/>
      <c r="DD165" s="10"/>
      <c r="DE165" s="10"/>
      <c r="DF165" s="10"/>
      <c r="DG165" s="10"/>
      <c r="DH165" s="10"/>
      <c r="DI165" s="10"/>
      <c r="DJ165" s="10"/>
      <c r="DK165" s="10"/>
      <c r="DL165" s="10"/>
      <c r="DM165" s="10"/>
      <c r="DN165" s="10"/>
      <c r="DO165" s="10"/>
      <c r="DP165" s="10"/>
      <c r="DQ165" s="10"/>
      <c r="DR165" s="10"/>
    </row>
    <row r="166" spans="1:122" x14ac:dyDescent="0.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10"/>
      <c r="BJ166" s="10"/>
      <c r="BK166" s="10"/>
      <c r="BL166" s="10"/>
      <c r="BM166" s="10"/>
      <c r="BN166" s="10"/>
      <c r="BO166" s="10"/>
      <c r="BP166" s="10"/>
      <c r="BQ166" s="10"/>
      <c r="BR166" s="10"/>
      <c r="BS166" s="10"/>
      <c r="BT166" s="10"/>
      <c r="BU166" s="10"/>
      <c r="BV166" s="10"/>
      <c r="BW166" s="10"/>
      <c r="BX166" s="10"/>
      <c r="BY166" s="10"/>
      <c r="BZ166" s="10"/>
      <c r="CA166" s="10"/>
      <c r="CB166" s="10"/>
      <c r="CC166" s="10"/>
      <c r="CD166" s="10"/>
      <c r="CE166" s="10"/>
      <c r="CF166" s="10"/>
      <c r="CG166" s="10"/>
      <c r="CH166" s="10"/>
      <c r="CI166" s="10"/>
      <c r="CJ166" s="10"/>
      <c r="CK166" s="10"/>
      <c r="CL166" s="10"/>
      <c r="CM166" s="10"/>
      <c r="CN166" s="10"/>
      <c r="CO166" s="10"/>
      <c r="CP166" s="10"/>
      <c r="CQ166" s="10"/>
      <c r="CR166" s="10"/>
      <c r="CS166" s="10"/>
      <c r="CT166" s="10"/>
      <c r="CU166" s="10"/>
      <c r="CV166" s="10"/>
      <c r="CW166" s="10"/>
      <c r="CX166" s="10"/>
      <c r="CY166" s="10"/>
      <c r="CZ166" s="10"/>
      <c r="DA166" s="10"/>
      <c r="DB166" s="10"/>
      <c r="DC166" s="10"/>
      <c r="DD166" s="10"/>
      <c r="DE166" s="10"/>
      <c r="DF166" s="10"/>
      <c r="DG166" s="10"/>
      <c r="DH166" s="10"/>
      <c r="DI166" s="10"/>
      <c r="DJ166" s="10"/>
      <c r="DK166" s="10"/>
      <c r="DL166" s="10"/>
      <c r="DM166" s="10"/>
      <c r="DN166" s="10"/>
      <c r="DO166" s="10"/>
      <c r="DP166" s="10"/>
      <c r="DQ166" s="10"/>
      <c r="DR166" s="10"/>
    </row>
    <row r="167" spans="1:122" x14ac:dyDescent="0.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10"/>
      <c r="BJ167" s="10"/>
      <c r="BK167" s="10"/>
      <c r="BL167" s="10"/>
      <c r="BM167" s="10"/>
      <c r="BN167" s="10"/>
      <c r="BO167" s="10"/>
      <c r="BP167" s="10"/>
      <c r="BQ167" s="10"/>
      <c r="BR167" s="10"/>
      <c r="BS167" s="10"/>
      <c r="BT167" s="10"/>
      <c r="BU167" s="10"/>
      <c r="BV167" s="10"/>
      <c r="BW167" s="10"/>
      <c r="BX167" s="10"/>
      <c r="BY167" s="10"/>
      <c r="BZ167" s="10"/>
      <c r="CA167" s="10"/>
      <c r="CB167" s="10"/>
      <c r="CC167" s="10"/>
      <c r="CD167" s="10"/>
      <c r="CE167" s="10"/>
      <c r="CF167" s="10"/>
      <c r="CG167" s="10"/>
      <c r="CH167" s="10"/>
      <c r="CI167" s="10"/>
      <c r="CJ167" s="10"/>
      <c r="CK167" s="10"/>
      <c r="CL167" s="10"/>
      <c r="CM167" s="10"/>
      <c r="CN167" s="10"/>
      <c r="CO167" s="10"/>
      <c r="CP167" s="10"/>
      <c r="CQ167" s="10"/>
      <c r="CR167" s="10"/>
      <c r="CS167" s="10"/>
      <c r="CT167" s="10"/>
      <c r="CU167" s="10"/>
      <c r="CV167" s="10"/>
      <c r="CW167" s="10"/>
      <c r="CX167" s="10"/>
      <c r="CY167" s="10"/>
      <c r="CZ167" s="10"/>
      <c r="DA167" s="10"/>
      <c r="DB167" s="10"/>
      <c r="DC167" s="10"/>
      <c r="DD167" s="10"/>
      <c r="DE167" s="10"/>
      <c r="DF167" s="10"/>
      <c r="DG167" s="10"/>
      <c r="DH167" s="10"/>
      <c r="DI167" s="10"/>
      <c r="DJ167" s="10"/>
      <c r="DK167" s="10"/>
      <c r="DL167" s="10"/>
      <c r="DM167" s="10"/>
      <c r="DN167" s="10"/>
      <c r="DO167" s="10"/>
      <c r="DP167" s="10"/>
      <c r="DQ167" s="10"/>
      <c r="DR167" s="10"/>
    </row>
    <row r="168" spans="1:122" x14ac:dyDescent="0.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10"/>
      <c r="BJ168" s="10"/>
      <c r="BK168" s="10"/>
      <c r="BL168" s="10"/>
      <c r="BM168" s="10"/>
      <c r="BN168" s="10"/>
      <c r="BO168" s="10"/>
      <c r="BP168" s="10"/>
      <c r="BQ168" s="10"/>
      <c r="BR168" s="10"/>
      <c r="BS168" s="10"/>
      <c r="BT168" s="10"/>
      <c r="BU168" s="10"/>
      <c r="BV168" s="10"/>
      <c r="BW168" s="10"/>
      <c r="BX168" s="10"/>
      <c r="BY168" s="10"/>
      <c r="BZ168" s="10"/>
      <c r="CA168" s="10"/>
      <c r="CB168" s="10"/>
      <c r="CC168" s="10"/>
      <c r="CD168" s="10"/>
      <c r="CE168" s="10"/>
      <c r="CF168" s="10"/>
      <c r="CG168" s="10"/>
      <c r="CH168" s="10"/>
      <c r="CI168" s="10"/>
      <c r="CJ168" s="10"/>
      <c r="CK168" s="10"/>
      <c r="CL168" s="10"/>
      <c r="CM168" s="10"/>
      <c r="CN168" s="10"/>
      <c r="CO168" s="10"/>
      <c r="CP168" s="10"/>
      <c r="CQ168" s="10"/>
      <c r="CR168" s="10"/>
      <c r="CS168" s="10"/>
      <c r="CT168" s="10"/>
      <c r="CU168" s="10"/>
      <c r="CV168" s="10"/>
      <c r="CW168" s="10"/>
      <c r="CX168" s="10"/>
      <c r="CY168" s="10"/>
      <c r="CZ168" s="10"/>
      <c r="DA168" s="10"/>
      <c r="DB168" s="10"/>
      <c r="DC168" s="10"/>
      <c r="DD168" s="10"/>
      <c r="DE168" s="10"/>
      <c r="DF168" s="10"/>
      <c r="DG168" s="10"/>
      <c r="DH168" s="10"/>
      <c r="DI168" s="10"/>
      <c r="DJ168" s="10"/>
      <c r="DK168" s="10"/>
      <c r="DL168" s="10"/>
      <c r="DM168" s="10"/>
      <c r="DN168" s="10"/>
      <c r="DO168" s="10"/>
      <c r="DP168" s="10"/>
      <c r="DQ168" s="10"/>
      <c r="DR168" s="10"/>
    </row>
    <row r="169" spans="1:122" x14ac:dyDescent="0.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10"/>
      <c r="BJ169" s="10"/>
      <c r="BK169" s="10"/>
      <c r="BL169" s="10"/>
      <c r="BM169" s="10"/>
      <c r="BN169" s="10"/>
      <c r="BO169" s="10"/>
      <c r="BP169" s="10"/>
      <c r="BQ169" s="10"/>
      <c r="BR169" s="10"/>
      <c r="BS169" s="10"/>
      <c r="BT169" s="10"/>
      <c r="BU169" s="10"/>
      <c r="BV169" s="10"/>
      <c r="BW169" s="10"/>
      <c r="BX169" s="10"/>
      <c r="BY169" s="10"/>
      <c r="BZ169" s="10"/>
      <c r="CA169" s="10"/>
      <c r="CB169" s="10"/>
      <c r="CC169" s="10"/>
      <c r="CD169" s="10"/>
      <c r="CE169" s="10"/>
      <c r="CF169" s="10"/>
      <c r="CG169" s="10"/>
      <c r="CH169" s="10"/>
      <c r="CI169" s="10"/>
      <c r="CJ169" s="10"/>
      <c r="CK169" s="10"/>
      <c r="CL169" s="10"/>
      <c r="CM169" s="10"/>
      <c r="CN169" s="10"/>
      <c r="CO169" s="10"/>
      <c r="CP169" s="10"/>
      <c r="CQ169" s="10"/>
      <c r="CR169" s="10"/>
      <c r="CS169" s="10"/>
      <c r="CT169" s="10"/>
      <c r="CU169" s="10"/>
      <c r="CV169" s="10"/>
      <c r="CW169" s="10"/>
      <c r="CX169" s="10"/>
      <c r="CY169" s="10"/>
      <c r="CZ169" s="10"/>
      <c r="DA169" s="10"/>
      <c r="DB169" s="10"/>
      <c r="DC169" s="10"/>
      <c r="DD169" s="10"/>
      <c r="DE169" s="10"/>
      <c r="DF169" s="10"/>
      <c r="DG169" s="10"/>
      <c r="DH169" s="10"/>
      <c r="DI169" s="10"/>
      <c r="DJ169" s="10"/>
      <c r="DK169" s="10"/>
      <c r="DL169" s="10"/>
      <c r="DM169" s="10"/>
      <c r="DN169" s="10"/>
      <c r="DO169" s="10"/>
      <c r="DP169" s="10"/>
      <c r="DQ169" s="10"/>
      <c r="DR169" s="10"/>
    </row>
    <row r="170" spans="1:122" x14ac:dyDescent="0.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10"/>
      <c r="BJ170" s="10"/>
      <c r="BK170" s="10"/>
      <c r="BL170" s="10"/>
      <c r="BM170" s="10"/>
      <c r="BN170" s="10"/>
      <c r="BO170" s="10"/>
      <c r="BP170" s="10"/>
      <c r="BQ170" s="10"/>
      <c r="BR170" s="10"/>
      <c r="BS170" s="10"/>
      <c r="BT170" s="10"/>
      <c r="BU170" s="10"/>
      <c r="BV170" s="10"/>
      <c r="BW170" s="10"/>
      <c r="BX170" s="10"/>
      <c r="BY170" s="10"/>
      <c r="BZ170" s="10"/>
      <c r="CA170" s="10"/>
      <c r="CB170" s="10"/>
      <c r="CC170" s="10"/>
      <c r="CD170" s="10"/>
      <c r="CE170" s="10"/>
      <c r="CF170" s="10"/>
      <c r="CG170" s="10"/>
      <c r="CH170" s="10"/>
      <c r="CI170" s="10"/>
      <c r="CJ170" s="10"/>
      <c r="CK170" s="10"/>
      <c r="CL170" s="10"/>
      <c r="CM170" s="10"/>
      <c r="CN170" s="10"/>
      <c r="CO170" s="10"/>
      <c r="CP170" s="10"/>
      <c r="CQ170" s="10"/>
      <c r="CR170" s="10"/>
      <c r="CS170" s="10"/>
      <c r="CT170" s="10"/>
      <c r="CU170" s="10"/>
      <c r="CV170" s="10"/>
      <c r="CW170" s="10"/>
      <c r="CX170" s="10"/>
      <c r="CY170" s="10"/>
      <c r="CZ170" s="10"/>
      <c r="DA170" s="10"/>
      <c r="DB170" s="10"/>
      <c r="DC170" s="10"/>
      <c r="DD170" s="10"/>
      <c r="DE170" s="10"/>
      <c r="DF170" s="10"/>
      <c r="DG170" s="10"/>
      <c r="DH170" s="10"/>
      <c r="DI170" s="10"/>
      <c r="DJ170" s="10"/>
      <c r="DK170" s="10"/>
      <c r="DL170" s="10"/>
      <c r="DM170" s="10"/>
      <c r="DN170" s="10"/>
      <c r="DO170" s="10"/>
      <c r="DP170" s="10"/>
      <c r="DQ170" s="10"/>
      <c r="DR170" s="10"/>
    </row>
    <row r="171" spans="1:122" x14ac:dyDescent="0.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10"/>
      <c r="BJ171" s="10"/>
      <c r="BK171" s="10"/>
      <c r="BL171" s="10"/>
      <c r="BM171" s="10"/>
      <c r="BN171" s="10"/>
      <c r="BO171" s="10"/>
      <c r="BP171" s="10"/>
      <c r="BQ171" s="10"/>
      <c r="BR171" s="10"/>
      <c r="BS171" s="10"/>
      <c r="BT171" s="10"/>
      <c r="BU171" s="10"/>
      <c r="BV171" s="10"/>
      <c r="BW171" s="10"/>
      <c r="BX171" s="10"/>
      <c r="BY171" s="10"/>
      <c r="BZ171" s="10"/>
      <c r="CA171" s="10"/>
      <c r="CB171" s="10"/>
      <c r="CC171" s="10"/>
      <c r="CD171" s="10"/>
      <c r="CE171" s="10"/>
      <c r="CF171" s="10"/>
      <c r="CG171" s="10"/>
      <c r="CH171" s="10"/>
      <c r="CI171" s="10"/>
      <c r="CJ171" s="10"/>
      <c r="CK171" s="10"/>
      <c r="CL171" s="10"/>
      <c r="CM171" s="10"/>
      <c r="CN171" s="10"/>
      <c r="CO171" s="10"/>
      <c r="CP171" s="10"/>
      <c r="CQ171" s="10"/>
      <c r="CR171" s="10"/>
      <c r="CS171" s="10"/>
      <c r="CT171" s="10"/>
      <c r="CU171" s="10"/>
      <c r="CV171" s="10"/>
      <c r="CW171" s="10"/>
      <c r="CX171" s="10"/>
      <c r="CY171" s="10"/>
      <c r="CZ171" s="10"/>
      <c r="DA171" s="10"/>
      <c r="DB171" s="10"/>
      <c r="DC171" s="10"/>
      <c r="DD171" s="10"/>
      <c r="DE171" s="10"/>
      <c r="DF171" s="10"/>
      <c r="DG171" s="10"/>
      <c r="DH171" s="10"/>
      <c r="DI171" s="10"/>
      <c r="DJ171" s="10"/>
      <c r="DK171" s="10"/>
      <c r="DL171" s="10"/>
      <c r="DM171" s="10"/>
      <c r="DN171" s="10"/>
      <c r="DO171" s="10"/>
      <c r="DP171" s="10"/>
      <c r="DQ171" s="10"/>
      <c r="DR171" s="10"/>
    </row>
    <row r="172" spans="1:122" x14ac:dyDescent="0.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10"/>
      <c r="BJ172" s="10"/>
      <c r="BK172" s="10"/>
      <c r="BL172" s="10"/>
      <c r="BM172" s="10"/>
      <c r="BN172" s="10"/>
      <c r="BO172" s="10"/>
      <c r="BP172" s="10"/>
      <c r="BQ172" s="10"/>
      <c r="BR172" s="10"/>
      <c r="BS172" s="10"/>
      <c r="BT172" s="10"/>
      <c r="BU172" s="10"/>
      <c r="BV172" s="10"/>
      <c r="BW172" s="10"/>
      <c r="BX172" s="10"/>
      <c r="BY172" s="10"/>
      <c r="BZ172" s="10"/>
      <c r="CA172" s="10"/>
      <c r="CB172" s="10"/>
      <c r="CC172" s="10"/>
      <c r="CD172" s="10"/>
      <c r="CE172" s="10"/>
      <c r="CF172" s="10"/>
      <c r="CG172" s="10"/>
      <c r="CH172" s="10"/>
      <c r="CI172" s="10"/>
      <c r="CJ172" s="10"/>
      <c r="CK172" s="10"/>
      <c r="CL172" s="10"/>
      <c r="CM172" s="10"/>
      <c r="CN172" s="10"/>
      <c r="CO172" s="10"/>
      <c r="CP172" s="10"/>
      <c r="CQ172" s="10"/>
      <c r="CR172" s="10"/>
      <c r="CS172" s="10"/>
      <c r="CT172" s="10"/>
      <c r="CU172" s="10"/>
      <c r="CV172" s="10"/>
      <c r="CW172" s="10"/>
      <c r="CX172" s="10"/>
      <c r="CY172" s="10"/>
      <c r="CZ172" s="10"/>
      <c r="DA172" s="10"/>
      <c r="DB172" s="10"/>
      <c r="DC172" s="10"/>
      <c r="DD172" s="10"/>
      <c r="DE172" s="10"/>
      <c r="DF172" s="10"/>
      <c r="DG172" s="10"/>
      <c r="DH172" s="10"/>
      <c r="DI172" s="10"/>
      <c r="DJ172" s="10"/>
      <c r="DK172" s="10"/>
      <c r="DL172" s="10"/>
      <c r="DM172" s="10"/>
      <c r="DN172" s="10"/>
      <c r="DO172" s="10"/>
      <c r="DP172" s="10"/>
      <c r="DQ172" s="10"/>
      <c r="DR172" s="10"/>
    </row>
    <row r="173" spans="1:122" x14ac:dyDescent="0.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10"/>
      <c r="BJ173" s="10"/>
      <c r="BK173" s="10"/>
      <c r="BL173" s="10"/>
      <c r="BM173" s="10"/>
      <c r="BN173" s="10"/>
      <c r="BO173" s="10"/>
      <c r="BP173" s="10"/>
      <c r="BQ173" s="10"/>
      <c r="BR173" s="10"/>
      <c r="BS173" s="10"/>
      <c r="BT173" s="10"/>
      <c r="BU173" s="10"/>
      <c r="BV173" s="10"/>
      <c r="BW173" s="10"/>
      <c r="BX173" s="10"/>
      <c r="BY173" s="10"/>
      <c r="BZ173" s="10"/>
      <c r="CA173" s="10"/>
      <c r="CB173" s="10"/>
      <c r="CC173" s="10"/>
      <c r="CD173" s="10"/>
      <c r="CE173" s="10"/>
      <c r="CF173" s="10"/>
      <c r="CG173" s="10"/>
      <c r="CH173" s="10"/>
      <c r="CI173" s="10"/>
      <c r="CJ173" s="10"/>
      <c r="CK173" s="10"/>
      <c r="CL173" s="10"/>
      <c r="CM173" s="10"/>
      <c r="CN173" s="10"/>
      <c r="CO173" s="10"/>
      <c r="CP173" s="10"/>
      <c r="CQ173" s="10"/>
      <c r="CR173" s="10"/>
      <c r="CS173" s="10"/>
      <c r="CT173" s="10"/>
      <c r="CU173" s="10"/>
      <c r="CV173" s="10"/>
      <c r="CW173" s="10"/>
      <c r="CX173" s="10"/>
      <c r="CY173" s="10"/>
      <c r="CZ173" s="10"/>
      <c r="DA173" s="10"/>
      <c r="DB173" s="10"/>
      <c r="DC173" s="10"/>
      <c r="DD173" s="10"/>
      <c r="DE173" s="10"/>
      <c r="DF173" s="10"/>
      <c r="DG173" s="10"/>
      <c r="DH173" s="10"/>
      <c r="DI173" s="10"/>
      <c r="DJ173" s="10"/>
      <c r="DK173" s="10"/>
      <c r="DL173" s="10"/>
      <c r="DM173" s="10"/>
      <c r="DN173" s="10"/>
      <c r="DO173" s="10"/>
      <c r="DP173" s="10"/>
      <c r="DQ173" s="10"/>
      <c r="DR173" s="10"/>
    </row>
    <row r="174" spans="1:122" x14ac:dyDescent="0.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10"/>
      <c r="BJ174" s="10"/>
      <c r="BK174" s="10"/>
      <c r="BL174" s="10"/>
      <c r="BM174" s="10"/>
      <c r="BN174" s="10"/>
      <c r="BO174" s="10"/>
      <c r="BP174" s="10"/>
      <c r="BQ174" s="10"/>
      <c r="BR174" s="10"/>
      <c r="BS174" s="10"/>
      <c r="BT174" s="10"/>
      <c r="BU174" s="10"/>
      <c r="BV174" s="10"/>
      <c r="BW174" s="10"/>
      <c r="BX174" s="10"/>
      <c r="BY174" s="10"/>
      <c r="BZ174" s="10"/>
      <c r="CA174" s="10"/>
      <c r="CB174" s="10"/>
      <c r="CC174" s="10"/>
      <c r="CD174" s="10"/>
      <c r="CE174" s="10"/>
      <c r="CF174" s="10"/>
      <c r="CG174" s="10"/>
      <c r="CH174" s="10"/>
      <c r="CI174" s="10"/>
      <c r="CJ174" s="10"/>
      <c r="CK174" s="10"/>
      <c r="CL174" s="10"/>
      <c r="CM174" s="10"/>
      <c r="CN174" s="10"/>
      <c r="CO174" s="10"/>
      <c r="CP174" s="10"/>
      <c r="CQ174" s="10"/>
      <c r="CR174" s="10"/>
      <c r="CS174" s="10"/>
      <c r="CT174" s="10"/>
      <c r="CU174" s="10"/>
      <c r="CV174" s="10"/>
      <c r="CW174" s="10"/>
      <c r="CX174" s="10"/>
      <c r="CY174" s="10"/>
      <c r="CZ174" s="10"/>
      <c r="DA174" s="10"/>
      <c r="DB174" s="10"/>
      <c r="DC174" s="10"/>
      <c r="DD174" s="10"/>
      <c r="DE174" s="10"/>
      <c r="DF174" s="10"/>
      <c r="DG174" s="10"/>
      <c r="DH174" s="10"/>
      <c r="DI174" s="10"/>
      <c r="DJ174" s="10"/>
      <c r="DK174" s="10"/>
      <c r="DL174" s="10"/>
      <c r="DM174" s="10"/>
      <c r="DN174" s="10"/>
      <c r="DO174" s="10"/>
      <c r="DP174" s="10"/>
      <c r="DQ174" s="10"/>
      <c r="DR174" s="10"/>
    </row>
    <row r="175" spans="1:122" x14ac:dyDescent="0.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10"/>
      <c r="BJ175" s="10"/>
      <c r="BK175" s="10"/>
      <c r="BL175" s="10"/>
      <c r="BM175" s="10"/>
      <c r="BN175" s="10"/>
      <c r="BO175" s="10"/>
      <c r="BP175" s="10"/>
      <c r="BQ175" s="10"/>
      <c r="BR175" s="10"/>
      <c r="BS175" s="10"/>
      <c r="BT175" s="10"/>
      <c r="BU175" s="10"/>
      <c r="BV175" s="10"/>
      <c r="BW175" s="10"/>
      <c r="BX175" s="10"/>
      <c r="BY175" s="10"/>
      <c r="BZ175" s="10"/>
      <c r="CA175" s="10"/>
      <c r="CB175" s="10"/>
      <c r="CC175" s="10"/>
      <c r="CD175" s="10"/>
      <c r="CE175" s="10"/>
      <c r="CF175" s="10"/>
      <c r="CG175" s="10"/>
      <c r="CH175" s="10"/>
      <c r="CI175" s="10"/>
      <c r="CJ175" s="10"/>
      <c r="CK175" s="10"/>
      <c r="CL175" s="10"/>
      <c r="CM175" s="10"/>
      <c r="CN175" s="10"/>
      <c r="CO175" s="10"/>
      <c r="CP175" s="10"/>
      <c r="CQ175" s="10"/>
      <c r="CR175" s="10"/>
      <c r="CS175" s="10"/>
      <c r="CT175" s="10"/>
      <c r="CU175" s="10"/>
      <c r="CV175" s="10"/>
      <c r="CW175" s="10"/>
      <c r="CX175" s="10"/>
      <c r="CY175" s="10"/>
      <c r="CZ175" s="10"/>
      <c r="DA175" s="10"/>
      <c r="DB175" s="10"/>
      <c r="DC175" s="10"/>
      <c r="DD175" s="10"/>
      <c r="DE175" s="10"/>
      <c r="DF175" s="10"/>
      <c r="DG175" s="10"/>
      <c r="DH175" s="10"/>
      <c r="DI175" s="10"/>
      <c r="DJ175" s="10"/>
      <c r="DK175" s="10"/>
      <c r="DL175" s="10"/>
      <c r="DM175" s="10"/>
      <c r="DN175" s="10"/>
      <c r="DO175" s="10"/>
      <c r="DP175" s="10"/>
      <c r="DQ175" s="10"/>
      <c r="DR175" s="10"/>
    </row>
    <row r="176" spans="1:122" x14ac:dyDescent="0.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10"/>
      <c r="BJ176" s="10"/>
      <c r="BK176" s="10"/>
      <c r="BL176" s="10"/>
      <c r="BM176" s="10"/>
      <c r="BN176" s="10"/>
      <c r="BO176" s="10"/>
      <c r="BP176" s="10"/>
      <c r="BQ176" s="10"/>
      <c r="BR176" s="10"/>
      <c r="BS176" s="10"/>
      <c r="BT176" s="10"/>
      <c r="BU176" s="10"/>
      <c r="BV176" s="10"/>
      <c r="BW176" s="10"/>
      <c r="BX176" s="10"/>
      <c r="BY176" s="10"/>
      <c r="BZ176" s="10"/>
      <c r="CA176" s="10"/>
      <c r="CB176" s="10"/>
      <c r="CC176" s="10"/>
      <c r="CD176" s="10"/>
      <c r="CE176" s="10"/>
      <c r="CF176" s="10"/>
      <c r="CG176" s="10"/>
      <c r="CH176" s="10"/>
      <c r="CI176" s="10"/>
      <c r="CJ176" s="10"/>
      <c r="CK176" s="10"/>
      <c r="CL176" s="10"/>
      <c r="CM176" s="10"/>
      <c r="CN176" s="10"/>
      <c r="CO176" s="10"/>
      <c r="CP176" s="10"/>
      <c r="CQ176" s="10"/>
      <c r="CR176" s="10"/>
      <c r="CS176" s="10"/>
      <c r="CT176" s="10"/>
      <c r="CU176" s="10"/>
      <c r="CV176" s="10"/>
      <c r="CW176" s="10"/>
      <c r="CX176" s="10"/>
      <c r="CY176" s="10"/>
      <c r="CZ176" s="10"/>
      <c r="DA176" s="10"/>
      <c r="DB176" s="10"/>
      <c r="DC176" s="10"/>
      <c r="DD176" s="10"/>
      <c r="DE176" s="10"/>
      <c r="DF176" s="10"/>
      <c r="DG176" s="10"/>
      <c r="DH176" s="10"/>
      <c r="DI176" s="10"/>
      <c r="DJ176" s="10"/>
      <c r="DK176" s="10"/>
      <c r="DL176" s="10"/>
      <c r="DM176" s="10"/>
      <c r="DN176" s="10"/>
      <c r="DO176" s="10"/>
      <c r="DP176" s="10"/>
      <c r="DQ176" s="10"/>
      <c r="DR176" s="10"/>
    </row>
    <row r="177" spans="1:122" x14ac:dyDescent="0.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10"/>
      <c r="BJ177" s="10"/>
      <c r="BK177" s="10"/>
      <c r="BL177" s="10"/>
      <c r="BM177" s="10"/>
      <c r="BN177" s="10"/>
      <c r="BO177" s="10"/>
      <c r="BP177" s="10"/>
      <c r="BQ177" s="10"/>
      <c r="BR177" s="10"/>
      <c r="BS177" s="10"/>
      <c r="BT177" s="10"/>
      <c r="BU177" s="10"/>
      <c r="BV177" s="10"/>
      <c r="BW177" s="10"/>
      <c r="BX177" s="10"/>
      <c r="BY177" s="10"/>
      <c r="BZ177" s="10"/>
      <c r="CA177" s="10"/>
      <c r="CB177" s="10"/>
      <c r="CC177" s="10"/>
      <c r="CD177" s="10"/>
      <c r="CE177" s="10"/>
      <c r="CF177" s="10"/>
      <c r="CG177" s="10"/>
      <c r="CH177" s="10"/>
      <c r="CI177" s="10"/>
      <c r="CJ177" s="10"/>
      <c r="CK177" s="10"/>
      <c r="CL177" s="10"/>
      <c r="CM177" s="10"/>
      <c r="CN177" s="10"/>
      <c r="CO177" s="10"/>
      <c r="CP177" s="10"/>
      <c r="CQ177" s="10"/>
      <c r="CR177" s="10"/>
      <c r="CS177" s="10"/>
      <c r="CT177" s="10"/>
      <c r="CU177" s="10"/>
      <c r="CV177" s="10"/>
      <c r="CW177" s="10"/>
      <c r="CX177" s="10"/>
      <c r="CY177" s="10"/>
      <c r="CZ177" s="10"/>
      <c r="DA177" s="10"/>
      <c r="DB177" s="10"/>
      <c r="DC177" s="10"/>
      <c r="DD177" s="10"/>
      <c r="DE177" s="10"/>
      <c r="DF177" s="10"/>
      <c r="DG177" s="10"/>
      <c r="DH177" s="10"/>
      <c r="DI177" s="10"/>
      <c r="DJ177" s="10"/>
      <c r="DK177" s="10"/>
      <c r="DL177" s="10"/>
      <c r="DM177" s="10"/>
      <c r="DN177" s="10"/>
      <c r="DO177" s="10"/>
      <c r="DP177" s="10"/>
      <c r="DQ177" s="10"/>
      <c r="DR177" s="10"/>
    </row>
    <row r="178" spans="1:122" x14ac:dyDescent="0.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10"/>
      <c r="BJ178" s="10"/>
      <c r="BK178" s="10"/>
      <c r="BL178" s="10"/>
      <c r="BM178" s="10"/>
      <c r="BN178" s="10"/>
      <c r="BO178" s="10"/>
      <c r="BP178" s="10"/>
      <c r="BQ178" s="10"/>
      <c r="BR178" s="10"/>
      <c r="BS178" s="10"/>
      <c r="BT178" s="10"/>
      <c r="BU178" s="10"/>
      <c r="BV178" s="10"/>
      <c r="BW178" s="10"/>
      <c r="BX178" s="10"/>
      <c r="BY178" s="10"/>
      <c r="BZ178" s="10"/>
      <c r="CA178" s="10"/>
      <c r="CB178" s="10"/>
      <c r="CC178" s="10"/>
      <c r="CD178" s="10"/>
      <c r="CE178" s="10"/>
      <c r="CF178" s="10"/>
      <c r="CG178" s="10"/>
      <c r="CH178" s="10"/>
      <c r="CI178" s="10"/>
      <c r="CJ178" s="10"/>
      <c r="CK178" s="10"/>
      <c r="CL178" s="10"/>
      <c r="CM178" s="10"/>
      <c r="CN178" s="10"/>
      <c r="CO178" s="10"/>
      <c r="CP178" s="10"/>
      <c r="CQ178" s="10"/>
      <c r="CR178" s="10"/>
      <c r="CS178" s="10"/>
      <c r="CT178" s="10"/>
      <c r="CU178" s="10"/>
      <c r="CV178" s="10"/>
      <c r="CW178" s="10"/>
      <c r="CX178" s="10"/>
      <c r="CY178" s="10"/>
      <c r="CZ178" s="10"/>
      <c r="DA178" s="10"/>
      <c r="DB178" s="10"/>
      <c r="DC178" s="10"/>
      <c r="DD178" s="10"/>
      <c r="DE178" s="10"/>
      <c r="DF178" s="10"/>
      <c r="DG178" s="10"/>
      <c r="DH178" s="10"/>
      <c r="DI178" s="10"/>
      <c r="DJ178" s="10"/>
      <c r="DK178" s="10"/>
      <c r="DL178" s="10"/>
      <c r="DM178" s="10"/>
      <c r="DN178" s="10"/>
      <c r="DO178" s="10"/>
      <c r="DP178" s="10"/>
      <c r="DQ178" s="10"/>
      <c r="DR178" s="10"/>
    </row>
    <row r="179" spans="1:122" x14ac:dyDescent="0.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0"/>
      <c r="BC179" s="10"/>
      <c r="BD179" s="10"/>
      <c r="BE179" s="10"/>
      <c r="BF179" s="10"/>
      <c r="BG179" s="10"/>
      <c r="BH179" s="10"/>
      <c r="BI179" s="10"/>
      <c r="BJ179" s="10"/>
      <c r="BK179" s="10"/>
      <c r="BL179" s="10"/>
      <c r="BM179" s="10"/>
      <c r="BN179" s="10"/>
      <c r="BO179" s="10"/>
      <c r="BP179" s="10"/>
      <c r="BQ179" s="10"/>
      <c r="BR179" s="10"/>
      <c r="BS179" s="10"/>
      <c r="BT179" s="10"/>
      <c r="BU179" s="10"/>
      <c r="BV179" s="10"/>
      <c r="BW179" s="10"/>
      <c r="BX179" s="10"/>
      <c r="BY179" s="10"/>
      <c r="BZ179" s="10"/>
      <c r="CA179" s="10"/>
      <c r="CB179" s="10"/>
      <c r="CC179" s="10"/>
      <c r="CD179" s="10"/>
      <c r="CE179" s="10"/>
      <c r="CF179" s="10"/>
      <c r="CG179" s="10"/>
      <c r="CH179" s="10"/>
      <c r="CI179" s="10"/>
      <c r="CJ179" s="10"/>
      <c r="CK179" s="10"/>
      <c r="CL179" s="10"/>
      <c r="CM179" s="10"/>
      <c r="CN179" s="10"/>
      <c r="CO179" s="10"/>
      <c r="CP179" s="10"/>
      <c r="CQ179" s="10"/>
      <c r="CR179" s="10"/>
      <c r="CS179" s="10"/>
      <c r="CT179" s="10"/>
      <c r="CU179" s="10"/>
      <c r="CV179" s="10"/>
      <c r="CW179" s="10"/>
      <c r="CX179" s="10"/>
      <c r="CY179" s="10"/>
      <c r="CZ179" s="10"/>
      <c r="DA179" s="10"/>
      <c r="DB179" s="10"/>
      <c r="DC179" s="10"/>
      <c r="DD179" s="10"/>
      <c r="DE179" s="10"/>
      <c r="DF179" s="10"/>
      <c r="DG179" s="10"/>
      <c r="DH179" s="10"/>
      <c r="DI179" s="10"/>
      <c r="DJ179" s="10"/>
      <c r="DK179" s="10"/>
      <c r="DL179" s="10"/>
      <c r="DM179" s="10"/>
      <c r="DN179" s="10"/>
      <c r="DO179" s="10"/>
      <c r="DP179" s="10"/>
      <c r="DQ179" s="10"/>
      <c r="DR179" s="10"/>
    </row>
    <row r="180" spans="1:122" x14ac:dyDescent="0.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10"/>
      <c r="BJ180" s="10"/>
      <c r="BK180" s="10"/>
      <c r="BL180" s="10"/>
      <c r="BM180" s="10"/>
      <c r="BN180" s="10"/>
      <c r="BO180" s="10"/>
      <c r="BP180" s="10"/>
      <c r="BQ180" s="10"/>
      <c r="BR180" s="10"/>
      <c r="BS180" s="10"/>
      <c r="BT180" s="10"/>
      <c r="BU180" s="10"/>
      <c r="BV180" s="10"/>
      <c r="BW180" s="10"/>
      <c r="BX180" s="10"/>
      <c r="BY180" s="10"/>
      <c r="BZ180" s="10"/>
      <c r="CA180" s="10"/>
      <c r="CB180" s="10"/>
      <c r="CC180" s="10"/>
      <c r="CD180" s="10"/>
      <c r="CE180" s="10"/>
      <c r="CF180" s="10"/>
      <c r="CG180" s="10"/>
      <c r="CH180" s="10"/>
      <c r="CI180" s="10"/>
      <c r="CJ180" s="10"/>
      <c r="CK180" s="10"/>
      <c r="CL180" s="10"/>
      <c r="CM180" s="10"/>
      <c r="CN180" s="10"/>
      <c r="CO180" s="10"/>
      <c r="CP180" s="10"/>
      <c r="CQ180" s="10"/>
      <c r="CR180" s="10"/>
      <c r="CS180" s="10"/>
      <c r="CT180" s="10"/>
      <c r="CU180" s="10"/>
      <c r="CV180" s="10"/>
      <c r="CW180" s="10"/>
      <c r="CX180" s="10"/>
      <c r="CY180" s="10"/>
      <c r="CZ180" s="10"/>
      <c r="DA180" s="10"/>
      <c r="DB180" s="10"/>
      <c r="DC180" s="10"/>
      <c r="DD180" s="10"/>
      <c r="DE180" s="10"/>
      <c r="DF180" s="10"/>
      <c r="DG180" s="10"/>
      <c r="DH180" s="10"/>
      <c r="DI180" s="10"/>
      <c r="DJ180" s="10"/>
      <c r="DK180" s="10"/>
      <c r="DL180" s="10"/>
      <c r="DM180" s="10"/>
      <c r="DN180" s="10"/>
      <c r="DO180" s="10"/>
      <c r="DP180" s="10"/>
      <c r="DQ180" s="10"/>
      <c r="DR180" s="10"/>
    </row>
    <row r="181" spans="1:122" x14ac:dyDescent="0.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10"/>
      <c r="BJ181" s="10"/>
      <c r="BK181" s="10"/>
      <c r="BL181" s="10"/>
      <c r="BM181" s="10"/>
      <c r="BN181" s="10"/>
      <c r="BO181" s="10"/>
      <c r="BP181" s="10"/>
      <c r="BQ181" s="10"/>
      <c r="BR181" s="10"/>
      <c r="BS181" s="10"/>
      <c r="BT181" s="10"/>
      <c r="BU181" s="10"/>
      <c r="BV181" s="10"/>
      <c r="BW181" s="10"/>
      <c r="BX181" s="10"/>
      <c r="BY181" s="10"/>
      <c r="BZ181" s="10"/>
      <c r="CA181" s="10"/>
      <c r="CB181" s="10"/>
      <c r="CC181" s="10"/>
      <c r="CD181" s="10"/>
      <c r="CE181" s="10"/>
      <c r="CF181" s="10"/>
      <c r="CG181" s="10"/>
      <c r="CH181" s="10"/>
      <c r="CI181" s="10"/>
      <c r="CJ181" s="10"/>
      <c r="CK181" s="10"/>
      <c r="CL181" s="10"/>
      <c r="CM181" s="10"/>
      <c r="CN181" s="10"/>
      <c r="CO181" s="10"/>
      <c r="CP181" s="10"/>
      <c r="CQ181" s="10"/>
      <c r="CR181" s="10"/>
      <c r="CS181" s="10"/>
      <c r="CT181" s="10"/>
      <c r="CU181" s="10"/>
      <c r="CV181" s="10"/>
      <c r="CW181" s="10"/>
      <c r="CX181" s="10"/>
      <c r="CY181" s="10"/>
      <c r="CZ181" s="10"/>
      <c r="DA181" s="10"/>
      <c r="DB181" s="10"/>
      <c r="DC181" s="10"/>
      <c r="DD181" s="10"/>
      <c r="DE181" s="10"/>
      <c r="DF181" s="10"/>
      <c r="DG181" s="10"/>
      <c r="DH181" s="10"/>
      <c r="DI181" s="10"/>
      <c r="DJ181" s="10"/>
      <c r="DK181" s="10"/>
      <c r="DL181" s="10"/>
      <c r="DM181" s="10"/>
      <c r="DN181" s="10"/>
      <c r="DO181" s="10"/>
      <c r="DP181" s="10"/>
      <c r="DQ181" s="10"/>
      <c r="DR181" s="10"/>
    </row>
    <row r="182" spans="1:122" x14ac:dyDescent="0.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10"/>
      <c r="BJ182" s="10"/>
      <c r="BK182" s="10"/>
      <c r="BL182" s="10"/>
      <c r="BM182" s="10"/>
      <c r="BN182" s="10"/>
      <c r="BO182" s="10"/>
      <c r="BP182" s="10"/>
      <c r="BQ182" s="10"/>
      <c r="BR182" s="10"/>
      <c r="BS182" s="10"/>
      <c r="BT182" s="10"/>
      <c r="BU182" s="10"/>
      <c r="BV182" s="10"/>
      <c r="BW182" s="10"/>
      <c r="BX182" s="10"/>
      <c r="BY182" s="10"/>
      <c r="BZ182" s="10"/>
      <c r="CA182" s="10"/>
      <c r="CB182" s="10"/>
      <c r="CC182" s="10"/>
      <c r="CD182" s="10"/>
      <c r="CE182" s="10"/>
      <c r="CF182" s="10"/>
      <c r="CG182" s="10"/>
      <c r="CH182" s="10"/>
      <c r="CI182" s="10"/>
      <c r="CJ182" s="10"/>
      <c r="CK182" s="10"/>
      <c r="CL182" s="10"/>
      <c r="CM182" s="10"/>
      <c r="CN182" s="10"/>
      <c r="CO182" s="10"/>
      <c r="CP182" s="10"/>
      <c r="CQ182" s="10"/>
      <c r="CR182" s="10"/>
      <c r="CS182" s="10"/>
      <c r="CT182" s="10"/>
      <c r="CU182" s="10"/>
      <c r="CV182" s="10"/>
      <c r="CW182" s="10"/>
      <c r="CX182" s="10"/>
      <c r="CY182" s="10"/>
      <c r="CZ182" s="10"/>
      <c r="DA182" s="10"/>
      <c r="DB182" s="10"/>
      <c r="DC182" s="10"/>
      <c r="DD182" s="10"/>
      <c r="DE182" s="10"/>
      <c r="DF182" s="10"/>
      <c r="DG182" s="10"/>
      <c r="DH182" s="10"/>
      <c r="DI182" s="10"/>
      <c r="DJ182" s="10"/>
      <c r="DK182" s="10"/>
      <c r="DL182" s="10"/>
      <c r="DM182" s="10"/>
      <c r="DN182" s="10"/>
      <c r="DO182" s="10"/>
      <c r="DP182" s="10"/>
      <c r="DQ182" s="10"/>
      <c r="DR182" s="10"/>
    </row>
    <row r="183" spans="1:122" x14ac:dyDescent="0.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10"/>
      <c r="BJ183" s="10"/>
      <c r="BK183" s="10"/>
      <c r="BL183" s="10"/>
      <c r="BM183" s="10"/>
      <c r="BN183" s="10"/>
      <c r="BO183" s="10"/>
      <c r="BP183" s="10"/>
      <c r="BQ183" s="10"/>
      <c r="BR183" s="10"/>
      <c r="BS183" s="10"/>
      <c r="BT183" s="10"/>
      <c r="BU183" s="10"/>
      <c r="BV183" s="10"/>
      <c r="BW183" s="10"/>
      <c r="BX183" s="10"/>
      <c r="BY183" s="10"/>
      <c r="BZ183" s="10"/>
      <c r="CA183" s="10"/>
      <c r="CB183" s="10"/>
      <c r="CC183" s="10"/>
      <c r="CD183" s="10"/>
      <c r="CE183" s="10"/>
      <c r="CF183" s="10"/>
      <c r="CG183" s="10"/>
      <c r="CH183" s="10"/>
      <c r="CI183" s="10"/>
      <c r="CJ183" s="10"/>
      <c r="CK183" s="10"/>
      <c r="CL183" s="10"/>
      <c r="CM183" s="10"/>
      <c r="CN183" s="10"/>
      <c r="CO183" s="10"/>
      <c r="CP183" s="10"/>
      <c r="CQ183" s="10"/>
      <c r="CR183" s="10"/>
      <c r="CS183" s="10"/>
      <c r="CT183" s="10"/>
      <c r="CU183" s="10"/>
      <c r="CV183" s="10"/>
      <c r="CW183" s="10"/>
      <c r="CX183" s="10"/>
      <c r="CY183" s="10"/>
      <c r="CZ183" s="10"/>
      <c r="DA183" s="10"/>
      <c r="DB183" s="10"/>
      <c r="DC183" s="10"/>
      <c r="DD183" s="10"/>
      <c r="DE183" s="10"/>
      <c r="DF183" s="10"/>
      <c r="DG183" s="10"/>
      <c r="DH183" s="10"/>
      <c r="DI183" s="10"/>
      <c r="DJ183" s="10"/>
      <c r="DK183" s="10"/>
      <c r="DL183" s="10"/>
      <c r="DM183" s="10"/>
      <c r="DN183" s="10"/>
      <c r="DO183" s="10"/>
      <c r="DP183" s="10"/>
      <c r="DQ183" s="10"/>
      <c r="DR183" s="10"/>
    </row>
    <row r="184" spans="1:122" x14ac:dyDescent="0.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10"/>
      <c r="BJ184" s="10"/>
      <c r="BK184" s="10"/>
      <c r="BL184" s="10"/>
      <c r="BM184" s="10"/>
      <c r="BN184" s="10"/>
      <c r="BO184" s="10"/>
      <c r="BP184" s="10"/>
      <c r="BQ184" s="10"/>
      <c r="BR184" s="10"/>
      <c r="BS184" s="10"/>
      <c r="BT184" s="10"/>
      <c r="BU184" s="10"/>
      <c r="BV184" s="10"/>
      <c r="BW184" s="10"/>
      <c r="BX184" s="10"/>
      <c r="BY184" s="10"/>
      <c r="BZ184" s="10"/>
      <c r="CA184" s="10"/>
      <c r="CB184" s="10"/>
      <c r="CC184" s="10"/>
      <c r="CD184" s="10"/>
      <c r="CE184" s="10"/>
      <c r="CF184" s="10"/>
      <c r="CG184" s="10"/>
      <c r="CH184" s="10"/>
      <c r="CI184" s="10"/>
      <c r="CJ184" s="10"/>
      <c r="CK184" s="10"/>
      <c r="CL184" s="10"/>
      <c r="CM184" s="10"/>
      <c r="CN184" s="10"/>
      <c r="CO184" s="10"/>
      <c r="CP184" s="10"/>
      <c r="CQ184" s="10"/>
      <c r="CR184" s="10"/>
      <c r="CS184" s="10"/>
      <c r="CT184" s="10"/>
      <c r="CU184" s="10"/>
      <c r="CV184" s="10"/>
      <c r="CW184" s="10"/>
      <c r="CX184" s="10"/>
      <c r="CY184" s="10"/>
      <c r="CZ184" s="10"/>
      <c r="DA184" s="10"/>
      <c r="DB184" s="10"/>
      <c r="DC184" s="10"/>
      <c r="DD184" s="10"/>
      <c r="DE184" s="10"/>
      <c r="DF184" s="10"/>
      <c r="DG184" s="10"/>
      <c r="DH184" s="10"/>
      <c r="DI184" s="10"/>
      <c r="DJ184" s="10"/>
      <c r="DK184" s="10"/>
      <c r="DL184" s="10"/>
      <c r="DM184" s="10"/>
      <c r="DN184" s="10"/>
      <c r="DO184" s="10"/>
      <c r="DP184" s="10"/>
      <c r="DQ184" s="10"/>
      <c r="DR184" s="10"/>
    </row>
    <row r="185" spans="1:122" x14ac:dyDescent="0.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10"/>
      <c r="BJ185" s="10"/>
      <c r="BK185" s="10"/>
      <c r="BL185" s="10"/>
      <c r="BM185" s="10"/>
      <c r="BN185" s="10"/>
      <c r="BO185" s="10"/>
      <c r="BP185" s="10"/>
      <c r="BQ185" s="10"/>
      <c r="BR185" s="10"/>
      <c r="BS185" s="10"/>
      <c r="BT185" s="10"/>
      <c r="BU185" s="10"/>
      <c r="BV185" s="10"/>
      <c r="BW185" s="10"/>
      <c r="BX185" s="10"/>
      <c r="BY185" s="10"/>
      <c r="BZ185" s="10"/>
      <c r="CA185" s="10"/>
      <c r="CB185" s="10"/>
      <c r="CC185" s="10"/>
      <c r="CD185" s="10"/>
      <c r="CE185" s="10"/>
      <c r="CF185" s="10"/>
      <c r="CG185" s="10"/>
      <c r="CH185" s="10"/>
      <c r="CI185" s="10"/>
      <c r="CJ185" s="10"/>
      <c r="CK185" s="10"/>
      <c r="CL185" s="10"/>
      <c r="CM185" s="10"/>
      <c r="CN185" s="10"/>
      <c r="CO185" s="10"/>
      <c r="CP185" s="10"/>
      <c r="CQ185" s="10"/>
      <c r="CR185" s="10"/>
      <c r="CS185" s="10"/>
      <c r="CT185" s="10"/>
      <c r="CU185" s="10"/>
      <c r="CV185" s="10"/>
      <c r="CW185" s="10"/>
      <c r="CX185" s="10"/>
      <c r="CY185" s="10"/>
      <c r="CZ185" s="10"/>
      <c r="DA185" s="10"/>
      <c r="DB185" s="10"/>
      <c r="DC185" s="10"/>
      <c r="DD185" s="10"/>
      <c r="DE185" s="10"/>
      <c r="DF185" s="10"/>
      <c r="DG185" s="10"/>
      <c r="DH185" s="10"/>
      <c r="DI185" s="10"/>
      <c r="DJ185" s="10"/>
      <c r="DK185" s="10"/>
      <c r="DL185" s="10"/>
      <c r="DM185" s="10"/>
      <c r="DN185" s="10"/>
      <c r="DO185" s="10"/>
      <c r="DP185" s="10"/>
      <c r="DQ185" s="10"/>
      <c r="DR185" s="10"/>
    </row>
    <row r="186" spans="1:122" x14ac:dyDescent="0.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10"/>
      <c r="BJ186" s="10"/>
      <c r="BK186" s="10"/>
      <c r="BL186" s="10"/>
      <c r="BM186" s="10"/>
      <c r="BN186" s="10"/>
      <c r="BO186" s="10"/>
      <c r="BP186" s="10"/>
      <c r="BQ186" s="10"/>
      <c r="BR186" s="10"/>
      <c r="BS186" s="10"/>
      <c r="BT186" s="10"/>
      <c r="BU186" s="10"/>
      <c r="BV186" s="10"/>
      <c r="BW186" s="10"/>
      <c r="BX186" s="10"/>
      <c r="BY186" s="10"/>
      <c r="BZ186" s="10"/>
      <c r="CA186" s="10"/>
      <c r="CB186" s="10"/>
      <c r="CC186" s="10"/>
      <c r="CD186" s="10"/>
      <c r="CE186" s="10"/>
      <c r="CF186" s="10"/>
      <c r="CG186" s="10"/>
      <c r="CH186" s="10"/>
      <c r="CI186" s="10"/>
      <c r="CJ186" s="10"/>
      <c r="CK186" s="10"/>
      <c r="CL186" s="10"/>
      <c r="CM186" s="10"/>
      <c r="CN186" s="10"/>
      <c r="CO186" s="10"/>
      <c r="CP186" s="10"/>
      <c r="CQ186" s="10"/>
      <c r="CR186" s="10"/>
      <c r="CS186" s="10"/>
      <c r="CT186" s="10"/>
      <c r="CU186" s="10"/>
      <c r="CV186" s="10"/>
      <c r="CW186" s="10"/>
      <c r="CX186" s="10"/>
      <c r="CY186" s="10"/>
      <c r="CZ186" s="10"/>
      <c r="DA186" s="10"/>
      <c r="DB186" s="10"/>
      <c r="DC186" s="10"/>
      <c r="DD186" s="10"/>
      <c r="DE186" s="10"/>
      <c r="DF186" s="10"/>
      <c r="DG186" s="10"/>
      <c r="DH186" s="10"/>
      <c r="DI186" s="10"/>
      <c r="DJ186" s="10"/>
      <c r="DK186" s="10"/>
      <c r="DL186" s="10"/>
      <c r="DM186" s="10"/>
      <c r="DN186" s="10"/>
      <c r="DO186" s="10"/>
      <c r="DP186" s="10"/>
      <c r="DQ186" s="10"/>
      <c r="DR186" s="10"/>
    </row>
    <row r="187" spans="1:122" x14ac:dyDescent="0.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10"/>
      <c r="BJ187" s="10"/>
      <c r="BK187" s="10"/>
      <c r="BL187" s="10"/>
      <c r="BM187" s="10"/>
      <c r="BN187" s="10"/>
      <c r="BO187" s="10"/>
      <c r="BP187" s="10"/>
      <c r="BQ187" s="10"/>
      <c r="BR187" s="10"/>
      <c r="BS187" s="10"/>
      <c r="BT187" s="10"/>
      <c r="BU187" s="10"/>
      <c r="BV187" s="10"/>
      <c r="BW187" s="10"/>
      <c r="BX187" s="10"/>
      <c r="BY187" s="10"/>
      <c r="BZ187" s="10"/>
      <c r="CA187" s="10"/>
      <c r="CB187" s="10"/>
      <c r="CC187" s="10"/>
      <c r="CD187" s="10"/>
      <c r="CE187" s="10"/>
      <c r="CF187" s="10"/>
      <c r="CG187" s="10"/>
      <c r="CH187" s="10"/>
      <c r="CI187" s="10"/>
      <c r="CJ187" s="10"/>
      <c r="CK187" s="10"/>
      <c r="CL187" s="10"/>
      <c r="CM187" s="10"/>
      <c r="CN187" s="10"/>
      <c r="CO187" s="10"/>
      <c r="CP187" s="10"/>
      <c r="CQ187" s="10"/>
      <c r="CR187" s="10"/>
      <c r="CS187" s="10"/>
      <c r="CT187" s="10"/>
      <c r="CU187" s="10"/>
      <c r="CV187" s="10"/>
      <c r="CW187" s="10"/>
      <c r="CX187" s="10"/>
      <c r="CY187" s="10"/>
      <c r="CZ187" s="10"/>
      <c r="DA187" s="10"/>
      <c r="DB187" s="10"/>
      <c r="DC187" s="10"/>
      <c r="DD187" s="10"/>
      <c r="DE187" s="10"/>
      <c r="DF187" s="10"/>
      <c r="DG187" s="10"/>
      <c r="DH187" s="10"/>
      <c r="DI187" s="10"/>
      <c r="DJ187" s="10"/>
      <c r="DK187" s="10"/>
      <c r="DL187" s="10"/>
      <c r="DM187" s="10"/>
      <c r="DN187" s="10"/>
      <c r="DO187" s="10"/>
      <c r="DP187" s="10"/>
      <c r="DQ187" s="10"/>
      <c r="DR187" s="10"/>
    </row>
    <row r="188" spans="1:122" x14ac:dyDescent="0.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10"/>
      <c r="BJ188" s="10"/>
      <c r="BK188" s="10"/>
      <c r="BL188" s="10"/>
      <c r="BM188" s="10"/>
      <c r="BN188" s="10"/>
      <c r="BO188" s="10"/>
      <c r="BP188" s="10"/>
      <c r="BQ188" s="10"/>
      <c r="BR188" s="10"/>
      <c r="BS188" s="10"/>
      <c r="BT188" s="10"/>
      <c r="BU188" s="10"/>
      <c r="BV188" s="10"/>
      <c r="BW188" s="10"/>
      <c r="BX188" s="10"/>
      <c r="BY188" s="10"/>
      <c r="BZ188" s="10"/>
      <c r="CA188" s="10"/>
      <c r="CB188" s="10"/>
      <c r="CC188" s="10"/>
      <c r="CD188" s="10"/>
      <c r="CE188" s="10"/>
      <c r="CF188" s="10"/>
      <c r="CG188" s="10"/>
      <c r="CH188" s="10"/>
      <c r="CI188" s="10"/>
      <c r="CJ188" s="10"/>
      <c r="CK188" s="10"/>
      <c r="CL188" s="10"/>
      <c r="CM188" s="10"/>
      <c r="CN188" s="10"/>
      <c r="CO188" s="10"/>
      <c r="CP188" s="10"/>
      <c r="CQ188" s="10"/>
      <c r="CR188" s="10"/>
      <c r="CS188" s="10"/>
      <c r="CT188" s="10"/>
      <c r="CU188" s="10"/>
      <c r="CV188" s="10"/>
      <c r="CW188" s="10"/>
      <c r="CX188" s="10"/>
      <c r="CY188" s="10"/>
      <c r="CZ188" s="10"/>
      <c r="DA188" s="10"/>
      <c r="DB188" s="10"/>
      <c r="DC188" s="10"/>
      <c r="DD188" s="10"/>
      <c r="DE188" s="10"/>
      <c r="DF188" s="10"/>
      <c r="DG188" s="10"/>
      <c r="DH188" s="10"/>
      <c r="DI188" s="10"/>
      <c r="DJ188" s="10"/>
      <c r="DK188" s="10"/>
      <c r="DL188" s="10"/>
      <c r="DM188" s="10"/>
      <c r="DN188" s="10"/>
      <c r="DO188" s="10"/>
      <c r="DP188" s="10"/>
      <c r="DQ188" s="10"/>
      <c r="DR188" s="10"/>
    </row>
    <row r="189" spans="1:122" x14ac:dyDescent="0.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10"/>
      <c r="BJ189" s="10"/>
      <c r="BK189" s="10"/>
      <c r="BL189" s="10"/>
      <c r="BM189" s="10"/>
      <c r="BN189" s="10"/>
      <c r="BO189" s="10"/>
      <c r="BP189" s="10"/>
      <c r="BQ189" s="10"/>
      <c r="BR189" s="10"/>
      <c r="BS189" s="10"/>
      <c r="BT189" s="10"/>
      <c r="BU189" s="10"/>
      <c r="BV189" s="10"/>
      <c r="BW189" s="10"/>
      <c r="BX189" s="10"/>
      <c r="BY189" s="10"/>
      <c r="BZ189" s="10"/>
      <c r="CA189" s="10"/>
      <c r="CB189" s="10"/>
      <c r="CC189" s="10"/>
      <c r="CD189" s="10"/>
      <c r="CE189" s="10"/>
      <c r="CF189" s="10"/>
      <c r="CG189" s="10"/>
      <c r="CH189" s="10"/>
      <c r="CI189" s="10"/>
      <c r="CJ189" s="10"/>
      <c r="CK189" s="10"/>
      <c r="CL189" s="10"/>
      <c r="CM189" s="10"/>
      <c r="CN189" s="10"/>
      <c r="CO189" s="10"/>
      <c r="CP189" s="10"/>
      <c r="CQ189" s="10"/>
      <c r="CR189" s="10"/>
      <c r="CS189" s="10"/>
      <c r="CT189" s="10"/>
      <c r="CU189" s="10"/>
      <c r="CV189" s="10"/>
      <c r="CW189" s="10"/>
      <c r="CX189" s="10"/>
      <c r="CY189" s="10"/>
      <c r="CZ189" s="10"/>
      <c r="DA189" s="10"/>
      <c r="DB189" s="10"/>
      <c r="DC189" s="10"/>
      <c r="DD189" s="10"/>
      <c r="DE189" s="10"/>
      <c r="DF189" s="10"/>
      <c r="DG189" s="10"/>
      <c r="DH189" s="10"/>
      <c r="DI189" s="10"/>
      <c r="DJ189" s="10"/>
      <c r="DK189" s="10"/>
      <c r="DL189" s="10"/>
      <c r="DM189" s="10"/>
      <c r="DN189" s="10"/>
      <c r="DO189" s="10"/>
      <c r="DP189" s="10"/>
      <c r="DQ189" s="10"/>
      <c r="DR189" s="10"/>
    </row>
    <row r="190" spans="1:122" x14ac:dyDescent="0.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0"/>
      <c r="BC190" s="10"/>
      <c r="BD190" s="10"/>
      <c r="BE190" s="10"/>
      <c r="BF190" s="10"/>
      <c r="BG190" s="10"/>
      <c r="BH190" s="10"/>
      <c r="BI190" s="10"/>
      <c r="BJ190" s="10"/>
      <c r="BK190" s="10"/>
      <c r="BL190" s="10"/>
      <c r="BM190" s="10"/>
      <c r="BN190" s="10"/>
      <c r="BO190" s="10"/>
      <c r="BP190" s="10"/>
      <c r="BQ190" s="10"/>
      <c r="BR190" s="10"/>
      <c r="BS190" s="10"/>
      <c r="BT190" s="10"/>
      <c r="BU190" s="10"/>
      <c r="BV190" s="10"/>
      <c r="BW190" s="10"/>
      <c r="BX190" s="10"/>
      <c r="BY190" s="10"/>
      <c r="BZ190" s="10"/>
      <c r="CA190" s="10"/>
      <c r="CB190" s="10"/>
      <c r="CC190" s="10"/>
      <c r="CD190" s="10"/>
      <c r="CE190" s="10"/>
      <c r="CF190" s="10"/>
      <c r="CG190" s="10"/>
      <c r="CH190" s="10"/>
      <c r="CI190" s="10"/>
      <c r="CJ190" s="10"/>
      <c r="CK190" s="10"/>
      <c r="CL190" s="10"/>
      <c r="CM190" s="10"/>
      <c r="CN190" s="10"/>
      <c r="CO190" s="10"/>
      <c r="CP190" s="10"/>
      <c r="CQ190" s="10"/>
      <c r="CR190" s="10"/>
      <c r="CS190" s="10"/>
      <c r="CT190" s="10"/>
      <c r="CU190" s="10"/>
      <c r="CV190" s="10"/>
      <c r="CW190" s="10"/>
      <c r="CX190" s="10"/>
      <c r="CY190" s="10"/>
      <c r="CZ190" s="10"/>
      <c r="DA190" s="10"/>
      <c r="DB190" s="10"/>
      <c r="DC190" s="10"/>
      <c r="DD190" s="10"/>
      <c r="DE190" s="10"/>
      <c r="DF190" s="10"/>
      <c r="DG190" s="10"/>
      <c r="DH190" s="10"/>
      <c r="DI190" s="10"/>
      <c r="DJ190" s="10"/>
      <c r="DK190" s="10"/>
      <c r="DL190" s="10"/>
      <c r="DM190" s="10"/>
      <c r="DN190" s="10"/>
      <c r="DO190" s="10"/>
      <c r="DP190" s="10"/>
      <c r="DQ190" s="10"/>
      <c r="DR190" s="10"/>
    </row>
    <row r="191" spans="1:122" x14ac:dyDescent="0.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10"/>
      <c r="BJ191" s="10"/>
      <c r="BK191" s="10"/>
      <c r="BL191" s="10"/>
      <c r="BM191" s="10"/>
      <c r="BN191" s="10"/>
      <c r="BO191" s="10"/>
      <c r="BP191" s="10"/>
      <c r="BQ191" s="10"/>
      <c r="BR191" s="10"/>
      <c r="BS191" s="10"/>
      <c r="BT191" s="10"/>
      <c r="BU191" s="10"/>
      <c r="BV191" s="10"/>
      <c r="BW191" s="10"/>
      <c r="BX191" s="10"/>
      <c r="BY191" s="10"/>
      <c r="BZ191" s="10"/>
      <c r="CA191" s="10"/>
      <c r="CB191" s="10"/>
      <c r="CC191" s="10"/>
      <c r="CD191" s="10"/>
      <c r="CE191" s="10"/>
      <c r="CF191" s="10"/>
      <c r="CG191" s="10"/>
      <c r="CH191" s="10"/>
      <c r="CI191" s="10"/>
      <c r="CJ191" s="10"/>
      <c r="CK191" s="10"/>
      <c r="CL191" s="10"/>
      <c r="CM191" s="10"/>
      <c r="CN191" s="10"/>
      <c r="CO191" s="10"/>
      <c r="CP191" s="10"/>
      <c r="CQ191" s="10"/>
      <c r="CR191" s="10"/>
      <c r="CS191" s="10"/>
      <c r="CT191" s="10"/>
      <c r="CU191" s="10"/>
      <c r="CV191" s="10"/>
      <c r="CW191" s="10"/>
      <c r="CX191" s="10"/>
      <c r="CY191" s="10"/>
      <c r="CZ191" s="10"/>
      <c r="DA191" s="10"/>
      <c r="DB191" s="10"/>
      <c r="DC191" s="10"/>
      <c r="DD191" s="10"/>
      <c r="DE191" s="10"/>
      <c r="DF191" s="10"/>
      <c r="DG191" s="10"/>
      <c r="DH191" s="10"/>
      <c r="DI191" s="10"/>
      <c r="DJ191" s="10"/>
      <c r="DK191" s="10"/>
      <c r="DL191" s="10"/>
      <c r="DM191" s="10"/>
      <c r="DN191" s="10"/>
      <c r="DO191" s="10"/>
      <c r="DP191" s="10"/>
      <c r="DQ191" s="10"/>
      <c r="DR191" s="10"/>
    </row>
    <row r="192" spans="1:122" x14ac:dyDescent="0.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0"/>
      <c r="BC192" s="10"/>
      <c r="BD192" s="10"/>
      <c r="BE192" s="10"/>
      <c r="BF192" s="10"/>
      <c r="BG192" s="10"/>
      <c r="BH192" s="10"/>
      <c r="BI192" s="10"/>
      <c r="BJ192" s="10"/>
      <c r="BK192" s="10"/>
      <c r="BL192" s="10"/>
      <c r="BM192" s="10"/>
      <c r="BN192" s="10"/>
      <c r="BO192" s="10"/>
      <c r="BP192" s="10"/>
      <c r="BQ192" s="10"/>
      <c r="BR192" s="10"/>
      <c r="BS192" s="10"/>
      <c r="BT192" s="10"/>
      <c r="BU192" s="10"/>
      <c r="BV192" s="10"/>
      <c r="BW192" s="10"/>
      <c r="BX192" s="10"/>
      <c r="BY192" s="10"/>
      <c r="BZ192" s="10"/>
      <c r="CA192" s="10"/>
      <c r="CB192" s="10"/>
      <c r="CC192" s="10"/>
      <c r="CD192" s="10"/>
      <c r="CE192" s="10"/>
      <c r="CF192" s="10"/>
      <c r="CG192" s="10"/>
      <c r="CH192" s="10"/>
      <c r="CI192" s="10"/>
      <c r="CJ192" s="10"/>
      <c r="CK192" s="10"/>
      <c r="CL192" s="10"/>
      <c r="CM192" s="10"/>
      <c r="CN192" s="10"/>
      <c r="CO192" s="10"/>
      <c r="CP192" s="10"/>
      <c r="CQ192" s="10"/>
      <c r="CR192" s="10"/>
      <c r="CS192" s="10"/>
      <c r="CT192" s="10"/>
      <c r="CU192" s="10"/>
      <c r="CV192" s="10"/>
      <c r="CW192" s="10"/>
      <c r="CX192" s="10"/>
      <c r="CY192" s="10"/>
      <c r="CZ192" s="10"/>
      <c r="DA192" s="10"/>
      <c r="DB192" s="10"/>
      <c r="DC192" s="10"/>
      <c r="DD192" s="10"/>
      <c r="DE192" s="10"/>
      <c r="DF192" s="10"/>
      <c r="DG192" s="10"/>
      <c r="DH192" s="10"/>
      <c r="DI192" s="10"/>
      <c r="DJ192" s="10"/>
      <c r="DK192" s="10"/>
      <c r="DL192" s="10"/>
      <c r="DM192" s="10"/>
      <c r="DN192" s="10"/>
      <c r="DO192" s="10"/>
      <c r="DP192" s="10"/>
      <c r="DQ192" s="10"/>
      <c r="DR192" s="10"/>
    </row>
    <row r="193" spans="1:122" x14ac:dyDescent="0.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10"/>
      <c r="BJ193" s="10"/>
      <c r="BK193" s="10"/>
      <c r="BL193" s="10"/>
      <c r="BM193" s="10"/>
      <c r="BN193" s="10"/>
      <c r="BO193" s="10"/>
      <c r="BP193" s="10"/>
      <c r="BQ193" s="10"/>
      <c r="BR193" s="10"/>
      <c r="BS193" s="10"/>
      <c r="BT193" s="10"/>
      <c r="BU193" s="10"/>
      <c r="BV193" s="10"/>
      <c r="BW193" s="10"/>
      <c r="BX193" s="10"/>
      <c r="BY193" s="10"/>
      <c r="BZ193" s="10"/>
      <c r="CA193" s="10"/>
      <c r="CB193" s="10"/>
      <c r="CC193" s="10"/>
      <c r="CD193" s="10"/>
      <c r="CE193" s="10"/>
      <c r="CF193" s="10"/>
      <c r="CG193" s="10"/>
      <c r="CH193" s="10"/>
      <c r="CI193" s="10"/>
      <c r="CJ193" s="10"/>
      <c r="CK193" s="10"/>
      <c r="CL193" s="10"/>
      <c r="CM193" s="10"/>
      <c r="CN193" s="10"/>
      <c r="CO193" s="10"/>
      <c r="CP193" s="10"/>
      <c r="CQ193" s="10"/>
      <c r="CR193" s="10"/>
      <c r="CS193" s="10"/>
      <c r="CT193" s="10"/>
      <c r="CU193" s="10"/>
      <c r="CV193" s="10"/>
      <c r="CW193" s="10"/>
      <c r="CX193" s="10"/>
      <c r="CY193" s="10"/>
      <c r="CZ193" s="10"/>
      <c r="DA193" s="10"/>
      <c r="DB193" s="10"/>
      <c r="DC193" s="10"/>
      <c r="DD193" s="10"/>
      <c r="DE193" s="10"/>
      <c r="DF193" s="10"/>
      <c r="DG193" s="10"/>
      <c r="DH193" s="10"/>
      <c r="DI193" s="10"/>
      <c r="DJ193" s="10"/>
      <c r="DK193" s="10"/>
      <c r="DL193" s="10"/>
      <c r="DM193" s="10"/>
      <c r="DN193" s="10"/>
      <c r="DO193" s="10"/>
      <c r="DP193" s="10"/>
      <c r="DQ193" s="10"/>
      <c r="DR193" s="10"/>
    </row>
    <row r="194" spans="1:122" x14ac:dyDescent="0.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10"/>
      <c r="BJ194" s="10"/>
      <c r="BK194" s="10"/>
      <c r="BL194" s="10"/>
      <c r="BM194" s="10"/>
      <c r="BN194" s="10"/>
      <c r="BO194" s="10"/>
      <c r="BP194" s="10"/>
      <c r="BQ194" s="10"/>
      <c r="BR194" s="10"/>
      <c r="BS194" s="10"/>
      <c r="BT194" s="10"/>
      <c r="BU194" s="10"/>
      <c r="BV194" s="10"/>
      <c r="BW194" s="10"/>
      <c r="BX194" s="10"/>
      <c r="BY194" s="10"/>
      <c r="BZ194" s="10"/>
      <c r="CA194" s="10"/>
      <c r="CB194" s="10"/>
      <c r="CC194" s="10"/>
      <c r="CD194" s="10"/>
      <c r="CE194" s="10"/>
      <c r="CF194" s="10"/>
      <c r="CG194" s="10"/>
      <c r="CH194" s="10"/>
      <c r="CI194" s="10"/>
      <c r="CJ194" s="10"/>
      <c r="CK194" s="10"/>
      <c r="CL194" s="10"/>
      <c r="CM194" s="10"/>
      <c r="CN194" s="10"/>
      <c r="CO194" s="10"/>
      <c r="CP194" s="10"/>
      <c r="CQ194" s="10"/>
      <c r="CR194" s="10"/>
      <c r="CS194" s="10"/>
      <c r="CT194" s="10"/>
      <c r="CU194" s="10"/>
      <c r="CV194" s="10"/>
      <c r="CW194" s="10"/>
      <c r="CX194" s="10"/>
      <c r="CY194" s="10"/>
      <c r="CZ194" s="10"/>
      <c r="DA194" s="10"/>
      <c r="DB194" s="10"/>
      <c r="DC194" s="10"/>
      <c r="DD194" s="10"/>
      <c r="DE194" s="10"/>
      <c r="DF194" s="10"/>
      <c r="DG194" s="10"/>
      <c r="DH194" s="10"/>
      <c r="DI194" s="10"/>
      <c r="DJ194" s="10"/>
      <c r="DK194" s="10"/>
      <c r="DL194" s="10"/>
      <c r="DM194" s="10"/>
      <c r="DN194" s="10"/>
      <c r="DO194" s="10"/>
      <c r="DP194" s="10"/>
      <c r="DQ194" s="10"/>
      <c r="DR194" s="10"/>
    </row>
    <row r="195" spans="1:122" x14ac:dyDescent="0.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10"/>
      <c r="BJ195" s="10"/>
      <c r="BK195" s="10"/>
      <c r="BL195" s="10"/>
      <c r="BM195" s="10"/>
      <c r="BN195" s="10"/>
      <c r="BO195" s="10"/>
      <c r="BP195" s="10"/>
      <c r="BQ195" s="10"/>
      <c r="BR195" s="10"/>
      <c r="BS195" s="10"/>
      <c r="BT195" s="10"/>
      <c r="BU195" s="10"/>
      <c r="BV195" s="10"/>
      <c r="BW195" s="10"/>
      <c r="BX195" s="10"/>
      <c r="BY195" s="10"/>
      <c r="BZ195" s="10"/>
      <c r="CA195" s="10"/>
      <c r="CB195" s="10"/>
      <c r="CC195" s="10"/>
      <c r="CD195" s="10"/>
      <c r="CE195" s="10"/>
      <c r="CF195" s="10"/>
      <c r="CG195" s="10"/>
      <c r="CH195" s="10"/>
      <c r="CI195" s="10"/>
      <c r="CJ195" s="10"/>
      <c r="CK195" s="10"/>
      <c r="CL195" s="10"/>
      <c r="CM195" s="10"/>
      <c r="CN195" s="10"/>
      <c r="CO195" s="10"/>
      <c r="CP195" s="10"/>
      <c r="CQ195" s="10"/>
      <c r="CR195" s="10"/>
      <c r="CS195" s="10"/>
      <c r="CT195" s="10"/>
      <c r="CU195" s="10"/>
      <c r="CV195" s="10"/>
      <c r="CW195" s="10"/>
      <c r="CX195" s="10"/>
      <c r="CY195" s="10"/>
      <c r="CZ195" s="10"/>
      <c r="DA195" s="10"/>
      <c r="DB195" s="10"/>
      <c r="DC195" s="10"/>
      <c r="DD195" s="10"/>
      <c r="DE195" s="10"/>
      <c r="DF195" s="10"/>
      <c r="DG195" s="10"/>
      <c r="DH195" s="10"/>
      <c r="DI195" s="10"/>
      <c r="DJ195" s="10"/>
      <c r="DK195" s="10"/>
      <c r="DL195" s="10"/>
      <c r="DM195" s="10"/>
      <c r="DN195" s="10"/>
      <c r="DO195" s="10"/>
      <c r="DP195" s="10"/>
      <c r="DQ195" s="10"/>
      <c r="DR195" s="10"/>
    </row>
    <row r="196" spans="1:122" x14ac:dyDescent="0.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10"/>
      <c r="BJ196" s="10"/>
      <c r="BK196" s="10"/>
      <c r="BL196" s="10"/>
      <c r="BM196" s="10"/>
      <c r="BN196" s="10"/>
      <c r="BO196" s="10"/>
      <c r="BP196" s="10"/>
      <c r="BQ196" s="10"/>
      <c r="BR196" s="10"/>
      <c r="BS196" s="10"/>
      <c r="BT196" s="10"/>
      <c r="BU196" s="10"/>
      <c r="BV196" s="10"/>
      <c r="BW196" s="10"/>
      <c r="BX196" s="10"/>
      <c r="BY196" s="10"/>
      <c r="BZ196" s="10"/>
      <c r="CA196" s="10"/>
      <c r="CB196" s="10"/>
      <c r="CC196" s="10"/>
      <c r="CD196" s="10"/>
      <c r="CE196" s="10"/>
      <c r="CF196" s="10"/>
      <c r="CG196" s="10"/>
      <c r="CH196" s="10"/>
      <c r="CI196" s="10"/>
      <c r="CJ196" s="10"/>
      <c r="CK196" s="10"/>
      <c r="CL196" s="10"/>
      <c r="CM196" s="10"/>
      <c r="CN196" s="10"/>
      <c r="CO196" s="10"/>
      <c r="CP196" s="10"/>
      <c r="CQ196" s="10"/>
      <c r="CR196" s="10"/>
      <c r="CS196" s="10"/>
      <c r="CT196" s="10"/>
      <c r="CU196" s="10"/>
      <c r="CV196" s="10"/>
      <c r="CW196" s="10"/>
      <c r="CX196" s="10"/>
      <c r="CY196" s="10"/>
      <c r="CZ196" s="10"/>
      <c r="DA196" s="10"/>
      <c r="DB196" s="10"/>
      <c r="DC196" s="10"/>
      <c r="DD196" s="10"/>
      <c r="DE196" s="10"/>
      <c r="DF196" s="10"/>
      <c r="DG196" s="10"/>
      <c r="DH196" s="10"/>
      <c r="DI196" s="10"/>
      <c r="DJ196" s="10"/>
      <c r="DK196" s="10"/>
      <c r="DL196" s="10"/>
      <c r="DM196" s="10"/>
      <c r="DN196" s="10"/>
      <c r="DO196" s="10"/>
      <c r="DP196" s="10"/>
      <c r="DQ196" s="10"/>
      <c r="DR196" s="10"/>
    </row>
    <row r="197" spans="1:122" x14ac:dyDescent="0.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10"/>
      <c r="BJ197" s="10"/>
      <c r="BK197" s="10"/>
      <c r="BL197" s="10"/>
      <c r="BM197" s="10"/>
      <c r="BN197" s="10"/>
      <c r="BO197" s="10"/>
      <c r="BP197" s="10"/>
      <c r="BQ197" s="10"/>
      <c r="BR197" s="10"/>
      <c r="BS197" s="10"/>
      <c r="BT197" s="10"/>
      <c r="BU197" s="10"/>
      <c r="BV197" s="10"/>
      <c r="BW197" s="10"/>
      <c r="BX197" s="10"/>
      <c r="BY197" s="10"/>
      <c r="BZ197" s="10"/>
      <c r="CA197" s="10"/>
      <c r="CB197" s="10"/>
      <c r="CC197" s="10"/>
      <c r="CD197" s="10"/>
      <c r="CE197" s="10"/>
      <c r="CF197" s="10"/>
      <c r="CG197" s="10"/>
      <c r="CH197" s="10"/>
      <c r="CI197" s="10"/>
      <c r="CJ197" s="10"/>
      <c r="CK197" s="10"/>
      <c r="CL197" s="10"/>
      <c r="CM197" s="10"/>
      <c r="CN197" s="10"/>
      <c r="CO197" s="10"/>
      <c r="CP197" s="10"/>
      <c r="CQ197" s="10"/>
      <c r="CR197" s="10"/>
      <c r="CS197" s="10"/>
      <c r="CT197" s="10"/>
      <c r="CU197" s="10"/>
      <c r="CV197" s="10"/>
      <c r="CW197" s="10"/>
      <c r="CX197" s="10"/>
      <c r="CY197" s="10"/>
      <c r="CZ197" s="10"/>
      <c r="DA197" s="10"/>
      <c r="DB197" s="10"/>
      <c r="DC197" s="10"/>
      <c r="DD197" s="10"/>
      <c r="DE197" s="10"/>
      <c r="DF197" s="10"/>
      <c r="DG197" s="10"/>
      <c r="DH197" s="10"/>
      <c r="DI197" s="10"/>
      <c r="DJ197" s="10"/>
      <c r="DK197" s="10"/>
      <c r="DL197" s="10"/>
      <c r="DM197" s="10"/>
      <c r="DN197" s="10"/>
      <c r="DO197" s="10"/>
      <c r="DP197" s="10"/>
      <c r="DQ197" s="10"/>
      <c r="DR197" s="10"/>
    </row>
    <row r="198" spans="1:122" x14ac:dyDescent="0.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0"/>
      <c r="BC198" s="10"/>
      <c r="BD198" s="10"/>
      <c r="BE198" s="10"/>
      <c r="BF198" s="10"/>
      <c r="BG198" s="10"/>
      <c r="BH198" s="10"/>
      <c r="BI198" s="10"/>
      <c r="BJ198" s="10"/>
      <c r="BK198" s="10"/>
      <c r="BL198" s="10"/>
      <c r="BM198" s="10"/>
      <c r="BN198" s="10"/>
      <c r="BO198" s="10"/>
      <c r="BP198" s="10"/>
      <c r="BQ198" s="10"/>
      <c r="BR198" s="10"/>
      <c r="BS198" s="10"/>
      <c r="BT198" s="10"/>
      <c r="BU198" s="10"/>
      <c r="BV198" s="10"/>
      <c r="BW198" s="10"/>
      <c r="BX198" s="10"/>
      <c r="BY198" s="10"/>
      <c r="BZ198" s="10"/>
      <c r="CA198" s="10"/>
      <c r="CB198" s="10"/>
      <c r="CC198" s="10"/>
      <c r="CD198" s="10"/>
      <c r="CE198" s="10"/>
      <c r="CF198" s="10"/>
      <c r="CG198" s="10"/>
      <c r="CH198" s="10"/>
      <c r="CI198" s="10"/>
      <c r="CJ198" s="10"/>
      <c r="CK198" s="10"/>
      <c r="CL198" s="10"/>
      <c r="CM198" s="10"/>
      <c r="CN198" s="10"/>
      <c r="CO198" s="10"/>
      <c r="CP198" s="10"/>
      <c r="CQ198" s="10"/>
      <c r="CR198" s="10"/>
      <c r="CS198" s="10"/>
      <c r="CT198" s="10"/>
      <c r="CU198" s="10"/>
      <c r="CV198" s="10"/>
      <c r="CW198" s="10"/>
      <c r="CX198" s="10"/>
      <c r="CY198" s="10"/>
      <c r="CZ198" s="10"/>
      <c r="DA198" s="10"/>
      <c r="DB198" s="10"/>
      <c r="DC198" s="10"/>
      <c r="DD198" s="10"/>
      <c r="DE198" s="10"/>
      <c r="DF198" s="10"/>
      <c r="DG198" s="10"/>
      <c r="DH198" s="10"/>
      <c r="DI198" s="10"/>
      <c r="DJ198" s="10"/>
      <c r="DK198" s="10"/>
      <c r="DL198" s="10"/>
      <c r="DM198" s="10"/>
      <c r="DN198" s="10"/>
      <c r="DO198" s="10"/>
      <c r="DP198" s="10"/>
      <c r="DQ198" s="10"/>
      <c r="DR198" s="10"/>
    </row>
    <row r="199" spans="1:122" x14ac:dyDescent="0.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10"/>
      <c r="BJ199" s="10"/>
      <c r="BK199" s="10"/>
      <c r="BL199" s="10"/>
      <c r="BM199" s="10"/>
      <c r="BN199" s="10"/>
      <c r="BO199" s="10"/>
      <c r="BP199" s="10"/>
      <c r="BQ199" s="10"/>
      <c r="BR199" s="10"/>
      <c r="BS199" s="10"/>
      <c r="BT199" s="10"/>
      <c r="BU199" s="10"/>
      <c r="BV199" s="10"/>
      <c r="BW199" s="10"/>
      <c r="BX199" s="10"/>
      <c r="BY199" s="10"/>
      <c r="BZ199" s="10"/>
      <c r="CA199" s="10"/>
      <c r="CB199" s="10"/>
      <c r="CC199" s="10"/>
      <c r="CD199" s="10"/>
      <c r="CE199" s="10"/>
      <c r="CF199" s="10"/>
      <c r="CG199" s="10"/>
      <c r="CH199" s="10"/>
      <c r="CI199" s="10"/>
      <c r="CJ199" s="10"/>
      <c r="CK199" s="10"/>
      <c r="CL199" s="10"/>
      <c r="CM199" s="10"/>
      <c r="CN199" s="10"/>
      <c r="CO199" s="10"/>
      <c r="CP199" s="10"/>
      <c r="CQ199" s="10"/>
      <c r="CR199" s="10"/>
      <c r="CS199" s="10"/>
      <c r="CT199" s="10"/>
      <c r="CU199" s="10"/>
      <c r="CV199" s="10"/>
      <c r="CW199" s="10"/>
      <c r="CX199" s="10"/>
      <c r="CY199" s="10"/>
      <c r="CZ199" s="10"/>
      <c r="DA199" s="10"/>
      <c r="DB199" s="10"/>
      <c r="DC199" s="10"/>
      <c r="DD199" s="10"/>
      <c r="DE199" s="10"/>
      <c r="DF199" s="10"/>
      <c r="DG199" s="10"/>
      <c r="DH199" s="10"/>
      <c r="DI199" s="10"/>
      <c r="DJ199" s="10"/>
      <c r="DK199" s="10"/>
      <c r="DL199" s="10"/>
      <c r="DM199" s="10"/>
      <c r="DN199" s="10"/>
      <c r="DO199" s="10"/>
      <c r="DP199" s="10"/>
      <c r="DQ199" s="10"/>
      <c r="DR199" s="10"/>
    </row>
    <row r="200" spans="1:122" x14ac:dyDescent="0.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10"/>
      <c r="BJ200" s="10"/>
      <c r="BK200" s="10"/>
      <c r="BL200" s="10"/>
      <c r="BM200" s="10"/>
      <c r="BN200" s="10"/>
      <c r="BO200" s="10"/>
      <c r="BP200" s="10"/>
      <c r="BQ200" s="10"/>
      <c r="BR200" s="10"/>
      <c r="BS200" s="10"/>
      <c r="BT200" s="10"/>
      <c r="BU200" s="10"/>
      <c r="BV200" s="10"/>
      <c r="BW200" s="10"/>
      <c r="BX200" s="10"/>
      <c r="BY200" s="10"/>
      <c r="BZ200" s="10"/>
      <c r="CA200" s="10"/>
      <c r="CB200" s="10"/>
      <c r="CC200" s="10"/>
      <c r="CD200" s="10"/>
      <c r="CE200" s="10"/>
      <c r="CF200" s="10"/>
      <c r="CG200" s="10"/>
      <c r="CH200" s="10"/>
      <c r="CI200" s="10"/>
      <c r="CJ200" s="10"/>
      <c r="CK200" s="10"/>
      <c r="CL200" s="10"/>
      <c r="CM200" s="10"/>
      <c r="CN200" s="10"/>
      <c r="CO200" s="10"/>
      <c r="CP200" s="10"/>
      <c r="CQ200" s="10"/>
      <c r="CR200" s="10"/>
      <c r="CS200" s="10"/>
      <c r="CT200" s="10"/>
      <c r="CU200" s="10"/>
      <c r="CV200" s="10"/>
      <c r="CW200" s="10"/>
      <c r="CX200" s="10"/>
      <c r="CY200" s="10"/>
      <c r="CZ200" s="10"/>
      <c r="DA200" s="10"/>
      <c r="DB200" s="10"/>
      <c r="DC200" s="10"/>
      <c r="DD200" s="10"/>
      <c r="DE200" s="10"/>
      <c r="DF200" s="10"/>
      <c r="DG200" s="10"/>
      <c r="DH200" s="10"/>
      <c r="DI200" s="10"/>
      <c r="DJ200" s="10"/>
      <c r="DK200" s="10"/>
      <c r="DL200" s="10"/>
      <c r="DM200" s="10"/>
      <c r="DN200" s="10"/>
      <c r="DO200" s="10"/>
      <c r="DP200" s="10"/>
      <c r="DQ200" s="10"/>
      <c r="DR200" s="10"/>
    </row>
    <row r="201" spans="1:122" x14ac:dyDescent="0.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10"/>
      <c r="BJ201" s="10"/>
      <c r="BK201" s="10"/>
      <c r="BL201" s="10"/>
      <c r="BM201" s="10"/>
      <c r="BN201" s="10"/>
      <c r="BO201" s="10"/>
      <c r="BP201" s="10"/>
      <c r="BQ201" s="10"/>
      <c r="BR201" s="10"/>
      <c r="BS201" s="10"/>
      <c r="BT201" s="10"/>
      <c r="BU201" s="10"/>
      <c r="BV201" s="10"/>
      <c r="BW201" s="10"/>
      <c r="BX201" s="10"/>
      <c r="BY201" s="10"/>
      <c r="BZ201" s="10"/>
      <c r="CA201" s="10"/>
      <c r="CB201" s="10"/>
      <c r="CC201" s="10"/>
      <c r="CD201" s="10"/>
      <c r="CE201" s="10"/>
      <c r="CF201" s="10"/>
      <c r="CG201" s="10"/>
      <c r="CH201" s="10"/>
      <c r="CI201" s="10"/>
      <c r="CJ201" s="10"/>
      <c r="CK201" s="10"/>
      <c r="CL201" s="10"/>
      <c r="CM201" s="10"/>
      <c r="CN201" s="10"/>
      <c r="CO201" s="10"/>
      <c r="CP201" s="10"/>
      <c r="CQ201" s="10"/>
      <c r="CR201" s="10"/>
      <c r="CS201" s="10"/>
      <c r="CT201" s="10"/>
      <c r="CU201" s="10"/>
      <c r="CV201" s="10"/>
      <c r="CW201" s="10"/>
      <c r="CX201" s="10"/>
      <c r="CY201" s="10"/>
      <c r="CZ201" s="10"/>
      <c r="DA201" s="10"/>
      <c r="DB201" s="10"/>
      <c r="DC201" s="10"/>
      <c r="DD201" s="10"/>
      <c r="DE201" s="10"/>
      <c r="DF201" s="10"/>
      <c r="DG201" s="10"/>
      <c r="DH201" s="10"/>
      <c r="DI201" s="10"/>
      <c r="DJ201" s="10"/>
      <c r="DK201" s="10"/>
      <c r="DL201" s="10"/>
      <c r="DM201" s="10"/>
      <c r="DN201" s="10"/>
      <c r="DO201" s="10"/>
      <c r="DP201" s="10"/>
      <c r="DQ201" s="10"/>
      <c r="DR201" s="10"/>
    </row>
    <row r="202" spans="1:122" x14ac:dyDescent="0.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10"/>
      <c r="BJ202" s="10"/>
      <c r="BK202" s="10"/>
      <c r="BL202" s="10"/>
      <c r="BM202" s="10"/>
      <c r="BN202" s="10"/>
      <c r="BO202" s="10"/>
      <c r="BP202" s="10"/>
      <c r="BQ202" s="10"/>
      <c r="BR202" s="10"/>
      <c r="BS202" s="10"/>
      <c r="BT202" s="10"/>
      <c r="BU202" s="10"/>
      <c r="BV202" s="10"/>
      <c r="BW202" s="10"/>
      <c r="BX202" s="10"/>
      <c r="BY202" s="10"/>
      <c r="BZ202" s="10"/>
      <c r="CA202" s="10"/>
      <c r="CB202" s="10"/>
      <c r="CC202" s="10"/>
      <c r="CD202" s="10"/>
      <c r="CE202" s="10"/>
      <c r="CF202" s="10"/>
      <c r="CG202" s="10"/>
      <c r="CH202" s="10"/>
      <c r="CI202" s="10"/>
      <c r="CJ202" s="10"/>
      <c r="CK202" s="10"/>
      <c r="CL202" s="10"/>
      <c r="CM202" s="10"/>
      <c r="CN202" s="10"/>
      <c r="CO202" s="10"/>
      <c r="CP202" s="10"/>
      <c r="CQ202" s="10"/>
      <c r="CR202" s="10"/>
      <c r="CS202" s="10"/>
      <c r="CT202" s="10"/>
      <c r="CU202" s="10"/>
      <c r="CV202" s="10"/>
      <c r="CW202" s="10"/>
      <c r="CX202" s="10"/>
      <c r="CY202" s="10"/>
      <c r="CZ202" s="10"/>
      <c r="DA202" s="10"/>
      <c r="DB202" s="10"/>
      <c r="DC202" s="10"/>
      <c r="DD202" s="10"/>
      <c r="DE202" s="10"/>
      <c r="DF202" s="10"/>
      <c r="DG202" s="10"/>
      <c r="DH202" s="10"/>
      <c r="DI202" s="10"/>
      <c r="DJ202" s="10"/>
      <c r="DK202" s="10"/>
      <c r="DL202" s="10"/>
      <c r="DM202" s="10"/>
      <c r="DN202" s="10"/>
      <c r="DO202" s="10"/>
      <c r="DP202" s="10"/>
      <c r="DQ202" s="10"/>
      <c r="DR202" s="10"/>
    </row>
    <row r="203" spans="1:122" x14ac:dyDescent="0.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10"/>
      <c r="BJ203" s="10"/>
      <c r="BK203" s="10"/>
      <c r="BL203" s="10"/>
      <c r="BM203" s="10"/>
      <c r="BN203" s="10"/>
      <c r="BO203" s="10"/>
      <c r="BP203" s="10"/>
      <c r="BQ203" s="10"/>
      <c r="BR203" s="10"/>
      <c r="BS203" s="10"/>
      <c r="BT203" s="10"/>
      <c r="BU203" s="10"/>
      <c r="BV203" s="10"/>
      <c r="BW203" s="10"/>
      <c r="BX203" s="10"/>
      <c r="BY203" s="10"/>
      <c r="BZ203" s="10"/>
      <c r="CA203" s="10"/>
      <c r="CB203" s="10"/>
      <c r="CC203" s="10"/>
      <c r="CD203" s="10"/>
      <c r="CE203" s="10"/>
      <c r="CF203" s="10"/>
      <c r="CG203" s="10"/>
      <c r="CH203" s="10"/>
      <c r="CI203" s="10"/>
      <c r="CJ203" s="10"/>
      <c r="CK203" s="10"/>
      <c r="CL203" s="10"/>
      <c r="CM203" s="10"/>
      <c r="CN203" s="10"/>
      <c r="CO203" s="10"/>
      <c r="CP203" s="10"/>
      <c r="CQ203" s="10"/>
      <c r="CR203" s="10"/>
      <c r="CS203" s="10"/>
      <c r="CT203" s="10"/>
      <c r="CU203" s="10"/>
      <c r="CV203" s="10"/>
      <c r="CW203" s="10"/>
      <c r="CX203" s="10"/>
      <c r="CY203" s="10"/>
      <c r="CZ203" s="10"/>
      <c r="DA203" s="10"/>
      <c r="DB203" s="10"/>
      <c r="DC203" s="10"/>
      <c r="DD203" s="10"/>
      <c r="DE203" s="10"/>
      <c r="DF203" s="10"/>
      <c r="DG203" s="10"/>
      <c r="DH203" s="10"/>
      <c r="DI203" s="10"/>
      <c r="DJ203" s="10"/>
      <c r="DK203" s="10"/>
      <c r="DL203" s="10"/>
      <c r="DM203" s="10"/>
      <c r="DN203" s="10"/>
      <c r="DO203" s="10"/>
      <c r="DP203" s="10"/>
      <c r="DQ203" s="10"/>
      <c r="DR203" s="10"/>
    </row>
    <row r="204" spans="1:122" x14ac:dyDescent="0.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0"/>
      <c r="BC204" s="10"/>
      <c r="BD204" s="10"/>
      <c r="BE204" s="10"/>
      <c r="BF204" s="10"/>
      <c r="BG204" s="10"/>
      <c r="BH204" s="10"/>
      <c r="BI204" s="10"/>
      <c r="BJ204" s="10"/>
      <c r="BK204" s="10"/>
      <c r="BL204" s="10"/>
      <c r="BM204" s="10"/>
      <c r="BN204" s="10"/>
      <c r="BO204" s="10"/>
      <c r="BP204" s="10"/>
      <c r="BQ204" s="10"/>
      <c r="BR204" s="10"/>
      <c r="BS204" s="10"/>
      <c r="BT204" s="10"/>
      <c r="BU204" s="10"/>
      <c r="BV204" s="10"/>
      <c r="BW204" s="10"/>
      <c r="BX204" s="10"/>
      <c r="BY204" s="10"/>
      <c r="BZ204" s="10"/>
      <c r="CA204" s="10"/>
      <c r="CB204" s="10"/>
      <c r="CC204" s="10"/>
      <c r="CD204" s="10"/>
      <c r="CE204" s="10"/>
      <c r="CF204" s="10"/>
      <c r="CG204" s="10"/>
      <c r="CH204" s="10"/>
      <c r="CI204" s="10"/>
      <c r="CJ204" s="10"/>
      <c r="CK204" s="10"/>
      <c r="CL204" s="10"/>
      <c r="CM204" s="10"/>
      <c r="CN204" s="10"/>
      <c r="CO204" s="10"/>
      <c r="CP204" s="10"/>
      <c r="CQ204" s="10"/>
      <c r="CR204" s="10"/>
      <c r="CS204" s="10"/>
      <c r="CT204" s="10"/>
      <c r="CU204" s="10"/>
      <c r="CV204" s="10"/>
      <c r="CW204" s="10"/>
      <c r="CX204" s="10"/>
      <c r="CY204" s="10"/>
      <c r="CZ204" s="10"/>
      <c r="DA204" s="10"/>
      <c r="DB204" s="10"/>
      <c r="DC204" s="10"/>
      <c r="DD204" s="10"/>
      <c r="DE204" s="10"/>
      <c r="DF204" s="10"/>
      <c r="DG204" s="10"/>
      <c r="DH204" s="10"/>
      <c r="DI204" s="10"/>
      <c r="DJ204" s="10"/>
      <c r="DK204" s="10"/>
      <c r="DL204" s="10"/>
      <c r="DM204" s="10"/>
      <c r="DN204" s="10"/>
      <c r="DO204" s="10"/>
      <c r="DP204" s="10"/>
      <c r="DQ204" s="10"/>
      <c r="DR204" s="10"/>
    </row>
    <row r="205" spans="1:122" x14ac:dyDescent="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0"/>
      <c r="BC205" s="10"/>
      <c r="BD205" s="10"/>
      <c r="BE205" s="10"/>
      <c r="BF205" s="10"/>
      <c r="BG205" s="10"/>
      <c r="BH205" s="10"/>
      <c r="BI205" s="10"/>
      <c r="BJ205" s="10"/>
      <c r="BK205" s="10"/>
      <c r="BL205" s="10"/>
      <c r="BM205" s="10"/>
      <c r="BN205" s="10"/>
      <c r="BO205" s="10"/>
      <c r="BP205" s="10"/>
      <c r="BQ205" s="10"/>
      <c r="BR205" s="10"/>
      <c r="BS205" s="10"/>
      <c r="BT205" s="10"/>
      <c r="BU205" s="10"/>
      <c r="BV205" s="10"/>
      <c r="BW205" s="10"/>
      <c r="BX205" s="10"/>
      <c r="BY205" s="10"/>
      <c r="BZ205" s="10"/>
      <c r="CA205" s="10"/>
      <c r="CB205" s="10"/>
      <c r="CC205" s="10"/>
      <c r="CD205" s="10"/>
      <c r="CE205" s="10"/>
      <c r="CF205" s="10"/>
      <c r="CG205" s="10"/>
      <c r="CH205" s="10"/>
      <c r="CI205" s="10"/>
      <c r="CJ205" s="10"/>
      <c r="CK205" s="10"/>
      <c r="CL205" s="10"/>
      <c r="CM205" s="10"/>
      <c r="CN205" s="10"/>
      <c r="CO205" s="10"/>
      <c r="CP205" s="10"/>
      <c r="CQ205" s="10"/>
      <c r="CR205" s="10"/>
      <c r="CS205" s="10"/>
      <c r="CT205" s="10"/>
      <c r="CU205" s="10"/>
      <c r="CV205" s="10"/>
      <c r="CW205" s="10"/>
      <c r="CX205" s="10"/>
      <c r="CY205" s="10"/>
      <c r="CZ205" s="10"/>
      <c r="DA205" s="10"/>
      <c r="DB205" s="10"/>
      <c r="DC205" s="10"/>
      <c r="DD205" s="10"/>
      <c r="DE205" s="10"/>
      <c r="DF205" s="10"/>
      <c r="DG205" s="10"/>
      <c r="DH205" s="10"/>
      <c r="DI205" s="10"/>
      <c r="DJ205" s="10"/>
      <c r="DK205" s="10"/>
      <c r="DL205" s="10"/>
      <c r="DM205" s="10"/>
      <c r="DN205" s="10"/>
      <c r="DO205" s="10"/>
      <c r="DP205" s="10"/>
      <c r="DQ205" s="10"/>
      <c r="DR205" s="10"/>
    </row>
    <row r="206" spans="1:122" x14ac:dyDescent="0.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10"/>
      <c r="BJ206" s="10"/>
      <c r="BK206" s="10"/>
      <c r="BL206" s="10"/>
      <c r="BM206" s="10"/>
      <c r="BN206" s="10"/>
      <c r="BO206" s="10"/>
      <c r="BP206" s="10"/>
      <c r="BQ206" s="10"/>
      <c r="BR206" s="10"/>
      <c r="BS206" s="10"/>
      <c r="BT206" s="10"/>
      <c r="BU206" s="10"/>
      <c r="BV206" s="10"/>
      <c r="BW206" s="10"/>
      <c r="BX206" s="10"/>
      <c r="BY206" s="10"/>
      <c r="BZ206" s="10"/>
      <c r="CA206" s="10"/>
      <c r="CB206" s="10"/>
      <c r="CC206" s="10"/>
      <c r="CD206" s="10"/>
      <c r="CE206" s="10"/>
      <c r="CF206" s="10"/>
      <c r="CG206" s="10"/>
      <c r="CH206" s="10"/>
      <c r="CI206" s="10"/>
      <c r="CJ206" s="10"/>
      <c r="CK206" s="10"/>
      <c r="CL206" s="10"/>
      <c r="CM206" s="10"/>
      <c r="CN206" s="10"/>
      <c r="CO206" s="10"/>
      <c r="CP206" s="10"/>
      <c r="CQ206" s="10"/>
      <c r="CR206" s="10"/>
      <c r="CS206" s="10"/>
      <c r="CT206" s="10"/>
      <c r="CU206" s="10"/>
      <c r="CV206" s="10"/>
      <c r="CW206" s="10"/>
      <c r="CX206" s="10"/>
      <c r="CY206" s="10"/>
      <c r="CZ206" s="10"/>
      <c r="DA206" s="10"/>
      <c r="DB206" s="10"/>
      <c r="DC206" s="10"/>
      <c r="DD206" s="10"/>
      <c r="DE206" s="10"/>
      <c r="DF206" s="10"/>
      <c r="DG206" s="10"/>
      <c r="DH206" s="10"/>
      <c r="DI206" s="10"/>
      <c r="DJ206" s="10"/>
      <c r="DK206" s="10"/>
      <c r="DL206" s="10"/>
      <c r="DM206" s="10"/>
      <c r="DN206" s="10"/>
      <c r="DO206" s="10"/>
      <c r="DP206" s="10"/>
      <c r="DQ206" s="10"/>
      <c r="DR206" s="10"/>
    </row>
    <row r="207" spans="1:122" x14ac:dyDescent="0.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0"/>
      <c r="BC207" s="10"/>
      <c r="BD207" s="10"/>
      <c r="BE207" s="10"/>
      <c r="BF207" s="10"/>
      <c r="BG207" s="10"/>
      <c r="BH207" s="10"/>
      <c r="BI207" s="10"/>
      <c r="BJ207" s="10"/>
      <c r="BK207" s="10"/>
      <c r="BL207" s="10"/>
      <c r="BM207" s="10"/>
      <c r="BN207" s="10"/>
      <c r="BO207" s="10"/>
      <c r="BP207" s="10"/>
      <c r="BQ207" s="10"/>
      <c r="BR207" s="10"/>
      <c r="BS207" s="10"/>
      <c r="BT207" s="10"/>
      <c r="BU207" s="10"/>
      <c r="BV207" s="10"/>
      <c r="BW207" s="10"/>
      <c r="BX207" s="10"/>
      <c r="BY207" s="10"/>
      <c r="BZ207" s="10"/>
      <c r="CA207" s="10"/>
      <c r="CB207" s="10"/>
      <c r="CC207" s="10"/>
      <c r="CD207" s="10"/>
      <c r="CE207" s="10"/>
      <c r="CF207" s="10"/>
      <c r="CG207" s="10"/>
      <c r="CH207" s="10"/>
      <c r="CI207" s="10"/>
      <c r="CJ207" s="10"/>
      <c r="CK207" s="10"/>
      <c r="CL207" s="10"/>
      <c r="CM207" s="10"/>
      <c r="CN207" s="10"/>
      <c r="CO207" s="10"/>
      <c r="CP207" s="10"/>
      <c r="CQ207" s="10"/>
      <c r="CR207" s="10"/>
      <c r="CS207" s="10"/>
      <c r="CT207" s="10"/>
      <c r="CU207" s="10"/>
      <c r="CV207" s="10"/>
      <c r="CW207" s="10"/>
      <c r="CX207" s="10"/>
      <c r="CY207" s="10"/>
      <c r="CZ207" s="10"/>
      <c r="DA207" s="10"/>
      <c r="DB207" s="10"/>
      <c r="DC207" s="10"/>
      <c r="DD207" s="10"/>
      <c r="DE207" s="10"/>
      <c r="DF207" s="10"/>
      <c r="DG207" s="10"/>
      <c r="DH207" s="10"/>
      <c r="DI207" s="10"/>
      <c r="DJ207" s="10"/>
      <c r="DK207" s="10"/>
      <c r="DL207" s="10"/>
      <c r="DM207" s="10"/>
      <c r="DN207" s="10"/>
      <c r="DO207" s="10"/>
      <c r="DP207" s="10"/>
      <c r="DQ207" s="10"/>
      <c r="DR207" s="10"/>
    </row>
    <row r="208" spans="1:122" x14ac:dyDescent="0.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0"/>
      <c r="BC208" s="10"/>
      <c r="BD208" s="10"/>
      <c r="BE208" s="10"/>
      <c r="BF208" s="10"/>
      <c r="BG208" s="10"/>
      <c r="BH208" s="10"/>
      <c r="BI208" s="10"/>
      <c r="BJ208" s="10"/>
      <c r="BK208" s="10"/>
      <c r="BL208" s="10"/>
      <c r="BM208" s="10"/>
      <c r="BN208" s="10"/>
      <c r="BO208" s="10"/>
      <c r="BP208" s="10"/>
      <c r="BQ208" s="10"/>
      <c r="BR208" s="10"/>
      <c r="BS208" s="10"/>
      <c r="BT208" s="10"/>
      <c r="BU208" s="10"/>
      <c r="BV208" s="10"/>
      <c r="BW208" s="10"/>
      <c r="BX208" s="10"/>
      <c r="BY208" s="10"/>
      <c r="BZ208" s="10"/>
      <c r="CA208" s="10"/>
      <c r="CB208" s="10"/>
      <c r="CC208" s="10"/>
      <c r="CD208" s="10"/>
      <c r="CE208" s="10"/>
      <c r="CF208" s="10"/>
      <c r="CG208" s="10"/>
      <c r="CH208" s="10"/>
      <c r="CI208" s="10"/>
      <c r="CJ208" s="10"/>
      <c r="CK208" s="10"/>
      <c r="CL208" s="10"/>
      <c r="CM208" s="10"/>
      <c r="CN208" s="10"/>
      <c r="CO208" s="10"/>
      <c r="CP208" s="10"/>
      <c r="CQ208" s="10"/>
      <c r="CR208" s="10"/>
      <c r="CS208" s="10"/>
      <c r="CT208" s="10"/>
      <c r="CU208" s="10"/>
      <c r="CV208" s="10"/>
      <c r="CW208" s="10"/>
      <c r="CX208" s="10"/>
      <c r="CY208" s="10"/>
      <c r="CZ208" s="10"/>
      <c r="DA208" s="10"/>
      <c r="DB208" s="10"/>
      <c r="DC208" s="10"/>
      <c r="DD208" s="10"/>
      <c r="DE208" s="10"/>
      <c r="DF208" s="10"/>
      <c r="DG208" s="10"/>
      <c r="DH208" s="10"/>
      <c r="DI208" s="10"/>
      <c r="DJ208" s="10"/>
      <c r="DK208" s="10"/>
      <c r="DL208" s="10"/>
      <c r="DM208" s="10"/>
      <c r="DN208" s="10"/>
      <c r="DO208" s="10"/>
      <c r="DP208" s="10"/>
      <c r="DQ208" s="10"/>
      <c r="DR208" s="10"/>
    </row>
    <row r="209" spans="1:122" x14ac:dyDescent="0.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0"/>
      <c r="BC209" s="10"/>
      <c r="BD209" s="10"/>
      <c r="BE209" s="10"/>
      <c r="BF209" s="10"/>
      <c r="BG209" s="10"/>
      <c r="BH209" s="10"/>
      <c r="BI209" s="10"/>
      <c r="BJ209" s="10"/>
      <c r="BK209" s="10"/>
      <c r="BL209" s="10"/>
      <c r="BM209" s="10"/>
      <c r="BN209" s="10"/>
      <c r="BO209" s="10"/>
      <c r="BP209" s="10"/>
      <c r="BQ209" s="10"/>
      <c r="BR209" s="10"/>
      <c r="BS209" s="10"/>
      <c r="BT209" s="10"/>
      <c r="BU209" s="10"/>
      <c r="BV209" s="10"/>
      <c r="BW209" s="10"/>
      <c r="BX209" s="10"/>
      <c r="BY209" s="10"/>
      <c r="BZ209" s="10"/>
      <c r="CA209" s="10"/>
      <c r="CB209" s="10"/>
      <c r="CC209" s="10"/>
      <c r="CD209" s="10"/>
      <c r="CE209" s="10"/>
      <c r="CF209" s="10"/>
      <c r="CG209" s="10"/>
      <c r="CH209" s="10"/>
      <c r="CI209" s="10"/>
      <c r="CJ209" s="10"/>
      <c r="CK209" s="10"/>
      <c r="CL209" s="10"/>
      <c r="CM209" s="10"/>
      <c r="CN209" s="10"/>
      <c r="CO209" s="10"/>
      <c r="CP209" s="10"/>
      <c r="CQ209" s="10"/>
      <c r="CR209" s="10"/>
      <c r="CS209" s="10"/>
      <c r="CT209" s="10"/>
      <c r="CU209" s="10"/>
      <c r="CV209" s="10"/>
      <c r="CW209" s="10"/>
      <c r="CX209" s="10"/>
      <c r="CY209" s="10"/>
      <c r="CZ209" s="10"/>
      <c r="DA209" s="10"/>
      <c r="DB209" s="10"/>
      <c r="DC209" s="10"/>
      <c r="DD209" s="10"/>
      <c r="DE209" s="10"/>
      <c r="DF209" s="10"/>
      <c r="DG209" s="10"/>
      <c r="DH209" s="10"/>
      <c r="DI209" s="10"/>
      <c r="DJ209" s="10"/>
      <c r="DK209" s="10"/>
      <c r="DL209" s="10"/>
      <c r="DM209" s="10"/>
      <c r="DN209" s="10"/>
      <c r="DO209" s="10"/>
      <c r="DP209" s="10"/>
      <c r="DQ209" s="10"/>
      <c r="DR209" s="10"/>
    </row>
    <row r="210" spans="1:122" x14ac:dyDescent="0.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10"/>
      <c r="BJ210" s="10"/>
      <c r="BK210" s="10"/>
      <c r="BL210" s="10"/>
      <c r="BM210" s="10"/>
      <c r="BN210" s="10"/>
      <c r="BO210" s="10"/>
      <c r="BP210" s="10"/>
      <c r="BQ210" s="10"/>
      <c r="BR210" s="10"/>
      <c r="BS210" s="10"/>
      <c r="BT210" s="10"/>
      <c r="BU210" s="10"/>
      <c r="BV210" s="10"/>
      <c r="BW210" s="10"/>
      <c r="BX210" s="10"/>
      <c r="BY210" s="10"/>
      <c r="BZ210" s="10"/>
      <c r="CA210" s="10"/>
      <c r="CB210" s="10"/>
      <c r="CC210" s="10"/>
      <c r="CD210" s="10"/>
      <c r="CE210" s="10"/>
      <c r="CF210" s="10"/>
      <c r="CG210" s="10"/>
      <c r="CH210" s="10"/>
      <c r="CI210" s="10"/>
      <c r="CJ210" s="10"/>
      <c r="CK210" s="10"/>
      <c r="CL210" s="10"/>
      <c r="CM210" s="10"/>
      <c r="CN210" s="10"/>
      <c r="CO210" s="10"/>
      <c r="CP210" s="10"/>
      <c r="CQ210" s="10"/>
      <c r="CR210" s="10"/>
      <c r="CS210" s="10"/>
      <c r="CT210" s="10"/>
      <c r="CU210" s="10"/>
      <c r="CV210" s="10"/>
      <c r="CW210" s="10"/>
      <c r="CX210" s="10"/>
      <c r="CY210" s="10"/>
      <c r="CZ210" s="10"/>
      <c r="DA210" s="10"/>
      <c r="DB210" s="10"/>
      <c r="DC210" s="10"/>
      <c r="DD210" s="10"/>
      <c r="DE210" s="10"/>
      <c r="DF210" s="10"/>
      <c r="DG210" s="10"/>
      <c r="DH210" s="10"/>
      <c r="DI210" s="10"/>
      <c r="DJ210" s="10"/>
      <c r="DK210" s="10"/>
      <c r="DL210" s="10"/>
      <c r="DM210" s="10"/>
      <c r="DN210" s="10"/>
      <c r="DO210" s="10"/>
      <c r="DP210" s="10"/>
      <c r="DQ210" s="10"/>
      <c r="DR210" s="10"/>
    </row>
    <row r="211" spans="1:122" x14ac:dyDescent="0.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10"/>
      <c r="BJ211" s="10"/>
      <c r="BK211" s="10"/>
      <c r="BL211" s="10"/>
      <c r="BM211" s="10"/>
      <c r="BN211" s="10"/>
      <c r="BO211" s="10"/>
      <c r="BP211" s="10"/>
      <c r="BQ211" s="10"/>
      <c r="BR211" s="10"/>
      <c r="BS211" s="10"/>
      <c r="BT211" s="10"/>
      <c r="BU211" s="10"/>
      <c r="BV211" s="10"/>
      <c r="BW211" s="10"/>
      <c r="BX211" s="10"/>
      <c r="BY211" s="10"/>
      <c r="BZ211" s="10"/>
      <c r="CA211" s="10"/>
      <c r="CB211" s="10"/>
      <c r="CC211" s="10"/>
      <c r="CD211" s="10"/>
      <c r="CE211" s="10"/>
      <c r="CF211" s="10"/>
      <c r="CG211" s="10"/>
      <c r="CH211" s="10"/>
      <c r="CI211" s="10"/>
      <c r="CJ211" s="10"/>
      <c r="CK211" s="10"/>
      <c r="CL211" s="10"/>
      <c r="CM211" s="10"/>
      <c r="CN211" s="10"/>
      <c r="CO211" s="10"/>
      <c r="CP211" s="10"/>
      <c r="CQ211" s="10"/>
      <c r="CR211" s="10"/>
      <c r="CS211" s="10"/>
      <c r="CT211" s="10"/>
      <c r="CU211" s="10"/>
      <c r="CV211" s="10"/>
      <c r="CW211" s="10"/>
      <c r="CX211" s="10"/>
      <c r="CY211" s="10"/>
      <c r="CZ211" s="10"/>
      <c r="DA211" s="10"/>
      <c r="DB211" s="10"/>
      <c r="DC211" s="10"/>
      <c r="DD211" s="10"/>
      <c r="DE211" s="10"/>
      <c r="DF211" s="10"/>
      <c r="DG211" s="10"/>
      <c r="DH211" s="10"/>
      <c r="DI211" s="10"/>
      <c r="DJ211" s="10"/>
      <c r="DK211" s="10"/>
      <c r="DL211" s="10"/>
      <c r="DM211" s="10"/>
      <c r="DN211" s="10"/>
      <c r="DO211" s="10"/>
      <c r="DP211" s="10"/>
      <c r="DQ211" s="10"/>
      <c r="DR211" s="10"/>
    </row>
    <row r="212" spans="1:122" x14ac:dyDescent="0.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0"/>
      <c r="BC212" s="10"/>
      <c r="BD212" s="10"/>
      <c r="BE212" s="10"/>
      <c r="BF212" s="10"/>
      <c r="BG212" s="10"/>
      <c r="BH212" s="10"/>
      <c r="BI212" s="10"/>
      <c r="BJ212" s="10"/>
      <c r="BK212" s="10"/>
      <c r="BL212" s="10"/>
      <c r="BM212" s="10"/>
      <c r="BN212" s="10"/>
      <c r="BO212" s="10"/>
      <c r="BP212" s="10"/>
      <c r="BQ212" s="10"/>
      <c r="BR212" s="10"/>
      <c r="BS212" s="10"/>
      <c r="BT212" s="10"/>
      <c r="BU212" s="10"/>
      <c r="BV212" s="10"/>
      <c r="BW212" s="10"/>
      <c r="BX212" s="10"/>
      <c r="BY212" s="10"/>
      <c r="BZ212" s="10"/>
      <c r="CA212" s="10"/>
      <c r="CB212" s="10"/>
      <c r="CC212" s="10"/>
      <c r="CD212" s="10"/>
      <c r="CE212" s="10"/>
      <c r="CF212" s="10"/>
      <c r="CG212" s="10"/>
      <c r="CH212" s="10"/>
      <c r="CI212" s="10"/>
      <c r="CJ212" s="10"/>
      <c r="CK212" s="10"/>
      <c r="CL212" s="10"/>
      <c r="CM212" s="10"/>
      <c r="CN212" s="10"/>
      <c r="CO212" s="10"/>
      <c r="CP212" s="10"/>
      <c r="CQ212" s="10"/>
      <c r="CR212" s="10"/>
      <c r="CS212" s="10"/>
      <c r="CT212" s="10"/>
      <c r="CU212" s="10"/>
      <c r="CV212" s="10"/>
      <c r="CW212" s="10"/>
      <c r="CX212" s="10"/>
      <c r="CY212" s="10"/>
      <c r="CZ212" s="10"/>
      <c r="DA212" s="10"/>
      <c r="DB212" s="10"/>
      <c r="DC212" s="10"/>
      <c r="DD212" s="10"/>
      <c r="DE212" s="10"/>
      <c r="DF212" s="10"/>
      <c r="DG212" s="10"/>
      <c r="DH212" s="10"/>
      <c r="DI212" s="10"/>
      <c r="DJ212" s="10"/>
      <c r="DK212" s="10"/>
      <c r="DL212" s="10"/>
      <c r="DM212" s="10"/>
      <c r="DN212" s="10"/>
      <c r="DO212" s="10"/>
      <c r="DP212" s="10"/>
      <c r="DQ212" s="10"/>
      <c r="DR212" s="10"/>
    </row>
    <row r="213" spans="1:122" x14ac:dyDescent="0.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10"/>
      <c r="BJ213" s="10"/>
      <c r="BK213" s="10"/>
      <c r="BL213" s="10"/>
      <c r="BM213" s="10"/>
      <c r="BN213" s="10"/>
      <c r="BO213" s="10"/>
      <c r="BP213" s="10"/>
      <c r="BQ213" s="10"/>
      <c r="BR213" s="10"/>
      <c r="BS213" s="10"/>
      <c r="BT213" s="10"/>
      <c r="BU213" s="10"/>
      <c r="BV213" s="10"/>
      <c r="BW213" s="10"/>
      <c r="BX213" s="10"/>
      <c r="BY213" s="10"/>
      <c r="BZ213" s="10"/>
      <c r="CA213" s="10"/>
      <c r="CB213" s="10"/>
      <c r="CC213" s="10"/>
      <c r="CD213" s="10"/>
      <c r="CE213" s="10"/>
      <c r="CF213" s="10"/>
      <c r="CG213" s="10"/>
      <c r="CH213" s="10"/>
      <c r="CI213" s="10"/>
      <c r="CJ213" s="10"/>
      <c r="CK213" s="10"/>
      <c r="CL213" s="10"/>
      <c r="CM213" s="10"/>
      <c r="CN213" s="10"/>
      <c r="CO213" s="10"/>
      <c r="CP213" s="10"/>
      <c r="CQ213" s="10"/>
      <c r="CR213" s="10"/>
      <c r="CS213" s="10"/>
      <c r="CT213" s="10"/>
      <c r="CU213" s="10"/>
      <c r="CV213" s="10"/>
      <c r="CW213" s="10"/>
      <c r="CX213" s="10"/>
      <c r="CY213" s="10"/>
      <c r="CZ213" s="10"/>
      <c r="DA213" s="10"/>
      <c r="DB213" s="10"/>
      <c r="DC213" s="10"/>
      <c r="DD213" s="10"/>
      <c r="DE213" s="10"/>
      <c r="DF213" s="10"/>
      <c r="DG213" s="10"/>
      <c r="DH213" s="10"/>
      <c r="DI213" s="10"/>
      <c r="DJ213" s="10"/>
      <c r="DK213" s="10"/>
      <c r="DL213" s="10"/>
      <c r="DM213" s="10"/>
      <c r="DN213" s="10"/>
      <c r="DO213" s="10"/>
      <c r="DP213" s="10"/>
      <c r="DQ213" s="10"/>
      <c r="DR213" s="10"/>
    </row>
    <row r="214" spans="1:122" x14ac:dyDescent="0.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10"/>
      <c r="BJ214" s="10"/>
      <c r="BK214" s="10"/>
      <c r="BL214" s="10"/>
      <c r="BM214" s="10"/>
      <c r="BN214" s="10"/>
      <c r="BO214" s="10"/>
      <c r="BP214" s="10"/>
      <c r="BQ214" s="10"/>
      <c r="BR214" s="10"/>
      <c r="BS214" s="10"/>
      <c r="BT214" s="10"/>
      <c r="BU214" s="10"/>
      <c r="BV214" s="10"/>
      <c r="BW214" s="10"/>
      <c r="BX214" s="10"/>
      <c r="BY214" s="10"/>
      <c r="BZ214" s="10"/>
      <c r="CA214" s="10"/>
      <c r="CB214" s="10"/>
      <c r="CC214" s="10"/>
      <c r="CD214" s="10"/>
      <c r="CE214" s="10"/>
      <c r="CF214" s="10"/>
      <c r="CG214" s="10"/>
      <c r="CH214" s="10"/>
      <c r="CI214" s="10"/>
      <c r="CJ214" s="10"/>
      <c r="CK214" s="10"/>
      <c r="CL214" s="10"/>
      <c r="CM214" s="10"/>
      <c r="CN214" s="10"/>
      <c r="CO214" s="10"/>
      <c r="CP214" s="10"/>
      <c r="CQ214" s="10"/>
      <c r="CR214" s="10"/>
      <c r="CS214" s="10"/>
      <c r="CT214" s="10"/>
      <c r="CU214" s="10"/>
      <c r="CV214" s="10"/>
      <c r="CW214" s="10"/>
      <c r="CX214" s="10"/>
      <c r="CY214" s="10"/>
      <c r="CZ214" s="10"/>
      <c r="DA214" s="10"/>
      <c r="DB214" s="10"/>
      <c r="DC214" s="10"/>
      <c r="DD214" s="10"/>
      <c r="DE214" s="10"/>
      <c r="DF214" s="10"/>
      <c r="DG214" s="10"/>
      <c r="DH214" s="10"/>
      <c r="DI214" s="10"/>
      <c r="DJ214" s="10"/>
      <c r="DK214" s="10"/>
      <c r="DL214" s="10"/>
      <c r="DM214" s="10"/>
      <c r="DN214" s="10"/>
      <c r="DO214" s="10"/>
      <c r="DP214" s="10"/>
      <c r="DQ214" s="10"/>
      <c r="DR214" s="10"/>
    </row>
    <row r="215" spans="1:122" x14ac:dyDescent="0.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10"/>
      <c r="BJ215" s="10"/>
      <c r="BK215" s="10"/>
      <c r="BL215" s="10"/>
      <c r="BM215" s="10"/>
      <c r="BN215" s="10"/>
      <c r="BO215" s="10"/>
      <c r="BP215" s="10"/>
      <c r="BQ215" s="10"/>
      <c r="BR215" s="10"/>
      <c r="BS215" s="10"/>
      <c r="BT215" s="10"/>
      <c r="BU215" s="10"/>
      <c r="BV215" s="10"/>
      <c r="BW215" s="10"/>
      <c r="BX215" s="10"/>
      <c r="BY215" s="10"/>
      <c r="BZ215" s="10"/>
      <c r="CA215" s="10"/>
      <c r="CB215" s="10"/>
      <c r="CC215" s="10"/>
      <c r="CD215" s="10"/>
      <c r="CE215" s="10"/>
      <c r="CF215" s="10"/>
      <c r="CG215" s="10"/>
      <c r="CH215" s="10"/>
      <c r="CI215" s="10"/>
      <c r="CJ215" s="10"/>
      <c r="CK215" s="10"/>
      <c r="CL215" s="10"/>
      <c r="CM215" s="10"/>
      <c r="CN215" s="10"/>
      <c r="CO215" s="10"/>
      <c r="CP215" s="10"/>
      <c r="CQ215" s="10"/>
      <c r="CR215" s="10"/>
      <c r="CS215" s="10"/>
      <c r="CT215" s="10"/>
      <c r="CU215" s="10"/>
      <c r="CV215" s="10"/>
      <c r="CW215" s="10"/>
      <c r="CX215" s="10"/>
      <c r="CY215" s="10"/>
      <c r="CZ215" s="10"/>
      <c r="DA215" s="10"/>
      <c r="DB215" s="10"/>
      <c r="DC215" s="10"/>
      <c r="DD215" s="10"/>
      <c r="DE215" s="10"/>
      <c r="DF215" s="10"/>
      <c r="DG215" s="10"/>
      <c r="DH215" s="10"/>
      <c r="DI215" s="10"/>
      <c r="DJ215" s="10"/>
      <c r="DK215" s="10"/>
      <c r="DL215" s="10"/>
      <c r="DM215" s="10"/>
      <c r="DN215" s="10"/>
      <c r="DO215" s="10"/>
      <c r="DP215" s="10"/>
      <c r="DQ215" s="10"/>
      <c r="DR215" s="10"/>
    </row>
    <row r="216" spans="1:122" x14ac:dyDescent="0.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10"/>
      <c r="BJ216" s="10"/>
      <c r="BK216" s="10"/>
      <c r="BL216" s="10"/>
      <c r="BM216" s="10"/>
      <c r="BN216" s="10"/>
      <c r="BO216" s="10"/>
      <c r="BP216" s="10"/>
      <c r="BQ216" s="10"/>
      <c r="BR216" s="10"/>
      <c r="BS216" s="10"/>
      <c r="BT216" s="10"/>
      <c r="BU216" s="10"/>
      <c r="BV216" s="10"/>
      <c r="BW216" s="10"/>
      <c r="BX216" s="10"/>
      <c r="BY216" s="10"/>
      <c r="BZ216" s="10"/>
      <c r="CA216" s="10"/>
      <c r="CB216" s="10"/>
      <c r="CC216" s="10"/>
      <c r="CD216" s="10"/>
      <c r="CE216" s="10"/>
      <c r="CF216" s="10"/>
      <c r="CG216" s="10"/>
      <c r="CH216" s="10"/>
      <c r="CI216" s="10"/>
      <c r="CJ216" s="10"/>
      <c r="CK216" s="10"/>
      <c r="CL216" s="10"/>
      <c r="CM216" s="10"/>
      <c r="CN216" s="10"/>
      <c r="CO216" s="10"/>
      <c r="CP216" s="10"/>
      <c r="CQ216" s="10"/>
      <c r="CR216" s="10"/>
      <c r="CS216" s="10"/>
      <c r="CT216" s="10"/>
      <c r="CU216" s="10"/>
      <c r="CV216" s="10"/>
      <c r="CW216" s="10"/>
      <c r="CX216" s="10"/>
      <c r="CY216" s="10"/>
      <c r="CZ216" s="10"/>
      <c r="DA216" s="10"/>
      <c r="DB216" s="10"/>
      <c r="DC216" s="10"/>
      <c r="DD216" s="10"/>
      <c r="DE216" s="10"/>
      <c r="DF216" s="10"/>
      <c r="DG216" s="10"/>
      <c r="DH216" s="10"/>
      <c r="DI216" s="10"/>
      <c r="DJ216" s="10"/>
      <c r="DK216" s="10"/>
      <c r="DL216" s="10"/>
      <c r="DM216" s="10"/>
      <c r="DN216" s="10"/>
      <c r="DO216" s="10"/>
      <c r="DP216" s="10"/>
      <c r="DQ216" s="10"/>
      <c r="DR216" s="10"/>
    </row>
    <row r="217" spans="1:122" x14ac:dyDescent="0.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10"/>
      <c r="BJ217" s="10"/>
      <c r="BK217" s="10"/>
      <c r="BL217" s="10"/>
      <c r="BM217" s="10"/>
      <c r="BN217" s="10"/>
      <c r="BO217" s="10"/>
      <c r="BP217" s="10"/>
      <c r="BQ217" s="10"/>
      <c r="BR217" s="10"/>
      <c r="BS217" s="10"/>
      <c r="BT217" s="10"/>
      <c r="BU217" s="10"/>
      <c r="BV217" s="10"/>
      <c r="BW217" s="10"/>
      <c r="BX217" s="10"/>
      <c r="BY217" s="10"/>
      <c r="BZ217" s="10"/>
      <c r="CA217" s="10"/>
      <c r="CB217" s="10"/>
      <c r="CC217" s="10"/>
      <c r="CD217" s="10"/>
      <c r="CE217" s="10"/>
      <c r="CF217" s="10"/>
      <c r="CG217" s="10"/>
      <c r="CH217" s="10"/>
      <c r="CI217" s="10"/>
      <c r="CJ217" s="10"/>
      <c r="CK217" s="10"/>
      <c r="CL217" s="10"/>
      <c r="CM217" s="10"/>
      <c r="CN217" s="10"/>
      <c r="CO217" s="10"/>
      <c r="CP217" s="10"/>
      <c r="CQ217" s="10"/>
      <c r="CR217" s="10"/>
      <c r="CS217" s="10"/>
      <c r="CT217" s="10"/>
      <c r="CU217" s="10"/>
      <c r="CV217" s="10"/>
      <c r="CW217" s="10"/>
      <c r="CX217" s="10"/>
      <c r="CY217" s="10"/>
      <c r="CZ217" s="10"/>
      <c r="DA217" s="10"/>
      <c r="DB217" s="10"/>
      <c r="DC217" s="10"/>
      <c r="DD217" s="10"/>
      <c r="DE217" s="10"/>
      <c r="DF217" s="10"/>
      <c r="DG217" s="10"/>
      <c r="DH217" s="10"/>
      <c r="DI217" s="10"/>
      <c r="DJ217" s="10"/>
      <c r="DK217" s="10"/>
      <c r="DL217" s="10"/>
      <c r="DM217" s="10"/>
      <c r="DN217" s="10"/>
      <c r="DO217" s="10"/>
      <c r="DP217" s="10"/>
      <c r="DQ217" s="10"/>
      <c r="DR217" s="10"/>
    </row>
    <row r="218" spans="1:122" x14ac:dyDescent="0.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10"/>
      <c r="BJ218" s="10"/>
      <c r="BK218" s="10"/>
      <c r="BL218" s="10"/>
      <c r="BM218" s="10"/>
      <c r="BN218" s="10"/>
      <c r="BO218" s="10"/>
      <c r="BP218" s="10"/>
      <c r="BQ218" s="10"/>
      <c r="BR218" s="10"/>
      <c r="BS218" s="10"/>
      <c r="BT218" s="10"/>
      <c r="BU218" s="10"/>
      <c r="BV218" s="10"/>
      <c r="BW218" s="10"/>
      <c r="BX218" s="10"/>
      <c r="BY218" s="10"/>
      <c r="BZ218" s="10"/>
      <c r="CA218" s="10"/>
      <c r="CB218" s="10"/>
      <c r="CC218" s="10"/>
      <c r="CD218" s="10"/>
      <c r="CE218" s="10"/>
      <c r="CF218" s="10"/>
      <c r="CG218" s="10"/>
      <c r="CH218" s="10"/>
      <c r="CI218" s="10"/>
      <c r="CJ218" s="10"/>
      <c r="CK218" s="10"/>
      <c r="CL218" s="10"/>
      <c r="CM218" s="10"/>
      <c r="CN218" s="10"/>
      <c r="CO218" s="10"/>
      <c r="CP218" s="10"/>
      <c r="CQ218" s="10"/>
      <c r="CR218" s="10"/>
      <c r="CS218" s="10"/>
      <c r="CT218" s="10"/>
      <c r="CU218" s="10"/>
      <c r="CV218" s="10"/>
      <c r="CW218" s="10"/>
      <c r="CX218" s="10"/>
      <c r="CY218" s="10"/>
      <c r="CZ218" s="10"/>
      <c r="DA218" s="10"/>
      <c r="DB218" s="10"/>
      <c r="DC218" s="10"/>
      <c r="DD218" s="10"/>
      <c r="DE218" s="10"/>
      <c r="DF218" s="10"/>
      <c r="DG218" s="10"/>
      <c r="DH218" s="10"/>
      <c r="DI218" s="10"/>
      <c r="DJ218" s="10"/>
      <c r="DK218" s="10"/>
      <c r="DL218" s="10"/>
      <c r="DM218" s="10"/>
      <c r="DN218" s="10"/>
      <c r="DO218" s="10"/>
      <c r="DP218" s="10"/>
      <c r="DQ218" s="10"/>
      <c r="DR218" s="10"/>
    </row>
    <row r="219" spans="1:122" x14ac:dyDescent="0.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10"/>
      <c r="BJ219" s="10"/>
      <c r="BK219" s="10"/>
      <c r="BL219" s="10"/>
      <c r="BM219" s="10"/>
      <c r="BN219" s="10"/>
      <c r="BO219" s="10"/>
      <c r="BP219" s="10"/>
      <c r="BQ219" s="10"/>
      <c r="BR219" s="10"/>
      <c r="BS219" s="10"/>
      <c r="BT219" s="10"/>
      <c r="BU219" s="10"/>
      <c r="BV219" s="10"/>
      <c r="BW219" s="10"/>
      <c r="BX219" s="10"/>
      <c r="BY219" s="10"/>
      <c r="BZ219" s="10"/>
      <c r="CA219" s="10"/>
      <c r="CB219" s="10"/>
      <c r="CC219" s="10"/>
      <c r="CD219" s="10"/>
      <c r="CE219" s="10"/>
      <c r="CF219" s="10"/>
      <c r="CG219" s="10"/>
      <c r="CH219" s="10"/>
      <c r="CI219" s="10"/>
      <c r="CJ219" s="10"/>
      <c r="CK219" s="10"/>
      <c r="CL219" s="10"/>
      <c r="CM219" s="10"/>
      <c r="CN219" s="10"/>
      <c r="CO219" s="10"/>
      <c r="CP219" s="10"/>
      <c r="CQ219" s="10"/>
      <c r="CR219" s="10"/>
      <c r="CS219" s="10"/>
      <c r="CT219" s="10"/>
      <c r="CU219" s="10"/>
      <c r="CV219" s="10"/>
      <c r="CW219" s="10"/>
      <c r="CX219" s="10"/>
      <c r="CY219" s="10"/>
      <c r="CZ219" s="10"/>
      <c r="DA219" s="10"/>
      <c r="DB219" s="10"/>
      <c r="DC219" s="10"/>
      <c r="DD219" s="10"/>
      <c r="DE219" s="10"/>
      <c r="DF219" s="10"/>
      <c r="DG219" s="10"/>
      <c r="DH219" s="10"/>
      <c r="DI219" s="10"/>
      <c r="DJ219" s="10"/>
      <c r="DK219" s="10"/>
      <c r="DL219" s="10"/>
      <c r="DM219" s="10"/>
      <c r="DN219" s="10"/>
      <c r="DO219" s="10"/>
      <c r="DP219" s="10"/>
      <c r="DQ219" s="10"/>
      <c r="DR219" s="10"/>
    </row>
    <row r="220" spans="1:122" x14ac:dyDescent="0.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10"/>
      <c r="BJ220" s="10"/>
      <c r="BK220" s="10"/>
      <c r="BL220" s="10"/>
      <c r="BM220" s="10"/>
      <c r="BN220" s="10"/>
      <c r="BO220" s="10"/>
      <c r="BP220" s="10"/>
      <c r="BQ220" s="10"/>
      <c r="BR220" s="10"/>
      <c r="BS220" s="10"/>
      <c r="BT220" s="10"/>
      <c r="BU220" s="10"/>
      <c r="BV220" s="10"/>
      <c r="BW220" s="10"/>
      <c r="BX220" s="10"/>
      <c r="BY220" s="10"/>
      <c r="BZ220" s="10"/>
      <c r="CA220" s="10"/>
      <c r="CB220" s="10"/>
      <c r="CC220" s="10"/>
      <c r="CD220" s="10"/>
      <c r="CE220" s="10"/>
      <c r="CF220" s="10"/>
      <c r="CG220" s="10"/>
      <c r="CH220" s="10"/>
      <c r="CI220" s="10"/>
      <c r="CJ220" s="10"/>
      <c r="CK220" s="10"/>
      <c r="CL220" s="10"/>
      <c r="CM220" s="10"/>
      <c r="CN220" s="10"/>
      <c r="CO220" s="10"/>
      <c r="CP220" s="10"/>
      <c r="CQ220" s="10"/>
      <c r="CR220" s="10"/>
      <c r="CS220" s="10"/>
      <c r="CT220" s="10"/>
      <c r="CU220" s="10"/>
      <c r="CV220" s="10"/>
      <c r="CW220" s="10"/>
      <c r="CX220" s="10"/>
      <c r="CY220" s="10"/>
      <c r="CZ220" s="10"/>
      <c r="DA220" s="10"/>
      <c r="DB220" s="10"/>
      <c r="DC220" s="10"/>
      <c r="DD220" s="10"/>
      <c r="DE220" s="10"/>
      <c r="DF220" s="10"/>
      <c r="DG220" s="10"/>
      <c r="DH220" s="10"/>
      <c r="DI220" s="10"/>
      <c r="DJ220" s="10"/>
      <c r="DK220" s="10"/>
      <c r="DL220" s="10"/>
      <c r="DM220" s="10"/>
      <c r="DN220" s="10"/>
      <c r="DO220" s="10"/>
      <c r="DP220" s="10"/>
      <c r="DQ220" s="10"/>
      <c r="DR220" s="10"/>
    </row>
    <row r="221" spans="1:122" x14ac:dyDescent="0.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0"/>
      <c r="BC221" s="10"/>
      <c r="BD221" s="10"/>
      <c r="BE221" s="10"/>
      <c r="BF221" s="10"/>
      <c r="BG221" s="10"/>
      <c r="BH221" s="10"/>
      <c r="BI221" s="10"/>
      <c r="BJ221" s="10"/>
      <c r="BK221" s="10"/>
      <c r="BL221" s="10"/>
      <c r="BM221" s="10"/>
      <c r="BN221" s="10"/>
      <c r="BO221" s="10"/>
      <c r="BP221" s="10"/>
      <c r="BQ221" s="10"/>
      <c r="BR221" s="10"/>
      <c r="BS221" s="10"/>
      <c r="BT221" s="10"/>
      <c r="BU221" s="10"/>
      <c r="BV221" s="10"/>
      <c r="BW221" s="10"/>
      <c r="BX221" s="10"/>
      <c r="BY221" s="10"/>
      <c r="BZ221" s="10"/>
      <c r="CA221" s="10"/>
      <c r="CB221" s="10"/>
      <c r="CC221" s="10"/>
      <c r="CD221" s="10"/>
      <c r="CE221" s="10"/>
      <c r="CF221" s="10"/>
      <c r="CG221" s="10"/>
      <c r="CH221" s="10"/>
      <c r="CI221" s="10"/>
      <c r="CJ221" s="10"/>
      <c r="CK221" s="10"/>
      <c r="CL221" s="10"/>
      <c r="CM221" s="10"/>
      <c r="CN221" s="10"/>
      <c r="CO221" s="10"/>
      <c r="CP221" s="10"/>
      <c r="CQ221" s="10"/>
      <c r="CR221" s="10"/>
      <c r="CS221" s="10"/>
      <c r="CT221" s="10"/>
      <c r="CU221" s="10"/>
      <c r="CV221" s="10"/>
      <c r="CW221" s="10"/>
      <c r="CX221" s="10"/>
      <c r="CY221" s="10"/>
      <c r="CZ221" s="10"/>
      <c r="DA221" s="10"/>
      <c r="DB221" s="10"/>
      <c r="DC221" s="10"/>
      <c r="DD221" s="10"/>
      <c r="DE221" s="10"/>
      <c r="DF221" s="10"/>
      <c r="DG221" s="10"/>
      <c r="DH221" s="10"/>
      <c r="DI221" s="10"/>
      <c r="DJ221" s="10"/>
      <c r="DK221" s="10"/>
      <c r="DL221" s="10"/>
      <c r="DM221" s="10"/>
      <c r="DN221" s="10"/>
      <c r="DO221" s="10"/>
      <c r="DP221" s="10"/>
      <c r="DQ221" s="10"/>
      <c r="DR221" s="10"/>
    </row>
    <row r="222" spans="1:122" x14ac:dyDescent="0.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0"/>
      <c r="BC222" s="10"/>
      <c r="BD222" s="10"/>
      <c r="BE222" s="10"/>
      <c r="BF222" s="10"/>
      <c r="BG222" s="10"/>
      <c r="BH222" s="10"/>
      <c r="BI222" s="10"/>
      <c r="BJ222" s="10"/>
      <c r="BK222" s="10"/>
      <c r="BL222" s="10"/>
      <c r="BM222" s="10"/>
      <c r="BN222" s="10"/>
      <c r="BO222" s="10"/>
      <c r="BP222" s="10"/>
      <c r="BQ222" s="10"/>
      <c r="BR222" s="10"/>
      <c r="BS222" s="10"/>
      <c r="BT222" s="10"/>
      <c r="BU222" s="10"/>
      <c r="BV222" s="10"/>
      <c r="BW222" s="10"/>
      <c r="BX222" s="10"/>
      <c r="BY222" s="10"/>
      <c r="BZ222" s="10"/>
      <c r="CA222" s="10"/>
      <c r="CB222" s="10"/>
      <c r="CC222" s="10"/>
      <c r="CD222" s="10"/>
      <c r="CE222" s="10"/>
      <c r="CF222" s="10"/>
      <c r="CG222" s="10"/>
      <c r="CH222" s="10"/>
      <c r="CI222" s="10"/>
      <c r="CJ222" s="10"/>
      <c r="CK222" s="10"/>
      <c r="CL222" s="10"/>
      <c r="CM222" s="10"/>
      <c r="CN222" s="10"/>
      <c r="CO222" s="10"/>
      <c r="CP222" s="10"/>
      <c r="CQ222" s="10"/>
      <c r="CR222" s="10"/>
      <c r="CS222" s="10"/>
      <c r="CT222" s="10"/>
      <c r="CU222" s="10"/>
      <c r="CV222" s="10"/>
      <c r="CW222" s="10"/>
      <c r="CX222" s="10"/>
      <c r="CY222" s="10"/>
      <c r="CZ222" s="10"/>
      <c r="DA222" s="10"/>
      <c r="DB222" s="10"/>
      <c r="DC222" s="10"/>
      <c r="DD222" s="10"/>
      <c r="DE222" s="10"/>
      <c r="DF222" s="10"/>
      <c r="DG222" s="10"/>
      <c r="DH222" s="10"/>
      <c r="DI222" s="10"/>
      <c r="DJ222" s="10"/>
      <c r="DK222" s="10"/>
      <c r="DL222" s="10"/>
      <c r="DM222" s="10"/>
      <c r="DN222" s="10"/>
      <c r="DO222" s="10"/>
      <c r="DP222" s="10"/>
      <c r="DQ222" s="10"/>
      <c r="DR222" s="10"/>
    </row>
    <row r="223" spans="1:122" x14ac:dyDescent="0.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10"/>
      <c r="BJ223" s="10"/>
      <c r="BK223" s="10"/>
      <c r="BL223" s="10"/>
      <c r="BM223" s="10"/>
      <c r="BN223" s="10"/>
      <c r="BO223" s="10"/>
      <c r="BP223" s="10"/>
      <c r="BQ223" s="10"/>
      <c r="BR223" s="10"/>
      <c r="BS223" s="10"/>
      <c r="BT223" s="10"/>
      <c r="BU223" s="10"/>
      <c r="BV223" s="10"/>
      <c r="BW223" s="10"/>
      <c r="BX223" s="10"/>
      <c r="BY223" s="10"/>
      <c r="BZ223" s="10"/>
      <c r="CA223" s="10"/>
      <c r="CB223" s="10"/>
      <c r="CC223" s="10"/>
      <c r="CD223" s="10"/>
      <c r="CE223" s="10"/>
      <c r="CF223" s="10"/>
      <c r="CG223" s="10"/>
      <c r="CH223" s="10"/>
      <c r="CI223" s="10"/>
      <c r="CJ223" s="10"/>
      <c r="CK223" s="10"/>
      <c r="CL223" s="10"/>
      <c r="CM223" s="10"/>
      <c r="CN223" s="10"/>
      <c r="CO223" s="10"/>
      <c r="CP223" s="10"/>
      <c r="CQ223" s="10"/>
      <c r="CR223" s="10"/>
      <c r="CS223" s="10"/>
      <c r="CT223" s="10"/>
      <c r="CU223" s="10"/>
      <c r="CV223" s="10"/>
      <c r="CW223" s="10"/>
      <c r="CX223" s="10"/>
      <c r="CY223" s="10"/>
      <c r="CZ223" s="10"/>
      <c r="DA223" s="10"/>
      <c r="DB223" s="10"/>
      <c r="DC223" s="10"/>
      <c r="DD223" s="10"/>
      <c r="DE223" s="10"/>
      <c r="DF223" s="10"/>
      <c r="DG223" s="10"/>
      <c r="DH223" s="10"/>
      <c r="DI223" s="10"/>
      <c r="DJ223" s="10"/>
      <c r="DK223" s="10"/>
      <c r="DL223" s="10"/>
      <c r="DM223" s="10"/>
      <c r="DN223" s="10"/>
      <c r="DO223" s="10"/>
      <c r="DP223" s="10"/>
      <c r="DQ223" s="10"/>
      <c r="DR223" s="10"/>
    </row>
    <row r="224" spans="1:122" x14ac:dyDescent="0.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0"/>
      <c r="BC224" s="10"/>
      <c r="BD224" s="10"/>
      <c r="BE224" s="10"/>
      <c r="BF224" s="10"/>
      <c r="BG224" s="10"/>
      <c r="BH224" s="10"/>
      <c r="BI224" s="10"/>
      <c r="BJ224" s="10"/>
      <c r="BK224" s="10"/>
      <c r="BL224" s="10"/>
      <c r="BM224" s="10"/>
      <c r="BN224" s="10"/>
      <c r="BO224" s="10"/>
      <c r="BP224" s="10"/>
      <c r="BQ224" s="10"/>
      <c r="BR224" s="10"/>
      <c r="BS224" s="10"/>
      <c r="BT224" s="10"/>
      <c r="BU224" s="10"/>
      <c r="BV224" s="10"/>
      <c r="BW224" s="10"/>
      <c r="BX224" s="10"/>
      <c r="BY224" s="10"/>
      <c r="BZ224" s="10"/>
      <c r="CA224" s="10"/>
      <c r="CB224" s="10"/>
      <c r="CC224" s="10"/>
      <c r="CD224" s="10"/>
      <c r="CE224" s="10"/>
      <c r="CF224" s="10"/>
      <c r="CG224" s="10"/>
      <c r="CH224" s="10"/>
      <c r="CI224" s="10"/>
      <c r="CJ224" s="10"/>
      <c r="CK224" s="10"/>
      <c r="CL224" s="10"/>
      <c r="CM224" s="10"/>
      <c r="CN224" s="10"/>
      <c r="CO224" s="10"/>
      <c r="CP224" s="10"/>
      <c r="CQ224" s="10"/>
      <c r="CR224" s="10"/>
      <c r="CS224" s="10"/>
      <c r="CT224" s="10"/>
      <c r="CU224" s="10"/>
      <c r="CV224" s="10"/>
      <c r="CW224" s="10"/>
      <c r="CX224" s="10"/>
      <c r="CY224" s="10"/>
      <c r="CZ224" s="10"/>
      <c r="DA224" s="10"/>
      <c r="DB224" s="10"/>
      <c r="DC224" s="10"/>
      <c r="DD224" s="10"/>
      <c r="DE224" s="10"/>
      <c r="DF224" s="10"/>
      <c r="DG224" s="10"/>
      <c r="DH224" s="10"/>
      <c r="DI224" s="10"/>
      <c r="DJ224" s="10"/>
      <c r="DK224" s="10"/>
      <c r="DL224" s="10"/>
      <c r="DM224" s="10"/>
      <c r="DN224" s="10"/>
      <c r="DO224" s="10"/>
      <c r="DP224" s="10"/>
      <c r="DQ224" s="10"/>
      <c r="DR224" s="10"/>
    </row>
    <row r="225" spans="1:122" x14ac:dyDescent="0.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0"/>
      <c r="BC225" s="10"/>
      <c r="BD225" s="10"/>
      <c r="BE225" s="10"/>
      <c r="BF225" s="10"/>
      <c r="BG225" s="10"/>
      <c r="BH225" s="10"/>
      <c r="BI225" s="10"/>
      <c r="BJ225" s="10"/>
      <c r="BK225" s="10"/>
      <c r="BL225" s="10"/>
      <c r="BM225" s="10"/>
      <c r="BN225" s="10"/>
      <c r="BO225" s="10"/>
      <c r="BP225" s="10"/>
      <c r="BQ225" s="10"/>
      <c r="BR225" s="10"/>
      <c r="BS225" s="10"/>
      <c r="BT225" s="10"/>
      <c r="BU225" s="10"/>
      <c r="BV225" s="10"/>
      <c r="BW225" s="10"/>
      <c r="BX225" s="10"/>
      <c r="BY225" s="10"/>
      <c r="BZ225" s="10"/>
      <c r="CA225" s="10"/>
      <c r="CB225" s="10"/>
      <c r="CC225" s="10"/>
      <c r="CD225" s="10"/>
      <c r="CE225" s="10"/>
      <c r="CF225" s="10"/>
      <c r="CG225" s="10"/>
      <c r="CH225" s="10"/>
      <c r="CI225" s="10"/>
      <c r="CJ225" s="10"/>
      <c r="CK225" s="10"/>
      <c r="CL225" s="10"/>
      <c r="CM225" s="10"/>
      <c r="CN225" s="10"/>
      <c r="CO225" s="10"/>
      <c r="CP225" s="10"/>
      <c r="CQ225" s="10"/>
      <c r="CR225" s="10"/>
      <c r="CS225" s="10"/>
      <c r="CT225" s="10"/>
      <c r="CU225" s="10"/>
      <c r="CV225" s="10"/>
      <c r="CW225" s="10"/>
      <c r="CX225" s="10"/>
      <c r="CY225" s="10"/>
      <c r="CZ225" s="10"/>
      <c r="DA225" s="10"/>
      <c r="DB225" s="10"/>
      <c r="DC225" s="10"/>
      <c r="DD225" s="10"/>
      <c r="DE225" s="10"/>
      <c r="DF225" s="10"/>
      <c r="DG225" s="10"/>
      <c r="DH225" s="10"/>
      <c r="DI225" s="10"/>
      <c r="DJ225" s="10"/>
      <c r="DK225" s="10"/>
      <c r="DL225" s="10"/>
      <c r="DM225" s="10"/>
      <c r="DN225" s="10"/>
      <c r="DO225" s="10"/>
      <c r="DP225" s="10"/>
      <c r="DQ225" s="10"/>
      <c r="DR225" s="10"/>
    </row>
    <row r="226" spans="1:122" x14ac:dyDescent="0.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0"/>
      <c r="BC226" s="10"/>
      <c r="BD226" s="10"/>
      <c r="BE226" s="10"/>
      <c r="BF226" s="10"/>
      <c r="BG226" s="10"/>
      <c r="BH226" s="10"/>
      <c r="BI226" s="10"/>
      <c r="BJ226" s="10"/>
      <c r="BK226" s="10"/>
      <c r="BL226" s="10"/>
      <c r="BM226" s="10"/>
      <c r="BN226" s="10"/>
      <c r="BO226" s="10"/>
      <c r="BP226" s="10"/>
      <c r="BQ226" s="10"/>
      <c r="BR226" s="10"/>
      <c r="BS226" s="10"/>
      <c r="BT226" s="10"/>
      <c r="BU226" s="10"/>
      <c r="BV226" s="10"/>
      <c r="BW226" s="10"/>
      <c r="BX226" s="10"/>
      <c r="BY226" s="10"/>
      <c r="BZ226" s="10"/>
      <c r="CA226" s="10"/>
      <c r="CB226" s="10"/>
      <c r="CC226" s="10"/>
      <c r="CD226" s="10"/>
      <c r="CE226" s="10"/>
      <c r="CF226" s="10"/>
      <c r="CG226" s="10"/>
      <c r="CH226" s="10"/>
      <c r="CI226" s="10"/>
      <c r="CJ226" s="10"/>
      <c r="CK226" s="10"/>
      <c r="CL226" s="10"/>
      <c r="CM226" s="10"/>
      <c r="CN226" s="10"/>
      <c r="CO226" s="10"/>
      <c r="CP226" s="10"/>
      <c r="CQ226" s="10"/>
      <c r="CR226" s="10"/>
      <c r="CS226" s="10"/>
      <c r="CT226" s="10"/>
      <c r="CU226" s="10"/>
      <c r="CV226" s="10"/>
      <c r="CW226" s="10"/>
      <c r="CX226" s="10"/>
      <c r="CY226" s="10"/>
      <c r="CZ226" s="10"/>
      <c r="DA226" s="10"/>
      <c r="DB226" s="10"/>
      <c r="DC226" s="10"/>
      <c r="DD226" s="10"/>
      <c r="DE226" s="10"/>
      <c r="DF226" s="10"/>
      <c r="DG226" s="10"/>
      <c r="DH226" s="10"/>
      <c r="DI226" s="10"/>
      <c r="DJ226" s="10"/>
      <c r="DK226" s="10"/>
      <c r="DL226" s="10"/>
      <c r="DM226" s="10"/>
      <c r="DN226" s="10"/>
      <c r="DO226" s="10"/>
      <c r="DP226" s="10"/>
      <c r="DQ226" s="10"/>
      <c r="DR226" s="10"/>
    </row>
    <row r="227" spans="1:122" x14ac:dyDescent="0.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0"/>
      <c r="BC227" s="10"/>
      <c r="BD227" s="10"/>
      <c r="BE227" s="10"/>
      <c r="BF227" s="10"/>
      <c r="BG227" s="10"/>
      <c r="BH227" s="10"/>
      <c r="BI227" s="10"/>
      <c r="BJ227" s="10"/>
      <c r="BK227" s="10"/>
      <c r="BL227" s="10"/>
      <c r="BM227" s="10"/>
      <c r="BN227" s="10"/>
      <c r="BO227" s="10"/>
      <c r="BP227" s="10"/>
      <c r="BQ227" s="10"/>
      <c r="BR227" s="10"/>
      <c r="BS227" s="10"/>
      <c r="BT227" s="10"/>
      <c r="BU227" s="10"/>
      <c r="BV227" s="10"/>
      <c r="BW227" s="10"/>
      <c r="BX227" s="10"/>
      <c r="BY227" s="10"/>
      <c r="BZ227" s="10"/>
      <c r="CA227" s="10"/>
      <c r="CB227" s="10"/>
      <c r="CC227" s="10"/>
      <c r="CD227" s="10"/>
      <c r="CE227" s="10"/>
      <c r="CF227" s="10"/>
      <c r="CG227" s="10"/>
      <c r="CH227" s="10"/>
      <c r="CI227" s="10"/>
      <c r="CJ227" s="10"/>
      <c r="CK227" s="10"/>
      <c r="CL227" s="10"/>
      <c r="CM227" s="10"/>
      <c r="CN227" s="10"/>
      <c r="CO227" s="10"/>
      <c r="CP227" s="10"/>
      <c r="CQ227" s="10"/>
      <c r="CR227" s="10"/>
      <c r="CS227" s="10"/>
      <c r="CT227" s="10"/>
      <c r="CU227" s="10"/>
      <c r="CV227" s="10"/>
      <c r="CW227" s="10"/>
      <c r="CX227" s="10"/>
      <c r="CY227" s="10"/>
      <c r="CZ227" s="10"/>
      <c r="DA227" s="10"/>
      <c r="DB227" s="10"/>
      <c r="DC227" s="10"/>
      <c r="DD227" s="10"/>
      <c r="DE227" s="10"/>
      <c r="DF227" s="10"/>
      <c r="DG227" s="10"/>
      <c r="DH227" s="10"/>
      <c r="DI227" s="10"/>
      <c r="DJ227" s="10"/>
      <c r="DK227" s="10"/>
      <c r="DL227" s="10"/>
      <c r="DM227" s="10"/>
      <c r="DN227" s="10"/>
      <c r="DO227" s="10"/>
      <c r="DP227" s="10"/>
      <c r="DQ227" s="10"/>
      <c r="DR227" s="10"/>
    </row>
    <row r="228" spans="1:122" x14ac:dyDescent="0.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0"/>
      <c r="BC228" s="10"/>
      <c r="BD228" s="10"/>
      <c r="BE228" s="10"/>
      <c r="BF228" s="10"/>
      <c r="BG228" s="10"/>
      <c r="BH228" s="10"/>
      <c r="BI228" s="10"/>
      <c r="BJ228" s="10"/>
      <c r="BK228" s="10"/>
      <c r="BL228" s="10"/>
      <c r="BM228" s="10"/>
      <c r="BN228" s="10"/>
      <c r="BO228" s="10"/>
      <c r="BP228" s="10"/>
      <c r="BQ228" s="10"/>
      <c r="BR228" s="10"/>
      <c r="BS228" s="10"/>
      <c r="BT228" s="10"/>
      <c r="BU228" s="10"/>
      <c r="BV228" s="10"/>
      <c r="BW228" s="10"/>
      <c r="BX228" s="10"/>
      <c r="BY228" s="10"/>
      <c r="BZ228" s="10"/>
      <c r="CA228" s="10"/>
      <c r="CB228" s="10"/>
      <c r="CC228" s="10"/>
      <c r="CD228" s="10"/>
      <c r="CE228" s="10"/>
      <c r="CF228" s="10"/>
      <c r="CG228" s="10"/>
      <c r="CH228" s="10"/>
      <c r="CI228" s="10"/>
      <c r="CJ228" s="10"/>
      <c r="CK228" s="10"/>
      <c r="CL228" s="10"/>
      <c r="CM228" s="10"/>
      <c r="CN228" s="10"/>
      <c r="CO228" s="10"/>
      <c r="CP228" s="10"/>
      <c r="CQ228" s="10"/>
      <c r="CR228" s="10"/>
      <c r="CS228" s="10"/>
      <c r="CT228" s="10"/>
      <c r="CU228" s="10"/>
      <c r="CV228" s="10"/>
      <c r="CW228" s="10"/>
      <c r="CX228" s="10"/>
      <c r="CY228" s="10"/>
      <c r="CZ228" s="10"/>
      <c r="DA228" s="10"/>
      <c r="DB228" s="10"/>
      <c r="DC228" s="10"/>
      <c r="DD228" s="10"/>
      <c r="DE228" s="10"/>
      <c r="DF228" s="10"/>
      <c r="DG228" s="10"/>
      <c r="DH228" s="10"/>
      <c r="DI228" s="10"/>
      <c r="DJ228" s="10"/>
      <c r="DK228" s="10"/>
      <c r="DL228" s="10"/>
      <c r="DM228" s="10"/>
      <c r="DN228" s="10"/>
      <c r="DO228" s="10"/>
      <c r="DP228" s="10"/>
      <c r="DQ228" s="10"/>
      <c r="DR228" s="10"/>
    </row>
    <row r="229" spans="1:122" x14ac:dyDescent="0.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0"/>
      <c r="BC229" s="10"/>
      <c r="BD229" s="10"/>
      <c r="BE229" s="10"/>
      <c r="BF229" s="10"/>
      <c r="BG229" s="10"/>
      <c r="BH229" s="10"/>
      <c r="BI229" s="10"/>
      <c r="BJ229" s="10"/>
      <c r="BK229" s="10"/>
      <c r="BL229" s="10"/>
      <c r="BM229" s="10"/>
      <c r="BN229" s="10"/>
      <c r="BO229" s="10"/>
      <c r="BP229" s="10"/>
      <c r="BQ229" s="10"/>
      <c r="BR229" s="10"/>
      <c r="BS229" s="10"/>
      <c r="BT229" s="10"/>
      <c r="BU229" s="10"/>
      <c r="BV229" s="10"/>
      <c r="BW229" s="10"/>
      <c r="BX229" s="10"/>
      <c r="BY229" s="10"/>
      <c r="BZ229" s="10"/>
      <c r="CA229" s="10"/>
      <c r="CB229" s="10"/>
      <c r="CC229" s="10"/>
      <c r="CD229" s="10"/>
      <c r="CE229" s="10"/>
      <c r="CF229" s="10"/>
      <c r="CG229" s="10"/>
      <c r="CH229" s="10"/>
      <c r="CI229" s="10"/>
      <c r="CJ229" s="10"/>
      <c r="CK229" s="10"/>
      <c r="CL229" s="10"/>
      <c r="CM229" s="10"/>
      <c r="CN229" s="10"/>
      <c r="CO229" s="10"/>
      <c r="CP229" s="10"/>
      <c r="CQ229" s="10"/>
      <c r="CR229" s="10"/>
      <c r="CS229" s="10"/>
      <c r="CT229" s="10"/>
      <c r="CU229" s="10"/>
      <c r="CV229" s="10"/>
      <c r="CW229" s="10"/>
      <c r="CX229" s="10"/>
      <c r="CY229" s="10"/>
      <c r="CZ229" s="10"/>
      <c r="DA229" s="10"/>
      <c r="DB229" s="10"/>
      <c r="DC229" s="10"/>
      <c r="DD229" s="10"/>
      <c r="DE229" s="10"/>
      <c r="DF229" s="10"/>
      <c r="DG229" s="10"/>
      <c r="DH229" s="10"/>
      <c r="DI229" s="10"/>
      <c r="DJ229" s="10"/>
      <c r="DK229" s="10"/>
      <c r="DL229" s="10"/>
      <c r="DM229" s="10"/>
      <c r="DN229" s="10"/>
      <c r="DO229" s="10"/>
      <c r="DP229" s="10"/>
      <c r="DQ229" s="10"/>
      <c r="DR229" s="10"/>
    </row>
    <row r="230" spans="1:122" x14ac:dyDescent="0.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10"/>
      <c r="BJ230" s="10"/>
      <c r="BK230" s="10"/>
      <c r="BL230" s="10"/>
      <c r="BM230" s="10"/>
      <c r="BN230" s="10"/>
      <c r="BO230" s="10"/>
      <c r="BP230" s="10"/>
      <c r="BQ230" s="10"/>
      <c r="BR230" s="10"/>
      <c r="BS230" s="10"/>
      <c r="BT230" s="10"/>
      <c r="BU230" s="10"/>
      <c r="BV230" s="10"/>
      <c r="BW230" s="10"/>
      <c r="BX230" s="10"/>
      <c r="BY230" s="10"/>
      <c r="BZ230" s="10"/>
      <c r="CA230" s="10"/>
      <c r="CB230" s="10"/>
      <c r="CC230" s="10"/>
      <c r="CD230" s="10"/>
      <c r="CE230" s="10"/>
      <c r="CF230" s="10"/>
      <c r="CG230" s="10"/>
      <c r="CH230" s="10"/>
      <c r="CI230" s="10"/>
      <c r="CJ230" s="10"/>
      <c r="CK230" s="10"/>
      <c r="CL230" s="10"/>
      <c r="CM230" s="10"/>
      <c r="CN230" s="10"/>
      <c r="CO230" s="10"/>
      <c r="CP230" s="10"/>
      <c r="CQ230" s="10"/>
      <c r="CR230" s="10"/>
      <c r="CS230" s="10"/>
      <c r="CT230" s="10"/>
      <c r="CU230" s="10"/>
      <c r="CV230" s="10"/>
      <c r="CW230" s="10"/>
      <c r="CX230" s="10"/>
      <c r="CY230" s="10"/>
      <c r="CZ230" s="10"/>
      <c r="DA230" s="10"/>
      <c r="DB230" s="10"/>
      <c r="DC230" s="10"/>
      <c r="DD230" s="10"/>
      <c r="DE230" s="10"/>
      <c r="DF230" s="10"/>
      <c r="DG230" s="10"/>
      <c r="DH230" s="10"/>
      <c r="DI230" s="10"/>
      <c r="DJ230" s="10"/>
      <c r="DK230" s="10"/>
      <c r="DL230" s="10"/>
      <c r="DM230" s="10"/>
      <c r="DN230" s="10"/>
      <c r="DO230" s="10"/>
      <c r="DP230" s="10"/>
      <c r="DQ230" s="10"/>
      <c r="DR230" s="10"/>
    </row>
    <row r="231" spans="1:122" x14ac:dyDescent="0.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0"/>
      <c r="BC231" s="10"/>
      <c r="BD231" s="10"/>
      <c r="BE231" s="10"/>
      <c r="BF231" s="10"/>
      <c r="BG231" s="10"/>
      <c r="BH231" s="10"/>
      <c r="BI231" s="10"/>
      <c r="BJ231" s="10"/>
      <c r="BK231" s="10"/>
      <c r="BL231" s="10"/>
      <c r="BM231" s="10"/>
      <c r="BN231" s="10"/>
      <c r="BO231" s="10"/>
      <c r="BP231" s="10"/>
      <c r="BQ231" s="10"/>
      <c r="BR231" s="10"/>
      <c r="BS231" s="10"/>
      <c r="BT231" s="10"/>
      <c r="BU231" s="10"/>
      <c r="BV231" s="10"/>
      <c r="BW231" s="10"/>
      <c r="BX231" s="10"/>
      <c r="BY231" s="10"/>
      <c r="BZ231" s="10"/>
      <c r="CA231" s="10"/>
      <c r="CB231" s="10"/>
      <c r="CC231" s="10"/>
      <c r="CD231" s="10"/>
      <c r="CE231" s="10"/>
      <c r="CF231" s="10"/>
      <c r="CG231" s="10"/>
      <c r="CH231" s="10"/>
      <c r="CI231" s="10"/>
      <c r="CJ231" s="10"/>
      <c r="CK231" s="10"/>
      <c r="CL231" s="10"/>
      <c r="CM231" s="10"/>
      <c r="CN231" s="10"/>
      <c r="CO231" s="10"/>
      <c r="CP231" s="10"/>
      <c r="CQ231" s="10"/>
      <c r="CR231" s="10"/>
      <c r="CS231" s="10"/>
      <c r="CT231" s="10"/>
      <c r="CU231" s="10"/>
      <c r="CV231" s="10"/>
      <c r="CW231" s="10"/>
      <c r="CX231" s="10"/>
      <c r="CY231" s="10"/>
      <c r="CZ231" s="10"/>
      <c r="DA231" s="10"/>
      <c r="DB231" s="10"/>
      <c r="DC231" s="10"/>
      <c r="DD231" s="10"/>
      <c r="DE231" s="10"/>
      <c r="DF231" s="10"/>
      <c r="DG231" s="10"/>
      <c r="DH231" s="10"/>
      <c r="DI231" s="10"/>
      <c r="DJ231" s="10"/>
      <c r="DK231" s="10"/>
      <c r="DL231" s="10"/>
      <c r="DM231" s="10"/>
      <c r="DN231" s="10"/>
      <c r="DO231" s="10"/>
      <c r="DP231" s="10"/>
      <c r="DQ231" s="10"/>
      <c r="DR231" s="10"/>
    </row>
    <row r="232" spans="1:122" x14ac:dyDescent="0.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0"/>
      <c r="BC232" s="10"/>
      <c r="BD232" s="10"/>
      <c r="BE232" s="10"/>
      <c r="BF232" s="10"/>
      <c r="BG232" s="10"/>
      <c r="BH232" s="10"/>
      <c r="BI232" s="10"/>
      <c r="BJ232" s="10"/>
      <c r="BK232" s="10"/>
      <c r="BL232" s="10"/>
      <c r="BM232" s="10"/>
      <c r="BN232" s="10"/>
      <c r="BO232" s="10"/>
      <c r="BP232" s="10"/>
      <c r="BQ232" s="10"/>
      <c r="BR232" s="10"/>
      <c r="BS232" s="10"/>
      <c r="BT232" s="10"/>
      <c r="BU232" s="10"/>
      <c r="BV232" s="10"/>
      <c r="BW232" s="10"/>
      <c r="BX232" s="10"/>
      <c r="BY232" s="10"/>
      <c r="BZ232" s="10"/>
      <c r="CA232" s="10"/>
      <c r="CB232" s="10"/>
      <c r="CC232" s="10"/>
      <c r="CD232" s="10"/>
      <c r="CE232" s="10"/>
      <c r="CF232" s="10"/>
      <c r="CG232" s="10"/>
      <c r="CH232" s="10"/>
      <c r="CI232" s="10"/>
      <c r="CJ232" s="10"/>
      <c r="CK232" s="10"/>
      <c r="CL232" s="10"/>
      <c r="CM232" s="10"/>
      <c r="CN232" s="10"/>
      <c r="CO232" s="10"/>
      <c r="CP232" s="10"/>
      <c r="CQ232" s="10"/>
      <c r="CR232" s="10"/>
      <c r="CS232" s="10"/>
      <c r="CT232" s="10"/>
      <c r="CU232" s="10"/>
      <c r="CV232" s="10"/>
      <c r="CW232" s="10"/>
      <c r="CX232" s="10"/>
      <c r="CY232" s="10"/>
      <c r="CZ232" s="10"/>
      <c r="DA232" s="10"/>
      <c r="DB232" s="10"/>
      <c r="DC232" s="10"/>
      <c r="DD232" s="10"/>
      <c r="DE232" s="10"/>
      <c r="DF232" s="10"/>
      <c r="DG232" s="10"/>
      <c r="DH232" s="10"/>
      <c r="DI232" s="10"/>
      <c r="DJ232" s="10"/>
      <c r="DK232" s="10"/>
      <c r="DL232" s="10"/>
      <c r="DM232" s="10"/>
      <c r="DN232" s="10"/>
      <c r="DO232" s="10"/>
      <c r="DP232" s="10"/>
      <c r="DQ232" s="10"/>
      <c r="DR232" s="10"/>
    </row>
    <row r="233" spans="1:122" x14ac:dyDescent="0.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0"/>
      <c r="BC233" s="10"/>
      <c r="BD233" s="10"/>
      <c r="BE233" s="10"/>
      <c r="BF233" s="10"/>
      <c r="BG233" s="10"/>
      <c r="BH233" s="10"/>
      <c r="BI233" s="10"/>
      <c r="BJ233" s="10"/>
      <c r="BK233" s="10"/>
      <c r="BL233" s="10"/>
      <c r="BM233" s="10"/>
      <c r="BN233" s="10"/>
      <c r="BO233" s="10"/>
      <c r="BP233" s="10"/>
      <c r="BQ233" s="10"/>
      <c r="BR233" s="10"/>
      <c r="BS233" s="10"/>
      <c r="BT233" s="10"/>
      <c r="BU233" s="10"/>
      <c r="BV233" s="10"/>
      <c r="BW233" s="10"/>
      <c r="BX233" s="10"/>
      <c r="BY233" s="10"/>
      <c r="BZ233" s="10"/>
      <c r="CA233" s="10"/>
      <c r="CB233" s="10"/>
      <c r="CC233" s="10"/>
      <c r="CD233" s="10"/>
      <c r="CE233" s="10"/>
      <c r="CF233" s="10"/>
      <c r="CG233" s="10"/>
      <c r="CH233" s="10"/>
      <c r="CI233" s="10"/>
      <c r="CJ233" s="10"/>
      <c r="CK233" s="10"/>
      <c r="CL233" s="10"/>
      <c r="CM233" s="10"/>
      <c r="CN233" s="10"/>
      <c r="CO233" s="10"/>
      <c r="CP233" s="10"/>
      <c r="CQ233" s="10"/>
      <c r="CR233" s="10"/>
      <c r="CS233" s="10"/>
      <c r="CT233" s="10"/>
      <c r="CU233" s="10"/>
      <c r="CV233" s="10"/>
      <c r="CW233" s="10"/>
      <c r="CX233" s="10"/>
      <c r="CY233" s="10"/>
      <c r="CZ233" s="10"/>
      <c r="DA233" s="10"/>
      <c r="DB233" s="10"/>
      <c r="DC233" s="10"/>
      <c r="DD233" s="10"/>
      <c r="DE233" s="10"/>
      <c r="DF233" s="10"/>
      <c r="DG233" s="10"/>
      <c r="DH233" s="10"/>
      <c r="DI233" s="10"/>
      <c r="DJ233" s="10"/>
      <c r="DK233" s="10"/>
      <c r="DL233" s="10"/>
      <c r="DM233" s="10"/>
      <c r="DN233" s="10"/>
      <c r="DO233" s="10"/>
      <c r="DP233" s="10"/>
      <c r="DQ233" s="10"/>
      <c r="DR233" s="10"/>
    </row>
    <row r="234" spans="1:122" x14ac:dyDescent="0.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0"/>
      <c r="BC234" s="10"/>
      <c r="BD234" s="10"/>
      <c r="BE234" s="10"/>
      <c r="BF234" s="10"/>
      <c r="BG234" s="10"/>
      <c r="BH234" s="10"/>
      <c r="BI234" s="10"/>
      <c r="BJ234" s="10"/>
      <c r="BK234" s="10"/>
      <c r="BL234" s="10"/>
      <c r="BM234" s="10"/>
      <c r="BN234" s="10"/>
      <c r="BO234" s="10"/>
      <c r="BP234" s="10"/>
      <c r="BQ234" s="10"/>
      <c r="BR234" s="10"/>
      <c r="BS234" s="10"/>
      <c r="BT234" s="10"/>
      <c r="BU234" s="10"/>
      <c r="BV234" s="10"/>
      <c r="BW234" s="10"/>
      <c r="BX234" s="10"/>
      <c r="BY234" s="10"/>
      <c r="BZ234" s="10"/>
      <c r="CA234" s="10"/>
      <c r="CB234" s="10"/>
      <c r="CC234" s="10"/>
      <c r="CD234" s="10"/>
      <c r="CE234" s="10"/>
      <c r="CF234" s="10"/>
      <c r="CG234" s="10"/>
      <c r="CH234" s="10"/>
      <c r="CI234" s="10"/>
      <c r="CJ234" s="10"/>
      <c r="CK234" s="10"/>
      <c r="CL234" s="10"/>
      <c r="CM234" s="10"/>
      <c r="CN234" s="10"/>
      <c r="CO234" s="10"/>
      <c r="CP234" s="10"/>
      <c r="CQ234" s="10"/>
      <c r="CR234" s="10"/>
      <c r="CS234" s="10"/>
      <c r="CT234" s="10"/>
      <c r="CU234" s="10"/>
      <c r="CV234" s="10"/>
      <c r="CW234" s="10"/>
      <c r="CX234" s="10"/>
      <c r="CY234" s="10"/>
      <c r="CZ234" s="10"/>
      <c r="DA234" s="10"/>
      <c r="DB234" s="10"/>
      <c r="DC234" s="10"/>
      <c r="DD234" s="10"/>
      <c r="DE234" s="10"/>
      <c r="DF234" s="10"/>
      <c r="DG234" s="10"/>
      <c r="DH234" s="10"/>
      <c r="DI234" s="10"/>
      <c r="DJ234" s="10"/>
      <c r="DK234" s="10"/>
      <c r="DL234" s="10"/>
      <c r="DM234" s="10"/>
      <c r="DN234" s="10"/>
      <c r="DO234" s="10"/>
      <c r="DP234" s="10"/>
      <c r="DQ234" s="10"/>
      <c r="DR234" s="10"/>
    </row>
    <row r="235" spans="1:122" x14ac:dyDescent="0.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0"/>
      <c r="BC235" s="10"/>
      <c r="BD235" s="10"/>
      <c r="BE235" s="10"/>
      <c r="BF235" s="10"/>
      <c r="BG235" s="10"/>
      <c r="BH235" s="10"/>
      <c r="BI235" s="10"/>
      <c r="BJ235" s="10"/>
      <c r="BK235" s="10"/>
      <c r="BL235" s="10"/>
      <c r="BM235" s="10"/>
      <c r="BN235" s="10"/>
      <c r="BO235" s="10"/>
      <c r="BP235" s="10"/>
      <c r="BQ235" s="10"/>
      <c r="BR235" s="10"/>
      <c r="BS235" s="10"/>
      <c r="BT235" s="10"/>
      <c r="BU235" s="10"/>
      <c r="BV235" s="10"/>
      <c r="BW235" s="10"/>
      <c r="BX235" s="10"/>
      <c r="BY235" s="10"/>
      <c r="BZ235" s="10"/>
      <c r="CA235" s="10"/>
      <c r="CB235" s="10"/>
      <c r="CC235" s="10"/>
      <c r="CD235" s="10"/>
      <c r="CE235" s="10"/>
      <c r="CF235" s="10"/>
      <c r="CG235" s="10"/>
      <c r="CH235" s="10"/>
      <c r="CI235" s="10"/>
      <c r="CJ235" s="10"/>
      <c r="CK235" s="10"/>
      <c r="CL235" s="10"/>
      <c r="CM235" s="10"/>
      <c r="CN235" s="10"/>
      <c r="CO235" s="10"/>
      <c r="CP235" s="10"/>
      <c r="CQ235" s="10"/>
      <c r="CR235" s="10"/>
      <c r="CS235" s="10"/>
      <c r="CT235" s="10"/>
      <c r="CU235" s="10"/>
      <c r="CV235" s="10"/>
      <c r="CW235" s="10"/>
      <c r="CX235" s="10"/>
      <c r="CY235" s="10"/>
      <c r="CZ235" s="10"/>
      <c r="DA235" s="10"/>
      <c r="DB235" s="10"/>
      <c r="DC235" s="10"/>
      <c r="DD235" s="10"/>
      <c r="DE235" s="10"/>
      <c r="DF235" s="10"/>
      <c r="DG235" s="10"/>
      <c r="DH235" s="10"/>
      <c r="DI235" s="10"/>
      <c r="DJ235" s="10"/>
      <c r="DK235" s="10"/>
      <c r="DL235" s="10"/>
      <c r="DM235" s="10"/>
      <c r="DN235" s="10"/>
      <c r="DO235" s="10"/>
      <c r="DP235" s="10"/>
      <c r="DQ235" s="10"/>
      <c r="DR235" s="10"/>
    </row>
    <row r="236" spans="1:122" x14ac:dyDescent="0.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0"/>
      <c r="BC236" s="10"/>
      <c r="BD236" s="10"/>
      <c r="BE236" s="10"/>
      <c r="BF236" s="10"/>
      <c r="BG236" s="10"/>
      <c r="BH236" s="10"/>
      <c r="BI236" s="10"/>
      <c r="BJ236" s="10"/>
      <c r="BK236" s="10"/>
      <c r="BL236" s="10"/>
      <c r="BM236" s="10"/>
      <c r="BN236" s="10"/>
      <c r="BO236" s="10"/>
      <c r="BP236" s="10"/>
      <c r="BQ236" s="10"/>
      <c r="BR236" s="10"/>
      <c r="BS236" s="10"/>
      <c r="BT236" s="10"/>
      <c r="BU236" s="10"/>
      <c r="BV236" s="10"/>
      <c r="BW236" s="10"/>
      <c r="BX236" s="10"/>
      <c r="BY236" s="10"/>
      <c r="BZ236" s="10"/>
      <c r="CA236" s="10"/>
      <c r="CB236" s="10"/>
      <c r="CC236" s="10"/>
      <c r="CD236" s="10"/>
      <c r="CE236" s="10"/>
      <c r="CF236" s="10"/>
      <c r="CG236" s="10"/>
      <c r="CH236" s="10"/>
      <c r="CI236" s="10"/>
      <c r="CJ236" s="10"/>
      <c r="CK236" s="10"/>
      <c r="CL236" s="10"/>
      <c r="CM236" s="10"/>
      <c r="CN236" s="10"/>
      <c r="CO236" s="10"/>
      <c r="CP236" s="10"/>
      <c r="CQ236" s="10"/>
      <c r="CR236" s="10"/>
      <c r="CS236" s="10"/>
      <c r="CT236" s="10"/>
      <c r="CU236" s="10"/>
      <c r="CV236" s="10"/>
      <c r="CW236" s="10"/>
      <c r="CX236" s="10"/>
      <c r="CY236" s="10"/>
      <c r="CZ236" s="10"/>
      <c r="DA236" s="10"/>
      <c r="DB236" s="10"/>
      <c r="DC236" s="10"/>
      <c r="DD236" s="10"/>
      <c r="DE236" s="10"/>
      <c r="DF236" s="10"/>
      <c r="DG236" s="10"/>
      <c r="DH236" s="10"/>
      <c r="DI236" s="10"/>
      <c r="DJ236" s="10"/>
      <c r="DK236" s="10"/>
      <c r="DL236" s="10"/>
      <c r="DM236" s="10"/>
      <c r="DN236" s="10"/>
      <c r="DO236" s="10"/>
      <c r="DP236" s="10"/>
      <c r="DQ236" s="10"/>
      <c r="DR236" s="10"/>
    </row>
    <row r="237" spans="1:122" x14ac:dyDescent="0.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10"/>
      <c r="BJ237" s="10"/>
      <c r="BK237" s="10"/>
      <c r="BL237" s="10"/>
      <c r="BM237" s="10"/>
      <c r="BN237" s="10"/>
      <c r="BO237" s="10"/>
      <c r="BP237" s="10"/>
      <c r="BQ237" s="10"/>
      <c r="BR237" s="10"/>
      <c r="BS237" s="10"/>
      <c r="BT237" s="10"/>
      <c r="BU237" s="10"/>
      <c r="BV237" s="10"/>
      <c r="BW237" s="10"/>
      <c r="BX237" s="10"/>
      <c r="BY237" s="10"/>
      <c r="BZ237" s="10"/>
      <c r="CA237" s="10"/>
      <c r="CB237" s="10"/>
      <c r="CC237" s="10"/>
      <c r="CD237" s="10"/>
      <c r="CE237" s="10"/>
      <c r="CF237" s="10"/>
      <c r="CG237" s="10"/>
      <c r="CH237" s="10"/>
      <c r="CI237" s="10"/>
      <c r="CJ237" s="10"/>
      <c r="CK237" s="10"/>
      <c r="CL237" s="10"/>
      <c r="CM237" s="10"/>
      <c r="CN237" s="10"/>
      <c r="CO237" s="10"/>
      <c r="CP237" s="10"/>
      <c r="CQ237" s="10"/>
      <c r="CR237" s="10"/>
      <c r="CS237" s="10"/>
      <c r="CT237" s="10"/>
      <c r="CU237" s="10"/>
      <c r="CV237" s="10"/>
      <c r="CW237" s="10"/>
      <c r="CX237" s="10"/>
      <c r="CY237" s="10"/>
      <c r="CZ237" s="10"/>
      <c r="DA237" s="10"/>
      <c r="DB237" s="10"/>
      <c r="DC237" s="10"/>
      <c r="DD237" s="10"/>
      <c r="DE237" s="10"/>
      <c r="DF237" s="10"/>
      <c r="DG237" s="10"/>
      <c r="DH237" s="10"/>
      <c r="DI237" s="10"/>
      <c r="DJ237" s="10"/>
      <c r="DK237" s="10"/>
      <c r="DL237" s="10"/>
      <c r="DM237" s="10"/>
      <c r="DN237" s="10"/>
      <c r="DO237" s="10"/>
      <c r="DP237" s="10"/>
      <c r="DQ237" s="10"/>
      <c r="DR237" s="10"/>
    </row>
    <row r="238" spans="1:122" x14ac:dyDescent="0.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0"/>
      <c r="BC238" s="10"/>
      <c r="BD238" s="10"/>
      <c r="BE238" s="10"/>
      <c r="BF238" s="10"/>
      <c r="BG238" s="10"/>
      <c r="BH238" s="10"/>
      <c r="BI238" s="10"/>
      <c r="BJ238" s="10"/>
      <c r="BK238" s="10"/>
      <c r="BL238" s="10"/>
      <c r="BM238" s="10"/>
      <c r="BN238" s="10"/>
      <c r="BO238" s="10"/>
      <c r="BP238" s="10"/>
      <c r="BQ238" s="10"/>
      <c r="BR238" s="10"/>
      <c r="BS238" s="10"/>
      <c r="BT238" s="10"/>
      <c r="BU238" s="10"/>
      <c r="BV238" s="10"/>
      <c r="BW238" s="10"/>
      <c r="BX238" s="10"/>
      <c r="BY238" s="10"/>
      <c r="BZ238" s="10"/>
      <c r="CA238" s="10"/>
      <c r="CB238" s="10"/>
      <c r="CC238" s="10"/>
      <c r="CD238" s="10"/>
      <c r="CE238" s="10"/>
      <c r="CF238" s="10"/>
      <c r="CG238" s="10"/>
      <c r="CH238" s="10"/>
      <c r="CI238" s="10"/>
      <c r="CJ238" s="10"/>
      <c r="CK238" s="10"/>
      <c r="CL238" s="10"/>
      <c r="CM238" s="10"/>
      <c r="CN238" s="10"/>
      <c r="CO238" s="10"/>
      <c r="CP238" s="10"/>
      <c r="CQ238" s="10"/>
      <c r="CR238" s="10"/>
      <c r="CS238" s="10"/>
      <c r="CT238" s="10"/>
      <c r="CU238" s="10"/>
      <c r="CV238" s="10"/>
      <c r="CW238" s="10"/>
      <c r="CX238" s="10"/>
      <c r="CY238" s="10"/>
      <c r="CZ238" s="10"/>
      <c r="DA238" s="10"/>
      <c r="DB238" s="10"/>
      <c r="DC238" s="10"/>
      <c r="DD238" s="10"/>
      <c r="DE238" s="10"/>
      <c r="DF238" s="10"/>
      <c r="DG238" s="10"/>
      <c r="DH238" s="10"/>
      <c r="DI238" s="10"/>
      <c r="DJ238" s="10"/>
      <c r="DK238" s="10"/>
      <c r="DL238" s="10"/>
      <c r="DM238" s="10"/>
      <c r="DN238" s="10"/>
      <c r="DO238" s="10"/>
      <c r="DP238" s="10"/>
      <c r="DQ238" s="10"/>
      <c r="DR238" s="10"/>
    </row>
    <row r="239" spans="1:122" x14ac:dyDescent="0.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0"/>
      <c r="BC239" s="10"/>
      <c r="BD239" s="10"/>
      <c r="BE239" s="10"/>
      <c r="BF239" s="10"/>
      <c r="BG239" s="10"/>
      <c r="BH239" s="10"/>
      <c r="BI239" s="10"/>
      <c r="BJ239" s="10"/>
      <c r="BK239" s="10"/>
      <c r="BL239" s="10"/>
      <c r="BM239" s="10"/>
      <c r="BN239" s="10"/>
      <c r="BO239" s="10"/>
      <c r="BP239" s="10"/>
      <c r="BQ239" s="10"/>
      <c r="BR239" s="10"/>
      <c r="BS239" s="10"/>
      <c r="BT239" s="10"/>
      <c r="BU239" s="10"/>
      <c r="BV239" s="10"/>
      <c r="BW239" s="10"/>
      <c r="BX239" s="10"/>
      <c r="BY239" s="10"/>
      <c r="BZ239" s="10"/>
      <c r="CA239" s="10"/>
      <c r="CB239" s="10"/>
      <c r="CC239" s="10"/>
      <c r="CD239" s="10"/>
      <c r="CE239" s="10"/>
      <c r="CF239" s="10"/>
      <c r="CG239" s="10"/>
      <c r="CH239" s="10"/>
      <c r="CI239" s="10"/>
      <c r="CJ239" s="10"/>
      <c r="CK239" s="10"/>
      <c r="CL239" s="10"/>
      <c r="CM239" s="10"/>
      <c r="CN239" s="10"/>
      <c r="CO239" s="10"/>
      <c r="CP239" s="10"/>
      <c r="CQ239" s="10"/>
      <c r="CR239" s="10"/>
      <c r="CS239" s="10"/>
      <c r="CT239" s="10"/>
      <c r="CU239" s="10"/>
      <c r="CV239" s="10"/>
      <c r="CW239" s="10"/>
      <c r="CX239" s="10"/>
      <c r="CY239" s="10"/>
      <c r="CZ239" s="10"/>
      <c r="DA239" s="10"/>
      <c r="DB239" s="10"/>
      <c r="DC239" s="10"/>
      <c r="DD239" s="10"/>
      <c r="DE239" s="10"/>
      <c r="DF239" s="10"/>
      <c r="DG239" s="10"/>
      <c r="DH239" s="10"/>
      <c r="DI239" s="10"/>
      <c r="DJ239" s="10"/>
      <c r="DK239" s="10"/>
      <c r="DL239" s="10"/>
      <c r="DM239" s="10"/>
      <c r="DN239" s="10"/>
      <c r="DO239" s="10"/>
      <c r="DP239" s="10"/>
      <c r="DQ239" s="10"/>
      <c r="DR239" s="10"/>
    </row>
    <row r="240" spans="1:122" x14ac:dyDescent="0.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0"/>
      <c r="BC240" s="10"/>
      <c r="BD240" s="10"/>
      <c r="BE240" s="10"/>
      <c r="BF240" s="10"/>
      <c r="BG240" s="10"/>
      <c r="BH240" s="10"/>
      <c r="BI240" s="10"/>
      <c r="BJ240" s="10"/>
      <c r="BK240" s="10"/>
      <c r="BL240" s="10"/>
      <c r="BM240" s="10"/>
      <c r="BN240" s="10"/>
      <c r="BO240" s="10"/>
      <c r="BP240" s="10"/>
      <c r="BQ240" s="10"/>
      <c r="BR240" s="10"/>
      <c r="BS240" s="10"/>
      <c r="BT240" s="10"/>
      <c r="BU240" s="10"/>
      <c r="BV240" s="10"/>
      <c r="BW240" s="10"/>
      <c r="BX240" s="10"/>
      <c r="BY240" s="10"/>
      <c r="BZ240" s="10"/>
      <c r="CA240" s="10"/>
      <c r="CB240" s="10"/>
      <c r="CC240" s="10"/>
      <c r="CD240" s="10"/>
      <c r="CE240" s="10"/>
      <c r="CF240" s="10"/>
      <c r="CG240" s="10"/>
      <c r="CH240" s="10"/>
      <c r="CI240" s="10"/>
      <c r="CJ240" s="10"/>
      <c r="CK240" s="10"/>
      <c r="CL240" s="10"/>
      <c r="CM240" s="10"/>
      <c r="CN240" s="10"/>
      <c r="CO240" s="10"/>
      <c r="CP240" s="10"/>
      <c r="CQ240" s="10"/>
      <c r="CR240" s="10"/>
      <c r="CS240" s="10"/>
      <c r="CT240" s="10"/>
      <c r="CU240" s="10"/>
      <c r="CV240" s="10"/>
      <c r="CW240" s="10"/>
      <c r="CX240" s="10"/>
      <c r="CY240" s="10"/>
      <c r="CZ240" s="10"/>
      <c r="DA240" s="10"/>
      <c r="DB240" s="10"/>
      <c r="DC240" s="10"/>
      <c r="DD240" s="10"/>
      <c r="DE240" s="10"/>
      <c r="DF240" s="10"/>
      <c r="DG240" s="10"/>
      <c r="DH240" s="10"/>
      <c r="DI240" s="10"/>
      <c r="DJ240" s="10"/>
      <c r="DK240" s="10"/>
      <c r="DL240" s="10"/>
      <c r="DM240" s="10"/>
      <c r="DN240" s="10"/>
      <c r="DO240" s="10"/>
      <c r="DP240" s="10"/>
      <c r="DQ240" s="10"/>
      <c r="DR240" s="10"/>
    </row>
    <row r="241" spans="1:122" x14ac:dyDescent="0.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0"/>
      <c r="BC241" s="10"/>
      <c r="BD241" s="10"/>
      <c r="BE241" s="10"/>
      <c r="BF241" s="10"/>
      <c r="BG241" s="10"/>
      <c r="BH241" s="10"/>
      <c r="BI241" s="10"/>
      <c r="BJ241" s="10"/>
      <c r="BK241" s="10"/>
      <c r="BL241" s="10"/>
      <c r="BM241" s="10"/>
      <c r="BN241" s="10"/>
      <c r="BO241" s="10"/>
      <c r="BP241" s="10"/>
      <c r="BQ241" s="10"/>
      <c r="BR241" s="10"/>
      <c r="BS241" s="10"/>
      <c r="BT241" s="10"/>
      <c r="BU241" s="10"/>
      <c r="BV241" s="10"/>
      <c r="BW241" s="10"/>
      <c r="BX241" s="10"/>
      <c r="BY241" s="10"/>
      <c r="BZ241" s="10"/>
      <c r="CA241" s="10"/>
      <c r="CB241" s="10"/>
      <c r="CC241" s="10"/>
      <c r="CD241" s="10"/>
      <c r="CE241" s="10"/>
      <c r="CF241" s="10"/>
      <c r="CG241" s="10"/>
      <c r="CH241" s="10"/>
      <c r="CI241" s="10"/>
      <c r="CJ241" s="10"/>
      <c r="CK241" s="10"/>
      <c r="CL241" s="10"/>
      <c r="CM241" s="10"/>
      <c r="CN241" s="10"/>
      <c r="CO241" s="10"/>
      <c r="CP241" s="10"/>
      <c r="CQ241" s="10"/>
      <c r="CR241" s="10"/>
      <c r="CS241" s="10"/>
      <c r="CT241" s="10"/>
      <c r="CU241" s="10"/>
      <c r="CV241" s="10"/>
      <c r="CW241" s="10"/>
      <c r="CX241" s="10"/>
      <c r="CY241" s="10"/>
      <c r="CZ241" s="10"/>
      <c r="DA241" s="10"/>
      <c r="DB241" s="10"/>
      <c r="DC241" s="10"/>
      <c r="DD241" s="10"/>
      <c r="DE241" s="10"/>
      <c r="DF241" s="10"/>
      <c r="DG241" s="10"/>
      <c r="DH241" s="10"/>
      <c r="DI241" s="10"/>
      <c r="DJ241" s="10"/>
      <c r="DK241" s="10"/>
      <c r="DL241" s="10"/>
      <c r="DM241" s="10"/>
      <c r="DN241" s="10"/>
      <c r="DO241" s="10"/>
      <c r="DP241" s="10"/>
      <c r="DQ241" s="10"/>
      <c r="DR241" s="10"/>
    </row>
    <row r="242" spans="1:122" x14ac:dyDescent="0.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0"/>
      <c r="BC242" s="10"/>
      <c r="BD242" s="10"/>
      <c r="BE242" s="10"/>
      <c r="BF242" s="10"/>
      <c r="BG242" s="10"/>
      <c r="BH242" s="10"/>
      <c r="BI242" s="10"/>
      <c r="BJ242" s="10"/>
      <c r="BK242" s="10"/>
      <c r="BL242" s="10"/>
      <c r="BM242" s="10"/>
      <c r="BN242" s="10"/>
      <c r="BO242" s="10"/>
      <c r="BP242" s="10"/>
      <c r="BQ242" s="10"/>
      <c r="BR242" s="10"/>
      <c r="BS242" s="10"/>
      <c r="BT242" s="10"/>
      <c r="BU242" s="10"/>
      <c r="BV242" s="10"/>
      <c r="BW242" s="10"/>
      <c r="BX242" s="10"/>
      <c r="BY242" s="10"/>
      <c r="BZ242" s="10"/>
      <c r="CA242" s="10"/>
      <c r="CB242" s="10"/>
      <c r="CC242" s="10"/>
      <c r="CD242" s="10"/>
      <c r="CE242" s="10"/>
      <c r="CF242" s="10"/>
      <c r="CG242" s="10"/>
      <c r="CH242" s="10"/>
      <c r="CI242" s="10"/>
      <c r="CJ242" s="10"/>
      <c r="CK242" s="10"/>
      <c r="CL242" s="10"/>
      <c r="CM242" s="10"/>
      <c r="CN242" s="10"/>
      <c r="CO242" s="10"/>
      <c r="CP242" s="10"/>
      <c r="CQ242" s="10"/>
      <c r="CR242" s="10"/>
      <c r="CS242" s="10"/>
      <c r="CT242" s="10"/>
      <c r="CU242" s="10"/>
      <c r="CV242" s="10"/>
      <c r="CW242" s="10"/>
      <c r="CX242" s="10"/>
      <c r="CY242" s="10"/>
      <c r="CZ242" s="10"/>
      <c r="DA242" s="10"/>
      <c r="DB242" s="10"/>
      <c r="DC242" s="10"/>
      <c r="DD242" s="10"/>
      <c r="DE242" s="10"/>
      <c r="DF242" s="10"/>
      <c r="DG242" s="10"/>
      <c r="DH242" s="10"/>
      <c r="DI242" s="10"/>
      <c r="DJ242" s="10"/>
      <c r="DK242" s="10"/>
      <c r="DL242" s="10"/>
      <c r="DM242" s="10"/>
      <c r="DN242" s="10"/>
      <c r="DO242" s="10"/>
      <c r="DP242" s="10"/>
      <c r="DQ242" s="10"/>
      <c r="DR242" s="10"/>
    </row>
    <row r="243" spans="1:122" x14ac:dyDescent="0.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0"/>
      <c r="BC243" s="10"/>
      <c r="BD243" s="10"/>
      <c r="BE243" s="10"/>
      <c r="BF243" s="10"/>
      <c r="BG243" s="10"/>
      <c r="BH243" s="10"/>
      <c r="BI243" s="10"/>
      <c r="BJ243" s="10"/>
      <c r="BK243" s="10"/>
      <c r="BL243" s="10"/>
      <c r="BM243" s="10"/>
      <c r="BN243" s="10"/>
      <c r="BO243" s="10"/>
      <c r="BP243" s="10"/>
      <c r="BQ243" s="10"/>
      <c r="BR243" s="10"/>
      <c r="BS243" s="10"/>
      <c r="BT243" s="10"/>
      <c r="BU243" s="10"/>
      <c r="BV243" s="10"/>
      <c r="BW243" s="10"/>
      <c r="BX243" s="10"/>
      <c r="BY243" s="10"/>
      <c r="BZ243" s="10"/>
      <c r="CA243" s="10"/>
      <c r="CB243" s="10"/>
      <c r="CC243" s="10"/>
      <c r="CD243" s="10"/>
      <c r="CE243" s="10"/>
      <c r="CF243" s="10"/>
      <c r="CG243" s="10"/>
      <c r="CH243" s="10"/>
      <c r="CI243" s="10"/>
      <c r="CJ243" s="10"/>
      <c r="CK243" s="10"/>
      <c r="CL243" s="10"/>
      <c r="CM243" s="10"/>
      <c r="CN243" s="10"/>
      <c r="CO243" s="10"/>
      <c r="CP243" s="10"/>
      <c r="CQ243" s="10"/>
      <c r="CR243" s="10"/>
      <c r="CS243" s="10"/>
      <c r="CT243" s="10"/>
      <c r="CU243" s="10"/>
      <c r="CV243" s="10"/>
      <c r="CW243" s="10"/>
      <c r="CX243" s="10"/>
      <c r="CY243" s="10"/>
      <c r="CZ243" s="10"/>
      <c r="DA243" s="10"/>
      <c r="DB243" s="10"/>
      <c r="DC243" s="10"/>
      <c r="DD243" s="10"/>
      <c r="DE243" s="10"/>
      <c r="DF243" s="10"/>
      <c r="DG243" s="10"/>
      <c r="DH243" s="10"/>
      <c r="DI243" s="10"/>
      <c r="DJ243" s="10"/>
      <c r="DK243" s="10"/>
      <c r="DL243" s="10"/>
      <c r="DM243" s="10"/>
      <c r="DN243" s="10"/>
      <c r="DO243" s="10"/>
      <c r="DP243" s="10"/>
      <c r="DQ243" s="10"/>
      <c r="DR243" s="10"/>
    </row>
    <row r="244" spans="1:122" x14ac:dyDescent="0.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0"/>
      <c r="BC244" s="10"/>
      <c r="BD244" s="10"/>
      <c r="BE244" s="10"/>
      <c r="BF244" s="10"/>
      <c r="BG244" s="10"/>
      <c r="BH244" s="10"/>
      <c r="BI244" s="10"/>
      <c r="BJ244" s="10"/>
      <c r="BK244" s="10"/>
      <c r="BL244" s="10"/>
      <c r="BM244" s="10"/>
      <c r="BN244" s="10"/>
      <c r="BO244" s="10"/>
      <c r="BP244" s="10"/>
      <c r="BQ244" s="10"/>
      <c r="BR244" s="10"/>
      <c r="BS244" s="10"/>
      <c r="BT244" s="10"/>
      <c r="BU244" s="10"/>
      <c r="BV244" s="10"/>
      <c r="BW244" s="10"/>
      <c r="BX244" s="10"/>
      <c r="BY244" s="10"/>
      <c r="BZ244" s="10"/>
      <c r="CA244" s="10"/>
      <c r="CB244" s="10"/>
      <c r="CC244" s="10"/>
      <c r="CD244" s="10"/>
      <c r="CE244" s="10"/>
      <c r="CF244" s="10"/>
      <c r="CG244" s="10"/>
      <c r="CH244" s="10"/>
      <c r="CI244" s="10"/>
      <c r="CJ244" s="10"/>
      <c r="CK244" s="10"/>
      <c r="CL244" s="10"/>
      <c r="CM244" s="10"/>
      <c r="CN244" s="10"/>
      <c r="CO244" s="10"/>
      <c r="CP244" s="10"/>
      <c r="CQ244" s="10"/>
      <c r="CR244" s="10"/>
      <c r="CS244" s="10"/>
      <c r="CT244" s="10"/>
      <c r="CU244" s="10"/>
      <c r="CV244" s="10"/>
      <c r="CW244" s="10"/>
      <c r="CX244" s="10"/>
      <c r="CY244" s="10"/>
      <c r="CZ244" s="10"/>
      <c r="DA244" s="10"/>
      <c r="DB244" s="10"/>
      <c r="DC244" s="10"/>
      <c r="DD244" s="10"/>
      <c r="DE244" s="10"/>
      <c r="DF244" s="10"/>
      <c r="DG244" s="10"/>
      <c r="DH244" s="10"/>
      <c r="DI244" s="10"/>
      <c r="DJ244" s="10"/>
      <c r="DK244" s="10"/>
      <c r="DL244" s="10"/>
      <c r="DM244" s="10"/>
      <c r="DN244" s="10"/>
      <c r="DO244" s="10"/>
      <c r="DP244" s="10"/>
      <c r="DQ244" s="10"/>
      <c r="DR244" s="10"/>
    </row>
    <row r="245" spans="1:122" x14ac:dyDescent="0.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0"/>
      <c r="BC245" s="10"/>
      <c r="BD245" s="10"/>
      <c r="BE245" s="10"/>
      <c r="BF245" s="10"/>
      <c r="BG245" s="10"/>
      <c r="BH245" s="10"/>
      <c r="BI245" s="10"/>
      <c r="BJ245" s="10"/>
      <c r="BK245" s="10"/>
      <c r="BL245" s="10"/>
      <c r="BM245" s="10"/>
      <c r="BN245" s="10"/>
      <c r="BO245" s="10"/>
      <c r="BP245" s="10"/>
      <c r="BQ245" s="10"/>
      <c r="BR245" s="10"/>
      <c r="BS245" s="10"/>
      <c r="BT245" s="10"/>
      <c r="BU245" s="10"/>
      <c r="BV245" s="10"/>
      <c r="BW245" s="10"/>
      <c r="BX245" s="10"/>
      <c r="BY245" s="10"/>
      <c r="BZ245" s="10"/>
      <c r="CA245" s="10"/>
      <c r="CB245" s="10"/>
      <c r="CC245" s="10"/>
      <c r="CD245" s="10"/>
      <c r="CE245" s="10"/>
      <c r="CF245" s="10"/>
      <c r="CG245" s="10"/>
      <c r="CH245" s="10"/>
      <c r="CI245" s="10"/>
      <c r="CJ245" s="10"/>
      <c r="CK245" s="10"/>
      <c r="CL245" s="10"/>
      <c r="CM245" s="10"/>
      <c r="CN245" s="10"/>
      <c r="CO245" s="10"/>
      <c r="CP245" s="10"/>
      <c r="CQ245" s="10"/>
      <c r="CR245" s="10"/>
      <c r="CS245" s="10"/>
      <c r="CT245" s="10"/>
      <c r="CU245" s="10"/>
      <c r="CV245" s="10"/>
      <c r="CW245" s="10"/>
      <c r="CX245" s="10"/>
      <c r="CY245" s="10"/>
      <c r="CZ245" s="10"/>
      <c r="DA245" s="10"/>
      <c r="DB245" s="10"/>
      <c r="DC245" s="10"/>
      <c r="DD245" s="10"/>
      <c r="DE245" s="10"/>
      <c r="DF245" s="10"/>
      <c r="DG245" s="10"/>
      <c r="DH245" s="10"/>
      <c r="DI245" s="10"/>
      <c r="DJ245" s="10"/>
      <c r="DK245" s="10"/>
      <c r="DL245" s="10"/>
      <c r="DM245" s="10"/>
      <c r="DN245" s="10"/>
      <c r="DO245" s="10"/>
      <c r="DP245" s="10"/>
      <c r="DQ245" s="10"/>
      <c r="DR245" s="10"/>
    </row>
    <row r="246" spans="1:122" x14ac:dyDescent="0.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0"/>
      <c r="BC246" s="10"/>
      <c r="BD246" s="10"/>
      <c r="BE246" s="10"/>
      <c r="BF246" s="10"/>
      <c r="BG246" s="10"/>
      <c r="BH246" s="10"/>
      <c r="BI246" s="10"/>
      <c r="BJ246" s="10"/>
      <c r="BK246" s="10"/>
      <c r="BL246" s="10"/>
      <c r="BM246" s="10"/>
      <c r="BN246" s="10"/>
      <c r="BO246" s="10"/>
      <c r="BP246" s="10"/>
      <c r="BQ246" s="10"/>
      <c r="BR246" s="10"/>
      <c r="BS246" s="10"/>
      <c r="BT246" s="10"/>
      <c r="BU246" s="10"/>
      <c r="BV246" s="10"/>
      <c r="BW246" s="10"/>
      <c r="BX246" s="10"/>
      <c r="BY246" s="10"/>
      <c r="BZ246" s="10"/>
      <c r="CA246" s="10"/>
      <c r="CB246" s="10"/>
      <c r="CC246" s="10"/>
      <c r="CD246" s="10"/>
      <c r="CE246" s="10"/>
      <c r="CF246" s="10"/>
      <c r="CG246" s="10"/>
      <c r="CH246" s="10"/>
      <c r="CI246" s="10"/>
      <c r="CJ246" s="10"/>
      <c r="CK246" s="10"/>
      <c r="CL246" s="10"/>
      <c r="CM246" s="10"/>
      <c r="CN246" s="10"/>
      <c r="CO246" s="10"/>
      <c r="CP246" s="10"/>
      <c r="CQ246" s="10"/>
      <c r="CR246" s="10"/>
      <c r="CS246" s="10"/>
      <c r="CT246" s="10"/>
      <c r="CU246" s="10"/>
      <c r="CV246" s="10"/>
      <c r="CW246" s="10"/>
      <c r="CX246" s="10"/>
      <c r="CY246" s="10"/>
      <c r="CZ246" s="10"/>
      <c r="DA246" s="10"/>
      <c r="DB246" s="10"/>
      <c r="DC246" s="10"/>
      <c r="DD246" s="10"/>
      <c r="DE246" s="10"/>
      <c r="DF246" s="10"/>
      <c r="DG246" s="10"/>
      <c r="DH246" s="10"/>
      <c r="DI246" s="10"/>
      <c r="DJ246" s="10"/>
      <c r="DK246" s="10"/>
      <c r="DL246" s="10"/>
      <c r="DM246" s="10"/>
      <c r="DN246" s="10"/>
      <c r="DO246" s="10"/>
      <c r="DP246" s="10"/>
      <c r="DQ246" s="10"/>
      <c r="DR246" s="10"/>
    </row>
    <row r="247" spans="1:122" x14ac:dyDescent="0.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0"/>
      <c r="BC247" s="10"/>
      <c r="BD247" s="10"/>
      <c r="BE247" s="10"/>
      <c r="BF247" s="10"/>
      <c r="BG247" s="10"/>
      <c r="BH247" s="10"/>
      <c r="BI247" s="10"/>
      <c r="BJ247" s="10"/>
      <c r="BK247" s="10"/>
      <c r="BL247" s="10"/>
      <c r="BM247" s="10"/>
      <c r="BN247" s="10"/>
      <c r="BO247" s="10"/>
      <c r="BP247" s="10"/>
      <c r="BQ247" s="10"/>
      <c r="BR247" s="10"/>
      <c r="BS247" s="10"/>
      <c r="BT247" s="10"/>
      <c r="BU247" s="10"/>
      <c r="BV247" s="10"/>
      <c r="BW247" s="10"/>
      <c r="BX247" s="10"/>
      <c r="BY247" s="10"/>
      <c r="BZ247" s="10"/>
      <c r="CA247" s="10"/>
      <c r="CB247" s="10"/>
      <c r="CC247" s="10"/>
      <c r="CD247" s="10"/>
      <c r="CE247" s="10"/>
      <c r="CF247" s="10"/>
      <c r="CG247" s="10"/>
      <c r="CH247" s="10"/>
      <c r="CI247" s="10"/>
      <c r="CJ247" s="10"/>
      <c r="CK247" s="10"/>
      <c r="CL247" s="10"/>
      <c r="CM247" s="10"/>
      <c r="CN247" s="10"/>
      <c r="CO247" s="10"/>
      <c r="CP247" s="10"/>
      <c r="CQ247" s="10"/>
      <c r="CR247" s="10"/>
      <c r="CS247" s="10"/>
      <c r="CT247" s="10"/>
      <c r="CU247" s="10"/>
      <c r="CV247" s="10"/>
      <c r="CW247" s="10"/>
      <c r="CX247" s="10"/>
      <c r="CY247" s="10"/>
      <c r="CZ247" s="10"/>
      <c r="DA247" s="10"/>
      <c r="DB247" s="10"/>
      <c r="DC247" s="10"/>
      <c r="DD247" s="10"/>
      <c r="DE247" s="10"/>
      <c r="DF247" s="10"/>
      <c r="DG247" s="10"/>
      <c r="DH247" s="10"/>
      <c r="DI247" s="10"/>
      <c r="DJ247" s="10"/>
      <c r="DK247" s="10"/>
      <c r="DL247" s="10"/>
      <c r="DM247" s="10"/>
      <c r="DN247" s="10"/>
      <c r="DO247" s="10"/>
      <c r="DP247" s="10"/>
      <c r="DQ247" s="10"/>
      <c r="DR247" s="10"/>
    </row>
    <row r="248" spans="1:122" x14ac:dyDescent="0.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0"/>
      <c r="BC248" s="10"/>
      <c r="BD248" s="10"/>
      <c r="BE248" s="10"/>
      <c r="BF248" s="10"/>
      <c r="BG248" s="10"/>
      <c r="BH248" s="10"/>
      <c r="BI248" s="10"/>
      <c r="BJ248" s="10"/>
      <c r="BK248" s="10"/>
      <c r="BL248" s="10"/>
      <c r="BM248" s="10"/>
      <c r="BN248" s="10"/>
      <c r="BO248" s="10"/>
      <c r="BP248" s="10"/>
      <c r="BQ248" s="10"/>
      <c r="BR248" s="10"/>
      <c r="BS248" s="10"/>
      <c r="BT248" s="10"/>
      <c r="BU248" s="10"/>
      <c r="BV248" s="10"/>
      <c r="BW248" s="10"/>
      <c r="BX248" s="10"/>
      <c r="BY248" s="10"/>
      <c r="BZ248" s="10"/>
      <c r="CA248" s="10"/>
      <c r="CB248" s="10"/>
      <c r="CC248" s="10"/>
      <c r="CD248" s="10"/>
      <c r="CE248" s="10"/>
      <c r="CF248" s="10"/>
      <c r="CG248" s="10"/>
      <c r="CH248" s="10"/>
      <c r="CI248" s="10"/>
      <c r="CJ248" s="10"/>
      <c r="CK248" s="10"/>
      <c r="CL248" s="10"/>
      <c r="CM248" s="10"/>
      <c r="CN248" s="10"/>
      <c r="CO248" s="10"/>
      <c r="CP248" s="10"/>
      <c r="CQ248" s="10"/>
      <c r="CR248" s="10"/>
      <c r="CS248" s="10"/>
      <c r="CT248" s="10"/>
      <c r="CU248" s="10"/>
      <c r="CV248" s="10"/>
      <c r="CW248" s="10"/>
      <c r="CX248" s="10"/>
      <c r="CY248" s="10"/>
      <c r="CZ248" s="10"/>
      <c r="DA248" s="10"/>
      <c r="DB248" s="10"/>
      <c r="DC248" s="10"/>
      <c r="DD248" s="10"/>
      <c r="DE248" s="10"/>
      <c r="DF248" s="10"/>
      <c r="DG248" s="10"/>
      <c r="DH248" s="10"/>
      <c r="DI248" s="10"/>
      <c r="DJ248" s="10"/>
      <c r="DK248" s="10"/>
      <c r="DL248" s="10"/>
      <c r="DM248" s="10"/>
      <c r="DN248" s="10"/>
      <c r="DO248" s="10"/>
      <c r="DP248" s="10"/>
      <c r="DQ248" s="10"/>
      <c r="DR248" s="10"/>
    </row>
    <row r="249" spans="1:122" x14ac:dyDescent="0.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0"/>
      <c r="BC249" s="10"/>
      <c r="BD249" s="10"/>
      <c r="BE249" s="10"/>
      <c r="BF249" s="10"/>
      <c r="BG249" s="10"/>
      <c r="BH249" s="10"/>
      <c r="BI249" s="10"/>
      <c r="BJ249" s="10"/>
      <c r="BK249" s="10"/>
      <c r="BL249" s="10"/>
      <c r="BM249" s="10"/>
      <c r="BN249" s="10"/>
      <c r="BO249" s="10"/>
      <c r="BP249" s="10"/>
      <c r="BQ249" s="10"/>
      <c r="BR249" s="10"/>
      <c r="BS249" s="10"/>
      <c r="BT249" s="10"/>
      <c r="BU249" s="10"/>
      <c r="BV249" s="10"/>
      <c r="BW249" s="10"/>
      <c r="BX249" s="10"/>
      <c r="BY249" s="10"/>
      <c r="BZ249" s="10"/>
      <c r="CA249" s="10"/>
      <c r="CB249" s="10"/>
      <c r="CC249" s="10"/>
      <c r="CD249" s="10"/>
      <c r="CE249" s="10"/>
      <c r="CF249" s="10"/>
      <c r="CG249" s="10"/>
      <c r="CH249" s="10"/>
      <c r="CI249" s="10"/>
      <c r="CJ249" s="10"/>
      <c r="CK249" s="10"/>
      <c r="CL249" s="10"/>
      <c r="CM249" s="10"/>
      <c r="CN249" s="10"/>
      <c r="CO249" s="10"/>
      <c r="CP249" s="10"/>
      <c r="CQ249" s="10"/>
      <c r="CR249" s="10"/>
      <c r="CS249" s="10"/>
      <c r="CT249" s="10"/>
      <c r="CU249" s="10"/>
      <c r="CV249" s="10"/>
      <c r="CW249" s="10"/>
      <c r="CX249" s="10"/>
      <c r="CY249" s="10"/>
      <c r="CZ249" s="10"/>
      <c r="DA249" s="10"/>
      <c r="DB249" s="10"/>
      <c r="DC249" s="10"/>
      <c r="DD249" s="10"/>
      <c r="DE249" s="10"/>
      <c r="DF249" s="10"/>
      <c r="DG249" s="10"/>
      <c r="DH249" s="10"/>
      <c r="DI249" s="10"/>
      <c r="DJ249" s="10"/>
      <c r="DK249" s="10"/>
      <c r="DL249" s="10"/>
      <c r="DM249" s="10"/>
      <c r="DN249" s="10"/>
      <c r="DO249" s="10"/>
      <c r="DP249" s="10"/>
      <c r="DQ249" s="10"/>
      <c r="DR249" s="10"/>
    </row>
    <row r="250" spans="1:122" x14ac:dyDescent="0.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0"/>
      <c r="BC250" s="10"/>
      <c r="BD250" s="10"/>
      <c r="BE250" s="10"/>
      <c r="BF250" s="10"/>
      <c r="BG250" s="10"/>
      <c r="BH250" s="10"/>
      <c r="BI250" s="10"/>
      <c r="BJ250" s="10"/>
      <c r="BK250" s="10"/>
      <c r="BL250" s="10"/>
      <c r="BM250" s="10"/>
      <c r="BN250" s="10"/>
      <c r="BO250" s="10"/>
      <c r="BP250" s="10"/>
      <c r="BQ250" s="10"/>
      <c r="BR250" s="10"/>
      <c r="BS250" s="10"/>
      <c r="BT250" s="10"/>
      <c r="BU250" s="10"/>
      <c r="BV250" s="10"/>
      <c r="BW250" s="10"/>
      <c r="BX250" s="10"/>
      <c r="BY250" s="10"/>
      <c r="BZ250" s="10"/>
      <c r="CA250" s="10"/>
      <c r="CB250" s="10"/>
      <c r="CC250" s="10"/>
      <c r="CD250" s="10"/>
      <c r="CE250" s="10"/>
      <c r="CF250" s="10"/>
      <c r="CG250" s="10"/>
      <c r="CH250" s="10"/>
      <c r="CI250" s="10"/>
      <c r="CJ250" s="10"/>
      <c r="CK250" s="10"/>
      <c r="CL250" s="10"/>
      <c r="CM250" s="10"/>
      <c r="CN250" s="10"/>
      <c r="CO250" s="10"/>
      <c r="CP250" s="10"/>
      <c r="CQ250" s="10"/>
      <c r="CR250" s="10"/>
      <c r="CS250" s="10"/>
      <c r="CT250" s="10"/>
      <c r="CU250" s="10"/>
      <c r="CV250" s="10"/>
      <c r="CW250" s="10"/>
      <c r="CX250" s="10"/>
      <c r="CY250" s="10"/>
      <c r="CZ250" s="10"/>
      <c r="DA250" s="10"/>
      <c r="DB250" s="10"/>
      <c r="DC250" s="10"/>
      <c r="DD250" s="10"/>
      <c r="DE250" s="10"/>
      <c r="DF250" s="10"/>
      <c r="DG250" s="10"/>
      <c r="DH250" s="10"/>
      <c r="DI250" s="10"/>
      <c r="DJ250" s="10"/>
      <c r="DK250" s="10"/>
      <c r="DL250" s="10"/>
      <c r="DM250" s="10"/>
      <c r="DN250" s="10"/>
      <c r="DO250" s="10"/>
      <c r="DP250" s="10"/>
      <c r="DQ250" s="10"/>
      <c r="DR250" s="10"/>
    </row>
    <row r="251" spans="1:122" x14ac:dyDescent="0.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0"/>
      <c r="BC251" s="10"/>
      <c r="BD251" s="10"/>
      <c r="BE251" s="10"/>
      <c r="BF251" s="10"/>
      <c r="BG251" s="10"/>
      <c r="BH251" s="10"/>
      <c r="BI251" s="10"/>
      <c r="BJ251" s="10"/>
      <c r="BK251" s="10"/>
      <c r="BL251" s="10"/>
      <c r="BM251" s="10"/>
      <c r="BN251" s="10"/>
      <c r="BO251" s="10"/>
      <c r="BP251" s="10"/>
      <c r="BQ251" s="10"/>
      <c r="BR251" s="10"/>
      <c r="BS251" s="10"/>
      <c r="BT251" s="10"/>
      <c r="BU251" s="10"/>
      <c r="BV251" s="10"/>
      <c r="BW251" s="10"/>
      <c r="BX251" s="10"/>
      <c r="BY251" s="10"/>
      <c r="BZ251" s="10"/>
      <c r="CA251" s="10"/>
      <c r="CB251" s="10"/>
      <c r="CC251" s="10"/>
      <c r="CD251" s="10"/>
      <c r="CE251" s="10"/>
      <c r="CF251" s="10"/>
      <c r="CG251" s="10"/>
      <c r="CH251" s="10"/>
      <c r="CI251" s="10"/>
      <c r="CJ251" s="10"/>
      <c r="CK251" s="10"/>
      <c r="CL251" s="10"/>
      <c r="CM251" s="10"/>
      <c r="CN251" s="10"/>
      <c r="CO251" s="10"/>
      <c r="CP251" s="10"/>
      <c r="CQ251" s="10"/>
      <c r="CR251" s="10"/>
      <c r="CS251" s="10"/>
      <c r="CT251" s="10"/>
      <c r="CU251" s="10"/>
      <c r="CV251" s="10"/>
      <c r="CW251" s="10"/>
      <c r="CX251" s="10"/>
      <c r="CY251" s="10"/>
      <c r="CZ251" s="10"/>
      <c r="DA251" s="10"/>
      <c r="DB251" s="10"/>
      <c r="DC251" s="10"/>
      <c r="DD251" s="10"/>
      <c r="DE251" s="10"/>
      <c r="DF251" s="10"/>
      <c r="DG251" s="10"/>
      <c r="DH251" s="10"/>
      <c r="DI251" s="10"/>
      <c r="DJ251" s="10"/>
      <c r="DK251" s="10"/>
      <c r="DL251" s="10"/>
      <c r="DM251" s="10"/>
      <c r="DN251" s="10"/>
      <c r="DO251" s="10"/>
      <c r="DP251" s="10"/>
      <c r="DQ251" s="10"/>
      <c r="DR251" s="10"/>
    </row>
    <row r="252" spans="1:122" x14ac:dyDescent="0.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0"/>
      <c r="BC252" s="10"/>
      <c r="BD252" s="10"/>
      <c r="BE252" s="10"/>
      <c r="BF252" s="10"/>
      <c r="BG252" s="10"/>
      <c r="BH252" s="10"/>
      <c r="BI252" s="10"/>
      <c r="BJ252" s="10"/>
      <c r="BK252" s="10"/>
      <c r="BL252" s="10"/>
      <c r="BM252" s="10"/>
      <c r="BN252" s="10"/>
      <c r="BO252" s="10"/>
      <c r="BP252" s="10"/>
      <c r="BQ252" s="10"/>
      <c r="BR252" s="10"/>
      <c r="BS252" s="10"/>
      <c r="BT252" s="10"/>
      <c r="BU252" s="10"/>
      <c r="BV252" s="10"/>
      <c r="BW252" s="10"/>
      <c r="BX252" s="10"/>
      <c r="BY252" s="10"/>
      <c r="BZ252" s="10"/>
      <c r="CA252" s="10"/>
      <c r="CB252" s="10"/>
      <c r="CC252" s="10"/>
      <c r="CD252" s="10"/>
      <c r="CE252" s="10"/>
      <c r="CF252" s="10"/>
      <c r="CG252" s="10"/>
      <c r="CH252" s="10"/>
      <c r="CI252" s="10"/>
      <c r="CJ252" s="10"/>
      <c r="CK252" s="10"/>
      <c r="CL252" s="10"/>
      <c r="CM252" s="10"/>
      <c r="CN252" s="10"/>
      <c r="CO252" s="10"/>
      <c r="CP252" s="10"/>
      <c r="CQ252" s="10"/>
      <c r="CR252" s="10"/>
      <c r="CS252" s="10"/>
      <c r="CT252" s="10"/>
      <c r="CU252" s="10"/>
      <c r="CV252" s="10"/>
      <c r="CW252" s="10"/>
      <c r="CX252" s="10"/>
      <c r="CY252" s="10"/>
      <c r="CZ252" s="10"/>
      <c r="DA252" s="10"/>
      <c r="DB252" s="10"/>
      <c r="DC252" s="10"/>
      <c r="DD252" s="10"/>
      <c r="DE252" s="10"/>
      <c r="DF252" s="10"/>
      <c r="DG252" s="10"/>
      <c r="DH252" s="10"/>
      <c r="DI252" s="10"/>
      <c r="DJ252" s="10"/>
      <c r="DK252" s="10"/>
      <c r="DL252" s="10"/>
      <c r="DM252" s="10"/>
      <c r="DN252" s="10"/>
      <c r="DO252" s="10"/>
      <c r="DP252" s="10"/>
      <c r="DQ252" s="10"/>
      <c r="DR252" s="10"/>
    </row>
    <row r="253" spans="1:122" x14ac:dyDescent="0.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0"/>
      <c r="BC253" s="10"/>
      <c r="BD253" s="10"/>
      <c r="BE253" s="10"/>
      <c r="BF253" s="10"/>
      <c r="BG253" s="10"/>
      <c r="BH253" s="10"/>
      <c r="BI253" s="10"/>
      <c r="BJ253" s="10"/>
      <c r="BK253" s="10"/>
      <c r="BL253" s="10"/>
      <c r="BM253" s="10"/>
      <c r="BN253" s="10"/>
      <c r="BO253" s="10"/>
      <c r="BP253" s="10"/>
      <c r="BQ253" s="10"/>
      <c r="BR253" s="10"/>
      <c r="BS253" s="10"/>
      <c r="BT253" s="10"/>
      <c r="BU253" s="10"/>
      <c r="BV253" s="10"/>
      <c r="BW253" s="10"/>
      <c r="BX253" s="10"/>
      <c r="BY253" s="10"/>
      <c r="BZ253" s="10"/>
      <c r="CA253" s="10"/>
      <c r="CB253" s="10"/>
      <c r="CC253" s="10"/>
      <c r="CD253" s="10"/>
      <c r="CE253" s="10"/>
      <c r="CF253" s="10"/>
      <c r="CG253" s="10"/>
      <c r="CH253" s="10"/>
      <c r="CI253" s="10"/>
      <c r="CJ253" s="10"/>
      <c r="CK253" s="10"/>
      <c r="CL253" s="10"/>
      <c r="CM253" s="10"/>
      <c r="CN253" s="10"/>
      <c r="CO253" s="10"/>
      <c r="CP253" s="10"/>
      <c r="CQ253" s="10"/>
      <c r="CR253" s="10"/>
      <c r="CS253" s="10"/>
      <c r="CT253" s="10"/>
      <c r="CU253" s="10"/>
      <c r="CV253" s="10"/>
      <c r="CW253" s="10"/>
      <c r="CX253" s="10"/>
      <c r="CY253" s="10"/>
      <c r="CZ253" s="10"/>
      <c r="DA253" s="10"/>
      <c r="DB253" s="10"/>
      <c r="DC253" s="10"/>
      <c r="DD253" s="10"/>
      <c r="DE253" s="10"/>
      <c r="DF253" s="10"/>
      <c r="DG253" s="10"/>
      <c r="DH253" s="10"/>
      <c r="DI253" s="10"/>
      <c r="DJ253" s="10"/>
      <c r="DK253" s="10"/>
      <c r="DL253" s="10"/>
      <c r="DM253" s="10"/>
      <c r="DN253" s="10"/>
      <c r="DO253" s="10"/>
      <c r="DP253" s="10"/>
      <c r="DQ253" s="10"/>
      <c r="DR253" s="10"/>
    </row>
    <row r="254" spans="1:122" x14ac:dyDescent="0.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0"/>
      <c r="BC254" s="10"/>
      <c r="BD254" s="10"/>
      <c r="BE254" s="10"/>
      <c r="BF254" s="10"/>
      <c r="BG254" s="10"/>
      <c r="BH254" s="10"/>
      <c r="BI254" s="10"/>
      <c r="BJ254" s="10"/>
      <c r="BK254" s="10"/>
      <c r="BL254" s="10"/>
      <c r="BM254" s="10"/>
      <c r="BN254" s="10"/>
      <c r="BO254" s="10"/>
      <c r="BP254" s="10"/>
      <c r="BQ254" s="10"/>
      <c r="BR254" s="10"/>
      <c r="BS254" s="10"/>
      <c r="BT254" s="10"/>
      <c r="BU254" s="10"/>
      <c r="BV254" s="10"/>
      <c r="BW254" s="10"/>
      <c r="BX254" s="10"/>
      <c r="BY254" s="10"/>
      <c r="BZ254" s="10"/>
      <c r="CA254" s="10"/>
      <c r="CB254" s="10"/>
      <c r="CC254" s="10"/>
      <c r="CD254" s="10"/>
      <c r="CE254" s="10"/>
      <c r="CF254" s="10"/>
      <c r="CG254" s="10"/>
      <c r="CH254" s="10"/>
      <c r="CI254" s="10"/>
      <c r="CJ254" s="10"/>
      <c r="CK254" s="10"/>
      <c r="CL254" s="10"/>
      <c r="CM254" s="10"/>
      <c r="CN254" s="10"/>
      <c r="CO254" s="10"/>
      <c r="CP254" s="10"/>
      <c r="CQ254" s="10"/>
      <c r="CR254" s="10"/>
      <c r="CS254" s="10"/>
      <c r="CT254" s="10"/>
      <c r="CU254" s="10"/>
      <c r="CV254" s="10"/>
      <c r="CW254" s="10"/>
      <c r="CX254" s="10"/>
      <c r="CY254" s="10"/>
      <c r="CZ254" s="10"/>
      <c r="DA254" s="10"/>
      <c r="DB254" s="10"/>
      <c r="DC254" s="10"/>
      <c r="DD254" s="10"/>
      <c r="DE254" s="10"/>
      <c r="DF254" s="10"/>
      <c r="DG254" s="10"/>
      <c r="DH254" s="10"/>
      <c r="DI254" s="10"/>
      <c r="DJ254" s="10"/>
      <c r="DK254" s="10"/>
      <c r="DL254" s="10"/>
      <c r="DM254" s="10"/>
      <c r="DN254" s="10"/>
      <c r="DO254" s="10"/>
      <c r="DP254" s="10"/>
      <c r="DQ254" s="10"/>
      <c r="DR254" s="10"/>
    </row>
    <row r="255" spans="1:122" x14ac:dyDescent="0.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0"/>
      <c r="BC255" s="10"/>
      <c r="BD255" s="10"/>
      <c r="BE255" s="10"/>
      <c r="BF255" s="10"/>
      <c r="BG255" s="10"/>
      <c r="BH255" s="10"/>
      <c r="BI255" s="10"/>
      <c r="BJ255" s="10"/>
      <c r="BK255" s="10"/>
      <c r="BL255" s="10"/>
      <c r="BM255" s="10"/>
      <c r="BN255" s="10"/>
      <c r="BO255" s="10"/>
      <c r="BP255" s="10"/>
      <c r="BQ255" s="10"/>
      <c r="BR255" s="10"/>
      <c r="BS255" s="10"/>
      <c r="BT255" s="10"/>
      <c r="BU255" s="10"/>
      <c r="BV255" s="10"/>
      <c r="BW255" s="10"/>
      <c r="BX255" s="10"/>
      <c r="BY255" s="10"/>
      <c r="BZ255" s="10"/>
      <c r="CA255" s="10"/>
      <c r="CB255" s="10"/>
      <c r="CC255" s="10"/>
      <c r="CD255" s="10"/>
      <c r="CE255" s="10"/>
      <c r="CF255" s="10"/>
      <c r="CG255" s="10"/>
      <c r="CH255" s="10"/>
      <c r="CI255" s="10"/>
      <c r="CJ255" s="10"/>
      <c r="CK255" s="10"/>
      <c r="CL255" s="10"/>
      <c r="CM255" s="10"/>
      <c r="CN255" s="10"/>
      <c r="CO255" s="10"/>
      <c r="CP255" s="10"/>
      <c r="CQ255" s="10"/>
      <c r="CR255" s="10"/>
      <c r="CS255" s="10"/>
      <c r="CT255" s="10"/>
      <c r="CU255" s="10"/>
      <c r="CV255" s="10"/>
      <c r="CW255" s="10"/>
      <c r="CX255" s="10"/>
      <c r="CY255" s="10"/>
      <c r="CZ255" s="10"/>
      <c r="DA255" s="10"/>
      <c r="DB255" s="10"/>
      <c r="DC255" s="10"/>
      <c r="DD255" s="10"/>
      <c r="DE255" s="10"/>
      <c r="DF255" s="10"/>
      <c r="DG255" s="10"/>
      <c r="DH255" s="10"/>
      <c r="DI255" s="10"/>
      <c r="DJ255" s="10"/>
      <c r="DK255" s="10"/>
      <c r="DL255" s="10"/>
      <c r="DM255" s="10"/>
      <c r="DN255" s="10"/>
      <c r="DO255" s="10"/>
      <c r="DP255" s="10"/>
      <c r="DQ255" s="10"/>
      <c r="DR255" s="10"/>
    </row>
    <row r="256" spans="1:122" x14ac:dyDescent="0.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0"/>
      <c r="BC256" s="10"/>
      <c r="BD256" s="10"/>
      <c r="BE256" s="10"/>
      <c r="BF256" s="10"/>
      <c r="BG256" s="10"/>
      <c r="BH256" s="10"/>
      <c r="BI256" s="10"/>
      <c r="BJ256" s="10"/>
      <c r="BK256" s="10"/>
      <c r="BL256" s="10"/>
      <c r="BM256" s="10"/>
      <c r="BN256" s="10"/>
      <c r="BO256" s="10"/>
      <c r="BP256" s="10"/>
      <c r="BQ256" s="10"/>
      <c r="BR256" s="10"/>
      <c r="BS256" s="10"/>
      <c r="BT256" s="10"/>
      <c r="BU256" s="10"/>
      <c r="BV256" s="10"/>
      <c r="BW256" s="10"/>
      <c r="BX256" s="10"/>
      <c r="BY256" s="10"/>
      <c r="BZ256" s="10"/>
      <c r="CA256" s="10"/>
      <c r="CB256" s="10"/>
      <c r="CC256" s="10"/>
      <c r="CD256" s="10"/>
      <c r="CE256" s="10"/>
      <c r="CF256" s="10"/>
      <c r="CG256" s="10"/>
      <c r="CH256" s="10"/>
      <c r="CI256" s="10"/>
      <c r="CJ256" s="10"/>
      <c r="CK256" s="10"/>
      <c r="CL256" s="10"/>
      <c r="CM256" s="10"/>
      <c r="CN256" s="10"/>
      <c r="CO256" s="10"/>
      <c r="CP256" s="10"/>
      <c r="CQ256" s="10"/>
      <c r="CR256" s="10"/>
      <c r="CS256" s="10"/>
      <c r="CT256" s="10"/>
      <c r="CU256" s="10"/>
      <c r="CV256" s="10"/>
      <c r="CW256" s="10"/>
      <c r="CX256" s="10"/>
      <c r="CY256" s="10"/>
      <c r="CZ256" s="10"/>
      <c r="DA256" s="10"/>
      <c r="DB256" s="10"/>
      <c r="DC256" s="10"/>
      <c r="DD256" s="10"/>
      <c r="DE256" s="10"/>
      <c r="DF256" s="10"/>
      <c r="DG256" s="10"/>
      <c r="DH256" s="10"/>
      <c r="DI256" s="10"/>
      <c r="DJ256" s="10"/>
      <c r="DK256" s="10"/>
      <c r="DL256" s="10"/>
      <c r="DM256" s="10"/>
      <c r="DN256" s="10"/>
      <c r="DO256" s="10"/>
      <c r="DP256" s="10"/>
      <c r="DQ256" s="10"/>
      <c r="DR256" s="10"/>
    </row>
    <row r="257" spans="1:122" x14ac:dyDescent="0.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0"/>
      <c r="BC257" s="10"/>
      <c r="BD257" s="10"/>
      <c r="BE257" s="10"/>
      <c r="BF257" s="10"/>
      <c r="BG257" s="10"/>
      <c r="BH257" s="10"/>
      <c r="BI257" s="10"/>
      <c r="BJ257" s="10"/>
      <c r="BK257" s="10"/>
      <c r="BL257" s="10"/>
      <c r="BM257" s="10"/>
      <c r="BN257" s="10"/>
      <c r="BO257" s="10"/>
      <c r="BP257" s="10"/>
      <c r="BQ257" s="10"/>
      <c r="BR257" s="10"/>
      <c r="BS257" s="10"/>
      <c r="BT257" s="10"/>
      <c r="BU257" s="10"/>
      <c r="BV257" s="10"/>
      <c r="BW257" s="10"/>
      <c r="BX257" s="10"/>
      <c r="BY257" s="10"/>
      <c r="BZ257" s="10"/>
      <c r="CA257" s="10"/>
      <c r="CB257" s="10"/>
      <c r="CC257" s="10"/>
      <c r="CD257" s="10"/>
      <c r="CE257" s="10"/>
      <c r="CF257" s="10"/>
      <c r="CG257" s="10"/>
      <c r="CH257" s="10"/>
      <c r="CI257" s="10"/>
      <c r="CJ257" s="10"/>
      <c r="CK257" s="10"/>
      <c r="CL257" s="10"/>
      <c r="CM257" s="10"/>
      <c r="CN257" s="10"/>
      <c r="CO257" s="10"/>
      <c r="CP257" s="10"/>
      <c r="CQ257" s="10"/>
      <c r="CR257" s="10"/>
      <c r="CS257" s="10"/>
      <c r="CT257" s="10"/>
      <c r="CU257" s="10"/>
      <c r="CV257" s="10"/>
      <c r="CW257" s="10"/>
      <c r="CX257" s="10"/>
      <c r="CY257" s="10"/>
      <c r="CZ257" s="10"/>
      <c r="DA257" s="10"/>
      <c r="DB257" s="10"/>
      <c r="DC257" s="10"/>
      <c r="DD257" s="10"/>
      <c r="DE257" s="10"/>
      <c r="DF257" s="10"/>
      <c r="DG257" s="10"/>
      <c r="DH257" s="10"/>
      <c r="DI257" s="10"/>
      <c r="DJ257" s="10"/>
      <c r="DK257" s="10"/>
      <c r="DL257" s="10"/>
      <c r="DM257" s="10"/>
      <c r="DN257" s="10"/>
      <c r="DO257" s="10"/>
      <c r="DP257" s="10"/>
      <c r="DQ257" s="10"/>
      <c r="DR257" s="10"/>
    </row>
    <row r="258" spans="1:122" x14ac:dyDescent="0.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0"/>
      <c r="BC258" s="10"/>
      <c r="BD258" s="10"/>
      <c r="BE258" s="10"/>
      <c r="BF258" s="10"/>
      <c r="BG258" s="10"/>
      <c r="BH258" s="10"/>
      <c r="BI258" s="10"/>
      <c r="BJ258" s="10"/>
      <c r="BK258" s="10"/>
      <c r="BL258" s="10"/>
      <c r="BM258" s="10"/>
      <c r="BN258" s="10"/>
      <c r="BO258" s="10"/>
      <c r="BP258" s="10"/>
      <c r="BQ258" s="10"/>
      <c r="BR258" s="10"/>
      <c r="BS258" s="10"/>
      <c r="BT258" s="10"/>
      <c r="BU258" s="10"/>
      <c r="BV258" s="10"/>
      <c r="BW258" s="10"/>
      <c r="BX258" s="10"/>
      <c r="BY258" s="10"/>
      <c r="BZ258" s="10"/>
      <c r="CA258" s="10"/>
      <c r="CB258" s="10"/>
      <c r="CC258" s="10"/>
      <c r="CD258" s="10"/>
      <c r="CE258" s="10"/>
      <c r="CF258" s="10"/>
      <c r="CG258" s="10"/>
      <c r="CH258" s="10"/>
      <c r="CI258" s="10"/>
      <c r="CJ258" s="10"/>
      <c r="CK258" s="10"/>
      <c r="CL258" s="10"/>
      <c r="CM258" s="10"/>
      <c r="CN258" s="10"/>
      <c r="CO258" s="10"/>
      <c r="CP258" s="10"/>
      <c r="CQ258" s="10"/>
      <c r="CR258" s="10"/>
      <c r="CS258" s="10"/>
      <c r="CT258" s="10"/>
      <c r="CU258" s="10"/>
      <c r="CV258" s="10"/>
      <c r="CW258" s="10"/>
      <c r="CX258" s="10"/>
      <c r="CY258" s="10"/>
      <c r="CZ258" s="10"/>
      <c r="DA258" s="10"/>
      <c r="DB258" s="10"/>
      <c r="DC258" s="10"/>
      <c r="DD258" s="10"/>
      <c r="DE258" s="10"/>
      <c r="DF258" s="10"/>
      <c r="DG258" s="10"/>
      <c r="DH258" s="10"/>
      <c r="DI258" s="10"/>
      <c r="DJ258" s="10"/>
      <c r="DK258" s="10"/>
      <c r="DL258" s="10"/>
      <c r="DM258" s="10"/>
      <c r="DN258" s="10"/>
      <c r="DO258" s="10"/>
      <c r="DP258" s="10"/>
      <c r="DQ258" s="10"/>
      <c r="DR258" s="10"/>
    </row>
    <row r="259" spans="1:122" x14ac:dyDescent="0.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0"/>
      <c r="BC259" s="10"/>
      <c r="BD259" s="10"/>
      <c r="BE259" s="10"/>
      <c r="BF259" s="10"/>
      <c r="BG259" s="10"/>
      <c r="BH259" s="10"/>
      <c r="BI259" s="10"/>
      <c r="BJ259" s="10"/>
      <c r="BK259" s="10"/>
      <c r="BL259" s="10"/>
      <c r="BM259" s="10"/>
      <c r="BN259" s="10"/>
      <c r="BO259" s="10"/>
      <c r="BP259" s="10"/>
      <c r="BQ259" s="10"/>
      <c r="BR259" s="10"/>
      <c r="BS259" s="10"/>
      <c r="BT259" s="10"/>
      <c r="BU259" s="10"/>
      <c r="BV259" s="10"/>
      <c r="BW259" s="10"/>
      <c r="BX259" s="10"/>
      <c r="BY259" s="10"/>
      <c r="BZ259" s="10"/>
      <c r="CA259" s="10"/>
      <c r="CB259" s="10"/>
      <c r="CC259" s="10"/>
      <c r="CD259" s="10"/>
      <c r="CE259" s="10"/>
      <c r="CF259" s="10"/>
      <c r="CG259" s="10"/>
      <c r="CH259" s="10"/>
      <c r="CI259" s="10"/>
      <c r="CJ259" s="10"/>
      <c r="CK259" s="10"/>
      <c r="CL259" s="10"/>
      <c r="CM259" s="10"/>
      <c r="CN259" s="10"/>
      <c r="CO259" s="10"/>
      <c r="CP259" s="10"/>
      <c r="CQ259" s="10"/>
      <c r="CR259" s="10"/>
      <c r="CS259" s="10"/>
      <c r="CT259" s="10"/>
      <c r="CU259" s="10"/>
      <c r="CV259" s="10"/>
      <c r="CW259" s="10"/>
      <c r="CX259" s="10"/>
      <c r="CY259" s="10"/>
      <c r="CZ259" s="10"/>
      <c r="DA259" s="10"/>
      <c r="DB259" s="10"/>
      <c r="DC259" s="10"/>
      <c r="DD259" s="10"/>
      <c r="DE259" s="10"/>
      <c r="DF259" s="10"/>
      <c r="DG259" s="10"/>
      <c r="DH259" s="10"/>
      <c r="DI259" s="10"/>
      <c r="DJ259" s="10"/>
      <c r="DK259" s="10"/>
      <c r="DL259" s="10"/>
      <c r="DM259" s="10"/>
      <c r="DN259" s="10"/>
      <c r="DO259" s="10"/>
      <c r="DP259" s="10"/>
      <c r="DQ259" s="10"/>
      <c r="DR259" s="10"/>
    </row>
    <row r="260" spans="1:122" x14ac:dyDescent="0.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0"/>
      <c r="BC260" s="10"/>
      <c r="BD260" s="10"/>
      <c r="BE260" s="10"/>
      <c r="BF260" s="10"/>
      <c r="BG260" s="10"/>
      <c r="BH260" s="10"/>
      <c r="BI260" s="10"/>
      <c r="BJ260" s="10"/>
      <c r="BK260" s="10"/>
      <c r="BL260" s="10"/>
      <c r="BM260" s="10"/>
      <c r="BN260" s="10"/>
      <c r="BO260" s="10"/>
      <c r="BP260" s="10"/>
      <c r="BQ260" s="10"/>
      <c r="BR260" s="10"/>
      <c r="BS260" s="10"/>
      <c r="BT260" s="10"/>
      <c r="BU260" s="10"/>
      <c r="BV260" s="10"/>
      <c r="BW260" s="10"/>
      <c r="BX260" s="10"/>
      <c r="BY260" s="10"/>
      <c r="BZ260" s="10"/>
      <c r="CA260" s="10"/>
      <c r="CB260" s="10"/>
      <c r="CC260" s="10"/>
      <c r="CD260" s="10"/>
      <c r="CE260" s="10"/>
      <c r="CF260" s="10"/>
      <c r="CG260" s="10"/>
      <c r="CH260" s="10"/>
      <c r="CI260" s="10"/>
      <c r="CJ260" s="10"/>
      <c r="CK260" s="10"/>
      <c r="CL260" s="10"/>
      <c r="CM260" s="10"/>
      <c r="CN260" s="10"/>
      <c r="CO260" s="10"/>
      <c r="CP260" s="10"/>
      <c r="CQ260" s="10"/>
      <c r="CR260" s="10"/>
      <c r="CS260" s="10"/>
      <c r="CT260" s="10"/>
      <c r="CU260" s="10"/>
      <c r="CV260" s="10"/>
      <c r="CW260" s="10"/>
      <c r="CX260" s="10"/>
      <c r="CY260" s="10"/>
      <c r="CZ260" s="10"/>
      <c r="DA260" s="10"/>
      <c r="DB260" s="10"/>
      <c r="DC260" s="10"/>
      <c r="DD260" s="10"/>
      <c r="DE260" s="10"/>
      <c r="DF260" s="10"/>
      <c r="DG260" s="10"/>
      <c r="DH260" s="10"/>
      <c r="DI260" s="10"/>
      <c r="DJ260" s="10"/>
      <c r="DK260" s="10"/>
      <c r="DL260" s="10"/>
      <c r="DM260" s="10"/>
      <c r="DN260" s="10"/>
      <c r="DO260" s="10"/>
      <c r="DP260" s="10"/>
      <c r="DQ260" s="10"/>
      <c r="DR260" s="10"/>
    </row>
    <row r="261" spans="1:122" x14ac:dyDescent="0.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0"/>
      <c r="BC261" s="10"/>
      <c r="BD261" s="10"/>
      <c r="BE261" s="10"/>
      <c r="BF261" s="10"/>
      <c r="BG261" s="10"/>
      <c r="BH261" s="10"/>
      <c r="BI261" s="10"/>
      <c r="BJ261" s="10"/>
      <c r="BK261" s="10"/>
      <c r="BL261" s="10"/>
      <c r="BM261" s="10"/>
      <c r="BN261" s="10"/>
      <c r="BO261" s="10"/>
      <c r="BP261" s="10"/>
      <c r="BQ261" s="10"/>
      <c r="BR261" s="10"/>
      <c r="BS261" s="10"/>
      <c r="BT261" s="10"/>
      <c r="BU261" s="10"/>
      <c r="BV261" s="10"/>
      <c r="BW261" s="10"/>
      <c r="BX261" s="10"/>
      <c r="BY261" s="10"/>
      <c r="BZ261" s="10"/>
      <c r="CA261" s="10"/>
      <c r="CB261" s="10"/>
      <c r="CC261" s="10"/>
      <c r="CD261" s="10"/>
      <c r="CE261" s="10"/>
      <c r="CF261" s="10"/>
      <c r="CG261" s="10"/>
      <c r="CH261" s="10"/>
      <c r="CI261" s="10"/>
      <c r="CJ261" s="10"/>
      <c r="CK261" s="10"/>
      <c r="CL261" s="10"/>
      <c r="CM261" s="10"/>
      <c r="CN261" s="10"/>
      <c r="CO261" s="10"/>
      <c r="CP261" s="10"/>
      <c r="CQ261" s="10"/>
      <c r="CR261" s="10"/>
      <c r="CS261" s="10"/>
      <c r="CT261" s="10"/>
      <c r="CU261" s="10"/>
      <c r="CV261" s="10"/>
      <c r="CW261" s="10"/>
      <c r="CX261" s="10"/>
      <c r="CY261" s="10"/>
      <c r="CZ261" s="10"/>
      <c r="DA261" s="10"/>
      <c r="DB261" s="10"/>
      <c r="DC261" s="10"/>
      <c r="DD261" s="10"/>
      <c r="DE261" s="10"/>
      <c r="DF261" s="10"/>
      <c r="DG261" s="10"/>
      <c r="DH261" s="10"/>
      <c r="DI261" s="10"/>
      <c r="DJ261" s="10"/>
      <c r="DK261" s="10"/>
      <c r="DL261" s="10"/>
      <c r="DM261" s="10"/>
      <c r="DN261" s="10"/>
      <c r="DO261" s="10"/>
      <c r="DP261" s="10"/>
      <c r="DQ261" s="10"/>
      <c r="DR261" s="10"/>
    </row>
    <row r="262" spans="1:122" x14ac:dyDescent="0.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0"/>
      <c r="BC262" s="10"/>
      <c r="BD262" s="10"/>
      <c r="BE262" s="10"/>
      <c r="BF262" s="10"/>
      <c r="BG262" s="10"/>
      <c r="BH262" s="10"/>
      <c r="BI262" s="10"/>
      <c r="BJ262" s="10"/>
      <c r="BK262" s="10"/>
      <c r="BL262" s="10"/>
      <c r="BM262" s="10"/>
      <c r="BN262" s="10"/>
      <c r="BO262" s="10"/>
      <c r="BP262" s="10"/>
      <c r="BQ262" s="10"/>
      <c r="BR262" s="10"/>
      <c r="BS262" s="10"/>
      <c r="BT262" s="10"/>
      <c r="BU262" s="10"/>
      <c r="BV262" s="10"/>
      <c r="BW262" s="10"/>
      <c r="BX262" s="10"/>
      <c r="BY262" s="10"/>
      <c r="BZ262" s="10"/>
      <c r="CA262" s="10"/>
      <c r="CB262" s="10"/>
      <c r="CC262" s="10"/>
      <c r="CD262" s="10"/>
      <c r="CE262" s="10"/>
      <c r="CF262" s="10"/>
      <c r="CG262" s="10"/>
      <c r="CH262" s="10"/>
      <c r="CI262" s="10"/>
      <c r="CJ262" s="10"/>
      <c r="CK262" s="10"/>
      <c r="CL262" s="10"/>
      <c r="CM262" s="10"/>
      <c r="CN262" s="10"/>
      <c r="CO262" s="10"/>
      <c r="CP262" s="10"/>
      <c r="CQ262" s="10"/>
      <c r="CR262" s="10"/>
      <c r="CS262" s="10"/>
      <c r="CT262" s="10"/>
      <c r="CU262" s="10"/>
      <c r="CV262" s="10"/>
      <c r="CW262" s="10"/>
      <c r="CX262" s="10"/>
      <c r="CY262" s="10"/>
      <c r="CZ262" s="10"/>
      <c r="DA262" s="10"/>
      <c r="DB262" s="10"/>
      <c r="DC262" s="10"/>
      <c r="DD262" s="10"/>
      <c r="DE262" s="10"/>
      <c r="DF262" s="10"/>
      <c r="DG262" s="10"/>
      <c r="DH262" s="10"/>
      <c r="DI262" s="10"/>
      <c r="DJ262" s="10"/>
      <c r="DK262" s="10"/>
      <c r="DL262" s="10"/>
      <c r="DM262" s="10"/>
      <c r="DN262" s="10"/>
      <c r="DO262" s="10"/>
      <c r="DP262" s="10"/>
      <c r="DQ262" s="10"/>
      <c r="DR262" s="10"/>
    </row>
    <row r="263" spans="1:122" x14ac:dyDescent="0.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0"/>
      <c r="BC263" s="10"/>
      <c r="BD263" s="10"/>
      <c r="BE263" s="10"/>
      <c r="BF263" s="10"/>
      <c r="BG263" s="10"/>
      <c r="BH263" s="10"/>
      <c r="BI263" s="10"/>
      <c r="BJ263" s="10"/>
      <c r="BK263" s="10"/>
      <c r="BL263" s="10"/>
      <c r="BM263" s="10"/>
      <c r="BN263" s="10"/>
      <c r="BO263" s="10"/>
      <c r="BP263" s="10"/>
      <c r="BQ263" s="10"/>
      <c r="BR263" s="10"/>
      <c r="BS263" s="10"/>
      <c r="BT263" s="10"/>
      <c r="BU263" s="10"/>
      <c r="BV263" s="10"/>
      <c r="BW263" s="10"/>
      <c r="BX263" s="10"/>
      <c r="BY263" s="10"/>
      <c r="BZ263" s="10"/>
      <c r="CA263" s="10"/>
      <c r="CB263" s="10"/>
      <c r="CC263" s="10"/>
      <c r="CD263" s="10"/>
      <c r="CE263" s="10"/>
      <c r="CF263" s="10"/>
      <c r="CG263" s="10"/>
      <c r="CH263" s="10"/>
      <c r="CI263" s="10"/>
      <c r="CJ263" s="10"/>
      <c r="CK263" s="10"/>
      <c r="CL263" s="10"/>
      <c r="CM263" s="10"/>
      <c r="CN263" s="10"/>
      <c r="CO263" s="10"/>
      <c r="CP263" s="10"/>
      <c r="CQ263" s="10"/>
      <c r="CR263" s="10"/>
      <c r="CS263" s="10"/>
      <c r="CT263" s="10"/>
      <c r="CU263" s="10"/>
      <c r="CV263" s="10"/>
      <c r="CW263" s="10"/>
      <c r="CX263" s="10"/>
      <c r="CY263" s="10"/>
      <c r="CZ263" s="10"/>
      <c r="DA263" s="10"/>
      <c r="DB263" s="10"/>
      <c r="DC263" s="10"/>
      <c r="DD263" s="10"/>
      <c r="DE263" s="10"/>
      <c r="DF263" s="10"/>
      <c r="DG263" s="10"/>
      <c r="DH263" s="10"/>
      <c r="DI263" s="10"/>
      <c r="DJ263" s="10"/>
      <c r="DK263" s="10"/>
      <c r="DL263" s="10"/>
      <c r="DM263" s="10"/>
      <c r="DN263" s="10"/>
      <c r="DO263" s="10"/>
      <c r="DP263" s="10"/>
      <c r="DQ263" s="10"/>
      <c r="DR263" s="10"/>
    </row>
    <row r="264" spans="1:122" x14ac:dyDescent="0.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0"/>
      <c r="BC264" s="10"/>
      <c r="BD264" s="10"/>
      <c r="BE264" s="10"/>
      <c r="BF264" s="10"/>
      <c r="BG264" s="10"/>
      <c r="BH264" s="10"/>
      <c r="BI264" s="10"/>
      <c r="BJ264" s="10"/>
      <c r="BK264" s="10"/>
      <c r="BL264" s="10"/>
      <c r="BM264" s="10"/>
      <c r="BN264" s="10"/>
      <c r="BO264" s="10"/>
      <c r="BP264" s="10"/>
      <c r="BQ264" s="10"/>
      <c r="BR264" s="10"/>
      <c r="BS264" s="10"/>
      <c r="BT264" s="10"/>
      <c r="BU264" s="10"/>
      <c r="BV264" s="10"/>
      <c r="BW264" s="10"/>
      <c r="BX264" s="10"/>
      <c r="BY264" s="10"/>
      <c r="BZ264" s="10"/>
      <c r="CA264" s="10"/>
      <c r="CB264" s="10"/>
      <c r="CC264" s="10"/>
      <c r="CD264" s="10"/>
      <c r="CE264" s="10"/>
      <c r="CF264" s="10"/>
      <c r="CG264" s="10"/>
      <c r="CH264" s="10"/>
      <c r="CI264" s="10"/>
      <c r="CJ264" s="10"/>
      <c r="CK264" s="10"/>
      <c r="CL264" s="10"/>
      <c r="CM264" s="10"/>
      <c r="CN264" s="10"/>
      <c r="CO264" s="10"/>
      <c r="CP264" s="10"/>
      <c r="CQ264" s="10"/>
      <c r="CR264" s="10"/>
      <c r="CS264" s="10"/>
      <c r="CT264" s="10"/>
      <c r="CU264" s="10"/>
      <c r="CV264" s="10"/>
      <c r="CW264" s="10"/>
      <c r="CX264" s="10"/>
      <c r="CY264" s="10"/>
      <c r="CZ264" s="10"/>
      <c r="DA264" s="10"/>
      <c r="DB264" s="10"/>
      <c r="DC264" s="10"/>
      <c r="DD264" s="10"/>
      <c r="DE264" s="10"/>
      <c r="DF264" s="10"/>
      <c r="DG264" s="10"/>
      <c r="DH264" s="10"/>
      <c r="DI264" s="10"/>
      <c r="DJ264" s="10"/>
      <c r="DK264" s="10"/>
      <c r="DL264" s="10"/>
      <c r="DM264" s="10"/>
      <c r="DN264" s="10"/>
      <c r="DO264" s="10"/>
      <c r="DP264" s="10"/>
      <c r="DQ264" s="10"/>
      <c r="DR264" s="10"/>
    </row>
    <row r="265" spans="1:122" x14ac:dyDescent="0.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0"/>
      <c r="BC265" s="10"/>
      <c r="BD265" s="10"/>
      <c r="BE265" s="10"/>
      <c r="BF265" s="10"/>
      <c r="BG265" s="10"/>
      <c r="BH265" s="10"/>
      <c r="BI265" s="10"/>
      <c r="BJ265" s="10"/>
      <c r="BK265" s="10"/>
      <c r="BL265" s="10"/>
      <c r="BM265" s="10"/>
      <c r="BN265" s="10"/>
      <c r="BO265" s="10"/>
      <c r="BP265" s="10"/>
      <c r="BQ265" s="10"/>
      <c r="BR265" s="10"/>
      <c r="BS265" s="10"/>
      <c r="BT265" s="10"/>
      <c r="BU265" s="10"/>
      <c r="BV265" s="10"/>
      <c r="BW265" s="10"/>
      <c r="BX265" s="10"/>
      <c r="BY265" s="10"/>
      <c r="BZ265" s="10"/>
      <c r="CA265" s="10"/>
      <c r="CB265" s="10"/>
      <c r="CC265" s="10"/>
      <c r="CD265" s="10"/>
      <c r="CE265" s="10"/>
      <c r="CF265" s="10"/>
      <c r="CG265" s="10"/>
      <c r="CH265" s="10"/>
      <c r="CI265" s="10"/>
      <c r="CJ265" s="10"/>
      <c r="CK265" s="10"/>
      <c r="CL265" s="10"/>
      <c r="CM265" s="10"/>
      <c r="CN265" s="10"/>
      <c r="CO265" s="10"/>
      <c r="CP265" s="10"/>
      <c r="CQ265" s="10"/>
      <c r="CR265" s="10"/>
      <c r="CS265" s="10"/>
      <c r="CT265" s="10"/>
      <c r="CU265" s="10"/>
      <c r="CV265" s="10"/>
      <c r="CW265" s="10"/>
      <c r="CX265" s="10"/>
      <c r="CY265" s="10"/>
      <c r="CZ265" s="10"/>
      <c r="DA265" s="10"/>
      <c r="DB265" s="10"/>
      <c r="DC265" s="10"/>
      <c r="DD265" s="10"/>
      <c r="DE265" s="10"/>
      <c r="DF265" s="10"/>
      <c r="DG265" s="10"/>
      <c r="DH265" s="10"/>
      <c r="DI265" s="10"/>
      <c r="DJ265" s="10"/>
      <c r="DK265" s="10"/>
      <c r="DL265" s="10"/>
      <c r="DM265" s="10"/>
      <c r="DN265" s="10"/>
      <c r="DO265" s="10"/>
      <c r="DP265" s="10"/>
      <c r="DQ265" s="10"/>
      <c r="DR265" s="10"/>
    </row>
    <row r="266" spans="1:122" x14ac:dyDescent="0.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0"/>
      <c r="BC266" s="10"/>
      <c r="BD266" s="10"/>
      <c r="BE266" s="10"/>
      <c r="BF266" s="10"/>
      <c r="BG266" s="10"/>
      <c r="BH266" s="10"/>
      <c r="BI266" s="10"/>
      <c r="BJ266" s="10"/>
      <c r="BK266" s="10"/>
      <c r="BL266" s="10"/>
      <c r="BM266" s="10"/>
      <c r="BN266" s="10"/>
      <c r="BO266" s="10"/>
      <c r="BP266" s="10"/>
      <c r="BQ266" s="10"/>
      <c r="BR266" s="10"/>
      <c r="BS266" s="10"/>
      <c r="BT266" s="10"/>
      <c r="BU266" s="10"/>
      <c r="BV266" s="10"/>
      <c r="BW266" s="10"/>
      <c r="BX266" s="10"/>
      <c r="BY266" s="10"/>
      <c r="BZ266" s="10"/>
      <c r="CA266" s="10"/>
      <c r="CB266" s="10"/>
      <c r="CC266" s="10"/>
      <c r="CD266" s="10"/>
      <c r="CE266" s="10"/>
      <c r="CF266" s="10"/>
      <c r="CG266" s="10"/>
      <c r="CH266" s="10"/>
      <c r="CI266" s="10"/>
      <c r="CJ266" s="10"/>
      <c r="CK266" s="10"/>
      <c r="CL266" s="10"/>
      <c r="CM266" s="10"/>
      <c r="CN266" s="10"/>
      <c r="CO266" s="10"/>
      <c r="CP266" s="10"/>
      <c r="CQ266" s="10"/>
      <c r="CR266" s="10"/>
      <c r="CS266" s="10"/>
      <c r="CT266" s="10"/>
      <c r="CU266" s="10"/>
      <c r="CV266" s="10"/>
      <c r="CW266" s="10"/>
      <c r="CX266" s="10"/>
      <c r="CY266" s="10"/>
      <c r="CZ266" s="10"/>
      <c r="DA266" s="10"/>
      <c r="DB266" s="10"/>
      <c r="DC266" s="10"/>
      <c r="DD266" s="10"/>
      <c r="DE266" s="10"/>
      <c r="DF266" s="10"/>
      <c r="DG266" s="10"/>
      <c r="DH266" s="10"/>
      <c r="DI266" s="10"/>
      <c r="DJ266" s="10"/>
      <c r="DK266" s="10"/>
      <c r="DL266" s="10"/>
      <c r="DM266" s="10"/>
      <c r="DN266" s="10"/>
      <c r="DO266" s="10"/>
      <c r="DP266" s="10"/>
      <c r="DQ266" s="10"/>
      <c r="DR266" s="10"/>
    </row>
    <row r="267" spans="1:122" x14ac:dyDescent="0.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0"/>
      <c r="BC267" s="10"/>
      <c r="BD267" s="10"/>
      <c r="BE267" s="10"/>
      <c r="BF267" s="10"/>
      <c r="BG267" s="10"/>
      <c r="BH267" s="10"/>
      <c r="BI267" s="10"/>
      <c r="BJ267" s="10"/>
      <c r="BK267" s="10"/>
      <c r="BL267" s="10"/>
      <c r="BM267" s="10"/>
      <c r="BN267" s="10"/>
      <c r="BO267" s="10"/>
      <c r="BP267" s="10"/>
      <c r="BQ267" s="10"/>
      <c r="BR267" s="10"/>
      <c r="BS267" s="10"/>
      <c r="BT267" s="10"/>
      <c r="BU267" s="10"/>
      <c r="BV267" s="10"/>
      <c r="BW267" s="10"/>
      <c r="BX267" s="10"/>
      <c r="BY267" s="10"/>
      <c r="BZ267" s="10"/>
      <c r="CA267" s="10"/>
      <c r="CB267" s="10"/>
      <c r="CC267" s="10"/>
      <c r="CD267" s="10"/>
      <c r="CE267" s="10"/>
      <c r="CF267" s="10"/>
      <c r="CG267" s="10"/>
      <c r="CH267" s="10"/>
      <c r="CI267" s="10"/>
      <c r="CJ267" s="10"/>
      <c r="CK267" s="10"/>
      <c r="CL267" s="10"/>
      <c r="CM267" s="10"/>
      <c r="CN267" s="10"/>
      <c r="CO267" s="10"/>
      <c r="CP267" s="10"/>
      <c r="CQ267" s="10"/>
      <c r="CR267" s="10"/>
      <c r="CS267" s="10"/>
      <c r="CT267" s="10"/>
      <c r="CU267" s="10"/>
      <c r="CV267" s="10"/>
      <c r="CW267" s="10"/>
      <c r="CX267" s="10"/>
      <c r="CY267" s="10"/>
      <c r="CZ267" s="10"/>
      <c r="DA267" s="10"/>
      <c r="DB267" s="10"/>
      <c r="DC267" s="10"/>
      <c r="DD267" s="10"/>
      <c r="DE267" s="10"/>
      <c r="DF267" s="10"/>
      <c r="DG267" s="10"/>
      <c r="DH267" s="10"/>
      <c r="DI267" s="10"/>
      <c r="DJ267" s="10"/>
      <c r="DK267" s="10"/>
      <c r="DL267" s="10"/>
      <c r="DM267" s="10"/>
      <c r="DN267" s="10"/>
      <c r="DO267" s="10"/>
      <c r="DP267" s="10"/>
      <c r="DQ267" s="10"/>
      <c r="DR267" s="10"/>
    </row>
    <row r="268" spans="1:122" x14ac:dyDescent="0.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0"/>
      <c r="BC268" s="10"/>
      <c r="BD268" s="10"/>
      <c r="BE268" s="10"/>
      <c r="BF268" s="10"/>
      <c r="BG268" s="10"/>
      <c r="BH268" s="10"/>
      <c r="BI268" s="10"/>
      <c r="BJ268" s="10"/>
      <c r="BK268" s="10"/>
      <c r="BL268" s="10"/>
      <c r="BM268" s="10"/>
      <c r="BN268" s="10"/>
      <c r="BO268" s="10"/>
      <c r="BP268" s="10"/>
      <c r="BQ268" s="10"/>
      <c r="BR268" s="10"/>
      <c r="BS268" s="10"/>
      <c r="BT268" s="10"/>
      <c r="BU268" s="10"/>
      <c r="BV268" s="10"/>
      <c r="BW268" s="10"/>
      <c r="BX268" s="10"/>
      <c r="BY268" s="10"/>
      <c r="BZ268" s="10"/>
      <c r="CA268" s="10"/>
      <c r="CB268" s="10"/>
      <c r="CC268" s="10"/>
      <c r="CD268" s="10"/>
      <c r="CE268" s="10"/>
      <c r="CF268" s="10"/>
      <c r="CG268" s="10"/>
      <c r="CH268" s="10"/>
      <c r="CI268" s="10"/>
      <c r="CJ268" s="10"/>
      <c r="CK268" s="10"/>
      <c r="CL268" s="10"/>
      <c r="CM268" s="10"/>
      <c r="CN268" s="10"/>
      <c r="CO268" s="10"/>
      <c r="CP268" s="10"/>
      <c r="CQ268" s="10"/>
      <c r="CR268" s="10"/>
      <c r="CS268" s="10"/>
      <c r="CT268" s="10"/>
      <c r="CU268" s="10"/>
      <c r="CV268" s="10"/>
      <c r="CW268" s="10"/>
      <c r="CX268" s="10"/>
      <c r="CY268" s="10"/>
      <c r="CZ268" s="10"/>
      <c r="DA268" s="10"/>
      <c r="DB268" s="10"/>
      <c r="DC268" s="10"/>
      <c r="DD268" s="10"/>
      <c r="DE268" s="10"/>
      <c r="DF268" s="10"/>
      <c r="DG268" s="10"/>
      <c r="DH268" s="10"/>
      <c r="DI268" s="10"/>
      <c r="DJ268" s="10"/>
      <c r="DK268" s="10"/>
      <c r="DL268" s="10"/>
      <c r="DM268" s="10"/>
      <c r="DN268" s="10"/>
      <c r="DO268" s="10"/>
      <c r="DP268" s="10"/>
      <c r="DQ268" s="10"/>
      <c r="DR268" s="10"/>
    </row>
    <row r="269" spans="1:122" x14ac:dyDescent="0.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0"/>
      <c r="BC269" s="10"/>
      <c r="BD269" s="10"/>
      <c r="BE269" s="10"/>
      <c r="BF269" s="10"/>
      <c r="BG269" s="10"/>
      <c r="BH269" s="10"/>
      <c r="BI269" s="10"/>
      <c r="BJ269" s="10"/>
      <c r="BK269" s="10"/>
      <c r="BL269" s="10"/>
      <c r="BM269" s="10"/>
      <c r="BN269" s="10"/>
      <c r="BO269" s="10"/>
      <c r="BP269" s="10"/>
      <c r="BQ269" s="10"/>
      <c r="BR269" s="10"/>
      <c r="BS269" s="10"/>
      <c r="BT269" s="10"/>
      <c r="BU269" s="10"/>
      <c r="BV269" s="10"/>
      <c r="BW269" s="10"/>
      <c r="BX269" s="10"/>
      <c r="BY269" s="10"/>
      <c r="BZ269" s="10"/>
      <c r="CA269" s="10"/>
      <c r="CB269" s="10"/>
      <c r="CC269" s="10"/>
      <c r="CD269" s="10"/>
      <c r="CE269" s="10"/>
      <c r="CF269" s="10"/>
      <c r="CG269" s="10"/>
      <c r="CH269" s="10"/>
      <c r="CI269" s="10"/>
      <c r="CJ269" s="10"/>
      <c r="CK269" s="10"/>
      <c r="CL269" s="10"/>
      <c r="CM269" s="10"/>
      <c r="CN269" s="10"/>
      <c r="CO269" s="10"/>
      <c r="CP269" s="10"/>
      <c r="CQ269" s="10"/>
      <c r="CR269" s="10"/>
      <c r="CS269" s="10"/>
      <c r="CT269" s="10"/>
      <c r="CU269" s="10"/>
      <c r="CV269" s="10"/>
      <c r="CW269" s="10"/>
      <c r="CX269" s="10"/>
      <c r="CY269" s="10"/>
      <c r="CZ269" s="10"/>
      <c r="DA269" s="10"/>
      <c r="DB269" s="10"/>
      <c r="DC269" s="10"/>
      <c r="DD269" s="10"/>
      <c r="DE269" s="10"/>
      <c r="DF269" s="10"/>
      <c r="DG269" s="10"/>
      <c r="DH269" s="10"/>
      <c r="DI269" s="10"/>
      <c r="DJ269" s="10"/>
      <c r="DK269" s="10"/>
      <c r="DL269" s="10"/>
      <c r="DM269" s="10"/>
      <c r="DN269" s="10"/>
      <c r="DO269" s="10"/>
      <c r="DP269" s="10"/>
      <c r="DQ269" s="10"/>
      <c r="DR269" s="10"/>
    </row>
    <row r="270" spans="1:122" x14ac:dyDescent="0.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0"/>
      <c r="BC270" s="10"/>
      <c r="BD270" s="10"/>
      <c r="BE270" s="10"/>
      <c r="BF270" s="10"/>
      <c r="BG270" s="10"/>
      <c r="BH270" s="10"/>
      <c r="BI270" s="10"/>
      <c r="BJ270" s="10"/>
      <c r="BK270" s="10"/>
      <c r="BL270" s="10"/>
      <c r="BM270" s="10"/>
      <c r="BN270" s="10"/>
      <c r="BO270" s="10"/>
      <c r="BP270" s="10"/>
      <c r="BQ270" s="10"/>
      <c r="BR270" s="10"/>
      <c r="BS270" s="10"/>
      <c r="BT270" s="10"/>
      <c r="BU270" s="10"/>
      <c r="BV270" s="10"/>
      <c r="BW270" s="10"/>
      <c r="BX270" s="10"/>
      <c r="BY270" s="10"/>
      <c r="BZ270" s="10"/>
      <c r="CA270" s="10"/>
      <c r="CB270" s="10"/>
      <c r="CC270" s="10"/>
      <c r="CD270" s="10"/>
      <c r="CE270" s="10"/>
      <c r="CF270" s="10"/>
      <c r="CG270" s="10"/>
      <c r="CH270" s="10"/>
      <c r="CI270" s="10"/>
      <c r="CJ270" s="10"/>
      <c r="CK270" s="10"/>
      <c r="CL270" s="10"/>
      <c r="CM270" s="10"/>
      <c r="CN270" s="10"/>
      <c r="CO270" s="10"/>
      <c r="CP270" s="10"/>
      <c r="CQ270" s="10"/>
      <c r="CR270" s="10"/>
      <c r="CS270" s="10"/>
      <c r="CT270" s="10"/>
      <c r="CU270" s="10"/>
      <c r="CV270" s="10"/>
      <c r="CW270" s="10"/>
      <c r="CX270" s="10"/>
      <c r="CY270" s="10"/>
      <c r="CZ270" s="10"/>
      <c r="DA270" s="10"/>
      <c r="DB270" s="10"/>
      <c r="DC270" s="10"/>
      <c r="DD270" s="10"/>
      <c r="DE270" s="10"/>
      <c r="DF270" s="10"/>
      <c r="DG270" s="10"/>
      <c r="DH270" s="10"/>
      <c r="DI270" s="10"/>
      <c r="DJ270" s="10"/>
      <c r="DK270" s="10"/>
      <c r="DL270" s="10"/>
      <c r="DM270" s="10"/>
      <c r="DN270" s="10"/>
      <c r="DO270" s="10"/>
      <c r="DP270" s="10"/>
      <c r="DQ270" s="10"/>
      <c r="DR270" s="10"/>
    </row>
    <row r="271" spans="1:122" x14ac:dyDescent="0.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0"/>
      <c r="BC271" s="10"/>
      <c r="BD271" s="10"/>
      <c r="BE271" s="10"/>
      <c r="BF271" s="10"/>
      <c r="BG271" s="10"/>
      <c r="BH271" s="10"/>
      <c r="BI271" s="10"/>
      <c r="BJ271" s="10"/>
      <c r="BK271" s="10"/>
      <c r="BL271" s="10"/>
      <c r="BM271" s="10"/>
      <c r="BN271" s="10"/>
      <c r="BO271" s="10"/>
      <c r="BP271" s="10"/>
      <c r="BQ271" s="10"/>
      <c r="BR271" s="10"/>
      <c r="BS271" s="10"/>
      <c r="BT271" s="10"/>
      <c r="BU271" s="10"/>
      <c r="BV271" s="10"/>
      <c r="BW271" s="10"/>
      <c r="BX271" s="10"/>
      <c r="BY271" s="10"/>
      <c r="BZ271" s="10"/>
      <c r="CA271" s="10"/>
      <c r="CB271" s="10"/>
      <c r="CC271" s="10"/>
      <c r="CD271" s="10"/>
      <c r="CE271" s="10"/>
      <c r="CF271" s="10"/>
      <c r="CG271" s="10"/>
      <c r="CH271" s="10"/>
      <c r="CI271" s="10"/>
      <c r="CJ271" s="10"/>
      <c r="CK271" s="10"/>
      <c r="CL271" s="10"/>
      <c r="CM271" s="10"/>
      <c r="CN271" s="10"/>
      <c r="CO271" s="10"/>
      <c r="CP271" s="10"/>
      <c r="CQ271" s="10"/>
      <c r="CR271" s="10"/>
      <c r="CS271" s="10"/>
      <c r="CT271" s="10"/>
      <c r="CU271" s="10"/>
      <c r="CV271" s="10"/>
      <c r="CW271" s="10"/>
      <c r="CX271" s="10"/>
      <c r="CY271" s="10"/>
      <c r="CZ271" s="10"/>
      <c r="DA271" s="10"/>
      <c r="DB271" s="10"/>
      <c r="DC271" s="10"/>
      <c r="DD271" s="10"/>
      <c r="DE271" s="10"/>
      <c r="DF271" s="10"/>
      <c r="DG271" s="10"/>
      <c r="DH271" s="10"/>
      <c r="DI271" s="10"/>
      <c r="DJ271" s="10"/>
      <c r="DK271" s="10"/>
      <c r="DL271" s="10"/>
      <c r="DM271" s="10"/>
      <c r="DN271" s="10"/>
      <c r="DO271" s="10"/>
      <c r="DP271" s="10"/>
      <c r="DQ271" s="10"/>
      <c r="DR271" s="10"/>
    </row>
    <row r="272" spans="1:122" x14ac:dyDescent="0.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0"/>
      <c r="BC272" s="10"/>
      <c r="BD272" s="10"/>
      <c r="BE272" s="10"/>
      <c r="BF272" s="10"/>
      <c r="BG272" s="10"/>
      <c r="BH272" s="10"/>
      <c r="BI272" s="10"/>
      <c r="BJ272" s="10"/>
      <c r="BK272" s="10"/>
      <c r="BL272" s="10"/>
      <c r="BM272" s="10"/>
      <c r="BN272" s="10"/>
      <c r="BO272" s="10"/>
      <c r="BP272" s="10"/>
      <c r="BQ272" s="10"/>
      <c r="BR272" s="10"/>
      <c r="BS272" s="10"/>
      <c r="BT272" s="10"/>
      <c r="BU272" s="10"/>
      <c r="BV272" s="10"/>
      <c r="BW272" s="10"/>
      <c r="BX272" s="10"/>
      <c r="BY272" s="10"/>
      <c r="BZ272" s="10"/>
      <c r="CA272" s="10"/>
      <c r="CB272" s="10"/>
      <c r="CC272" s="10"/>
      <c r="CD272" s="10"/>
      <c r="CE272" s="10"/>
      <c r="CF272" s="10"/>
      <c r="CG272" s="10"/>
      <c r="CH272" s="10"/>
      <c r="CI272" s="10"/>
      <c r="CJ272" s="10"/>
      <c r="CK272" s="10"/>
      <c r="CL272" s="10"/>
      <c r="CM272" s="10"/>
      <c r="CN272" s="10"/>
      <c r="CO272" s="10"/>
      <c r="CP272" s="10"/>
      <c r="CQ272" s="10"/>
      <c r="CR272" s="10"/>
      <c r="CS272" s="10"/>
      <c r="CT272" s="10"/>
      <c r="CU272" s="10"/>
      <c r="CV272" s="10"/>
      <c r="CW272" s="10"/>
      <c r="CX272" s="10"/>
      <c r="CY272" s="10"/>
      <c r="CZ272" s="10"/>
      <c r="DA272" s="10"/>
      <c r="DB272" s="10"/>
      <c r="DC272" s="10"/>
      <c r="DD272" s="10"/>
      <c r="DE272" s="10"/>
      <c r="DF272" s="10"/>
      <c r="DG272" s="10"/>
      <c r="DH272" s="10"/>
      <c r="DI272" s="10"/>
      <c r="DJ272" s="10"/>
      <c r="DK272" s="10"/>
      <c r="DL272" s="10"/>
      <c r="DM272" s="10"/>
      <c r="DN272" s="10"/>
      <c r="DO272" s="10"/>
      <c r="DP272" s="10"/>
      <c r="DQ272" s="10"/>
      <c r="DR272" s="10"/>
    </row>
    <row r="273" spans="1:122" x14ac:dyDescent="0.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0"/>
      <c r="BC273" s="10"/>
      <c r="BD273" s="10"/>
      <c r="BE273" s="10"/>
      <c r="BF273" s="10"/>
      <c r="BG273" s="10"/>
      <c r="BH273" s="10"/>
      <c r="BI273" s="10"/>
      <c r="BJ273" s="10"/>
      <c r="BK273" s="10"/>
      <c r="BL273" s="10"/>
      <c r="BM273" s="10"/>
      <c r="BN273" s="10"/>
      <c r="BO273" s="10"/>
      <c r="BP273" s="10"/>
      <c r="BQ273" s="10"/>
      <c r="BR273" s="10"/>
      <c r="BS273" s="10"/>
      <c r="BT273" s="10"/>
      <c r="BU273" s="10"/>
      <c r="BV273" s="10"/>
      <c r="BW273" s="10"/>
      <c r="BX273" s="10"/>
      <c r="BY273" s="10"/>
      <c r="BZ273" s="10"/>
      <c r="CA273" s="10"/>
      <c r="CB273" s="10"/>
      <c r="CC273" s="10"/>
      <c r="CD273" s="10"/>
      <c r="CE273" s="10"/>
      <c r="CF273" s="10"/>
      <c r="CG273" s="10"/>
      <c r="CH273" s="10"/>
      <c r="CI273" s="10"/>
      <c r="CJ273" s="10"/>
      <c r="CK273" s="10"/>
      <c r="CL273" s="10"/>
      <c r="CM273" s="10"/>
      <c r="CN273" s="10"/>
      <c r="CO273" s="10"/>
      <c r="CP273" s="10"/>
      <c r="CQ273" s="10"/>
      <c r="CR273" s="10"/>
      <c r="CS273" s="10"/>
      <c r="CT273" s="10"/>
      <c r="CU273" s="10"/>
      <c r="CV273" s="10"/>
      <c r="CW273" s="10"/>
      <c r="CX273" s="10"/>
      <c r="CY273" s="10"/>
      <c r="CZ273" s="10"/>
      <c r="DA273" s="10"/>
      <c r="DB273" s="10"/>
      <c r="DC273" s="10"/>
      <c r="DD273" s="10"/>
      <c r="DE273" s="10"/>
      <c r="DF273" s="10"/>
      <c r="DG273" s="10"/>
      <c r="DH273" s="10"/>
      <c r="DI273" s="10"/>
      <c r="DJ273" s="10"/>
      <c r="DK273" s="10"/>
      <c r="DL273" s="10"/>
      <c r="DM273" s="10"/>
      <c r="DN273" s="10"/>
      <c r="DO273" s="10"/>
      <c r="DP273" s="10"/>
      <c r="DQ273" s="10"/>
      <c r="DR273" s="10"/>
    </row>
    <row r="274" spans="1:122" x14ac:dyDescent="0.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0"/>
      <c r="BC274" s="10"/>
      <c r="BD274" s="10"/>
      <c r="BE274" s="10"/>
      <c r="BF274" s="10"/>
      <c r="BG274" s="10"/>
      <c r="BH274" s="10"/>
      <c r="BI274" s="10"/>
      <c r="BJ274" s="10"/>
      <c r="BK274" s="10"/>
      <c r="BL274" s="10"/>
      <c r="BM274" s="10"/>
      <c r="BN274" s="10"/>
      <c r="BO274" s="10"/>
      <c r="BP274" s="10"/>
      <c r="BQ274" s="10"/>
      <c r="BR274" s="10"/>
      <c r="BS274" s="10"/>
      <c r="BT274" s="10"/>
      <c r="BU274" s="10"/>
      <c r="BV274" s="10"/>
      <c r="BW274" s="10"/>
      <c r="BX274" s="10"/>
      <c r="BY274" s="10"/>
      <c r="BZ274" s="10"/>
      <c r="CA274" s="10"/>
      <c r="CB274" s="10"/>
      <c r="CC274" s="10"/>
      <c r="CD274" s="10"/>
      <c r="CE274" s="10"/>
      <c r="CF274" s="10"/>
      <c r="CG274" s="10"/>
      <c r="CH274" s="10"/>
      <c r="CI274" s="10"/>
      <c r="CJ274" s="10"/>
      <c r="CK274" s="10"/>
      <c r="CL274" s="10"/>
      <c r="CM274" s="10"/>
      <c r="CN274" s="10"/>
      <c r="CO274" s="10"/>
      <c r="CP274" s="10"/>
      <c r="CQ274" s="10"/>
      <c r="CR274" s="10"/>
      <c r="CS274" s="10"/>
      <c r="CT274" s="10"/>
      <c r="CU274" s="10"/>
      <c r="CV274" s="10"/>
      <c r="CW274" s="10"/>
      <c r="CX274" s="10"/>
      <c r="CY274" s="10"/>
      <c r="CZ274" s="10"/>
      <c r="DA274" s="10"/>
      <c r="DB274" s="10"/>
      <c r="DC274" s="10"/>
      <c r="DD274" s="10"/>
      <c r="DE274" s="10"/>
      <c r="DF274" s="10"/>
      <c r="DG274" s="10"/>
      <c r="DH274" s="10"/>
      <c r="DI274" s="10"/>
      <c r="DJ274" s="10"/>
      <c r="DK274" s="10"/>
      <c r="DL274" s="10"/>
      <c r="DM274" s="10"/>
      <c r="DN274" s="10"/>
      <c r="DO274" s="10"/>
      <c r="DP274" s="10"/>
      <c r="DQ274" s="10"/>
      <c r="DR274" s="10"/>
    </row>
    <row r="275" spans="1:122" x14ac:dyDescent="0.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0"/>
      <c r="BC275" s="10"/>
      <c r="BD275" s="10"/>
      <c r="BE275" s="10"/>
      <c r="BF275" s="10"/>
      <c r="BG275" s="10"/>
      <c r="BH275" s="10"/>
      <c r="BI275" s="10"/>
      <c r="BJ275" s="10"/>
      <c r="BK275" s="10"/>
      <c r="BL275" s="10"/>
      <c r="BM275" s="10"/>
      <c r="BN275" s="10"/>
      <c r="BO275" s="10"/>
      <c r="BP275" s="10"/>
      <c r="BQ275" s="10"/>
      <c r="BR275" s="10"/>
      <c r="BS275" s="10"/>
      <c r="BT275" s="10"/>
      <c r="BU275" s="10"/>
      <c r="BV275" s="10"/>
      <c r="BW275" s="10"/>
      <c r="BX275" s="10"/>
      <c r="BY275" s="10"/>
      <c r="BZ275" s="10"/>
      <c r="CA275" s="10"/>
      <c r="CB275" s="10"/>
      <c r="CC275" s="10"/>
      <c r="CD275" s="10"/>
      <c r="CE275" s="10"/>
      <c r="CF275" s="10"/>
      <c r="CG275" s="10"/>
      <c r="CH275" s="10"/>
      <c r="CI275" s="10"/>
      <c r="CJ275" s="10"/>
      <c r="CK275" s="10"/>
      <c r="CL275" s="10"/>
      <c r="CM275" s="10"/>
      <c r="CN275" s="10"/>
      <c r="CO275" s="10"/>
      <c r="CP275" s="10"/>
      <c r="CQ275" s="10"/>
      <c r="CR275" s="10"/>
      <c r="CS275" s="10"/>
      <c r="CT275" s="10"/>
      <c r="CU275" s="10"/>
      <c r="CV275" s="10"/>
      <c r="CW275" s="10"/>
      <c r="CX275" s="10"/>
      <c r="CY275" s="10"/>
      <c r="CZ275" s="10"/>
      <c r="DA275" s="10"/>
      <c r="DB275" s="10"/>
      <c r="DC275" s="10"/>
      <c r="DD275" s="10"/>
      <c r="DE275" s="10"/>
      <c r="DF275" s="10"/>
      <c r="DG275" s="10"/>
      <c r="DH275" s="10"/>
      <c r="DI275" s="10"/>
      <c r="DJ275" s="10"/>
      <c r="DK275" s="10"/>
      <c r="DL275" s="10"/>
      <c r="DM275" s="10"/>
      <c r="DN275" s="10"/>
      <c r="DO275" s="10"/>
      <c r="DP275" s="10"/>
      <c r="DQ275" s="10"/>
      <c r="DR275" s="10"/>
    </row>
    <row r="276" spans="1:122" x14ac:dyDescent="0.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0"/>
      <c r="BC276" s="10"/>
      <c r="BD276" s="10"/>
      <c r="BE276" s="10"/>
      <c r="BF276" s="10"/>
      <c r="BG276" s="10"/>
      <c r="BH276" s="10"/>
      <c r="BI276" s="10"/>
      <c r="BJ276" s="10"/>
      <c r="BK276" s="10"/>
      <c r="BL276" s="10"/>
      <c r="BM276" s="10"/>
      <c r="BN276" s="10"/>
      <c r="BO276" s="10"/>
      <c r="BP276" s="10"/>
      <c r="BQ276" s="10"/>
      <c r="BR276" s="10"/>
      <c r="BS276" s="10"/>
      <c r="BT276" s="10"/>
      <c r="BU276" s="10"/>
      <c r="BV276" s="10"/>
      <c r="BW276" s="10"/>
      <c r="BX276" s="10"/>
      <c r="BY276" s="10"/>
      <c r="BZ276" s="10"/>
      <c r="CA276" s="10"/>
      <c r="CB276" s="10"/>
      <c r="CC276" s="10"/>
      <c r="CD276" s="10"/>
      <c r="CE276" s="10"/>
      <c r="CF276" s="10"/>
      <c r="CG276" s="10"/>
      <c r="CH276" s="10"/>
      <c r="CI276" s="10"/>
      <c r="CJ276" s="10"/>
      <c r="CK276" s="10"/>
      <c r="CL276" s="10"/>
      <c r="CM276" s="10"/>
      <c r="CN276" s="10"/>
      <c r="CO276" s="10"/>
      <c r="CP276" s="10"/>
      <c r="CQ276" s="10"/>
      <c r="CR276" s="10"/>
      <c r="CS276" s="10"/>
      <c r="CT276" s="10"/>
      <c r="CU276" s="10"/>
      <c r="CV276" s="10"/>
      <c r="CW276" s="10"/>
      <c r="CX276" s="10"/>
      <c r="CY276" s="10"/>
      <c r="CZ276" s="10"/>
      <c r="DA276" s="10"/>
      <c r="DB276" s="10"/>
      <c r="DC276" s="10"/>
      <c r="DD276" s="10"/>
      <c r="DE276" s="10"/>
      <c r="DF276" s="10"/>
      <c r="DG276" s="10"/>
      <c r="DH276" s="10"/>
      <c r="DI276" s="10"/>
      <c r="DJ276" s="10"/>
      <c r="DK276" s="10"/>
      <c r="DL276" s="10"/>
      <c r="DM276" s="10"/>
      <c r="DN276" s="10"/>
      <c r="DO276" s="10"/>
      <c r="DP276" s="10"/>
      <c r="DQ276" s="10"/>
      <c r="DR276" s="10"/>
    </row>
    <row r="277" spans="1:122" x14ac:dyDescent="0.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0"/>
      <c r="BC277" s="10"/>
      <c r="BD277" s="10"/>
      <c r="BE277" s="10"/>
      <c r="BF277" s="10"/>
      <c r="BG277" s="10"/>
      <c r="BH277" s="10"/>
      <c r="BI277" s="10"/>
      <c r="BJ277" s="10"/>
      <c r="BK277" s="10"/>
      <c r="BL277" s="10"/>
      <c r="BM277" s="10"/>
      <c r="BN277" s="10"/>
      <c r="BO277" s="10"/>
      <c r="BP277" s="10"/>
      <c r="BQ277" s="10"/>
      <c r="BR277" s="10"/>
      <c r="BS277" s="10"/>
      <c r="BT277" s="10"/>
      <c r="BU277" s="10"/>
      <c r="BV277" s="10"/>
      <c r="BW277" s="10"/>
      <c r="BX277" s="10"/>
      <c r="BY277" s="10"/>
      <c r="BZ277" s="10"/>
      <c r="CA277" s="10"/>
      <c r="CB277" s="10"/>
      <c r="CC277" s="10"/>
      <c r="CD277" s="10"/>
      <c r="CE277" s="10"/>
      <c r="CF277" s="10"/>
      <c r="CG277" s="10"/>
      <c r="CH277" s="10"/>
      <c r="CI277" s="10"/>
      <c r="CJ277" s="10"/>
      <c r="CK277" s="10"/>
      <c r="CL277" s="10"/>
      <c r="CM277" s="10"/>
      <c r="CN277" s="10"/>
      <c r="CO277" s="10"/>
      <c r="CP277" s="10"/>
      <c r="CQ277" s="10"/>
      <c r="CR277" s="10"/>
      <c r="CS277" s="10"/>
      <c r="CT277" s="10"/>
      <c r="CU277" s="10"/>
      <c r="CV277" s="10"/>
      <c r="CW277" s="10"/>
      <c r="CX277" s="10"/>
      <c r="CY277" s="10"/>
      <c r="CZ277" s="10"/>
      <c r="DA277" s="10"/>
      <c r="DB277" s="10"/>
      <c r="DC277" s="10"/>
      <c r="DD277" s="10"/>
      <c r="DE277" s="10"/>
      <c r="DF277" s="10"/>
      <c r="DG277" s="10"/>
      <c r="DH277" s="10"/>
      <c r="DI277" s="10"/>
      <c r="DJ277" s="10"/>
      <c r="DK277" s="10"/>
      <c r="DL277" s="10"/>
      <c r="DM277" s="10"/>
      <c r="DN277" s="10"/>
      <c r="DO277" s="10"/>
      <c r="DP277" s="10"/>
      <c r="DQ277" s="10"/>
      <c r="DR277" s="10"/>
    </row>
    <row r="278" spans="1:122" x14ac:dyDescent="0.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0"/>
      <c r="BC278" s="10"/>
      <c r="BD278" s="10"/>
      <c r="BE278" s="10"/>
      <c r="BF278" s="10"/>
      <c r="BG278" s="10"/>
      <c r="BH278" s="10"/>
      <c r="BI278" s="10"/>
      <c r="BJ278" s="10"/>
      <c r="BK278" s="10"/>
      <c r="BL278" s="10"/>
      <c r="BM278" s="10"/>
      <c r="BN278" s="10"/>
      <c r="BO278" s="10"/>
      <c r="BP278" s="10"/>
      <c r="BQ278" s="10"/>
      <c r="BR278" s="10"/>
      <c r="BS278" s="10"/>
      <c r="BT278" s="10"/>
      <c r="BU278" s="10"/>
      <c r="BV278" s="10"/>
      <c r="BW278" s="10"/>
      <c r="BX278" s="10"/>
      <c r="BY278" s="10"/>
      <c r="BZ278" s="10"/>
      <c r="CA278" s="10"/>
      <c r="CB278" s="10"/>
      <c r="CC278" s="10"/>
      <c r="CD278" s="10"/>
      <c r="CE278" s="10"/>
      <c r="CF278" s="10"/>
      <c r="CG278" s="10"/>
      <c r="CH278" s="10"/>
      <c r="CI278" s="10"/>
      <c r="CJ278" s="10"/>
      <c r="CK278" s="10"/>
      <c r="CL278" s="10"/>
      <c r="CM278" s="10"/>
      <c r="CN278" s="10"/>
      <c r="CO278" s="10"/>
      <c r="CP278" s="10"/>
      <c r="CQ278" s="10"/>
      <c r="CR278" s="10"/>
      <c r="CS278" s="10"/>
      <c r="CT278" s="10"/>
      <c r="CU278" s="10"/>
      <c r="CV278" s="10"/>
      <c r="CW278" s="10"/>
      <c r="CX278" s="10"/>
      <c r="CY278" s="10"/>
      <c r="CZ278" s="10"/>
      <c r="DA278" s="10"/>
      <c r="DB278" s="10"/>
      <c r="DC278" s="10"/>
      <c r="DD278" s="10"/>
      <c r="DE278" s="10"/>
      <c r="DF278" s="10"/>
      <c r="DG278" s="10"/>
      <c r="DH278" s="10"/>
      <c r="DI278" s="10"/>
      <c r="DJ278" s="10"/>
      <c r="DK278" s="10"/>
      <c r="DL278" s="10"/>
      <c r="DM278" s="10"/>
      <c r="DN278" s="10"/>
      <c r="DO278" s="10"/>
      <c r="DP278" s="10"/>
      <c r="DQ278" s="10"/>
      <c r="DR278" s="10"/>
    </row>
    <row r="279" spans="1:122" x14ac:dyDescent="0.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0"/>
      <c r="BC279" s="10"/>
      <c r="BD279" s="10"/>
      <c r="BE279" s="10"/>
      <c r="BF279" s="10"/>
      <c r="BG279" s="10"/>
      <c r="BH279" s="10"/>
      <c r="BI279" s="10"/>
      <c r="BJ279" s="10"/>
      <c r="BK279" s="10"/>
      <c r="BL279" s="10"/>
      <c r="BM279" s="10"/>
      <c r="BN279" s="10"/>
      <c r="BO279" s="10"/>
      <c r="BP279" s="10"/>
      <c r="BQ279" s="10"/>
      <c r="BR279" s="10"/>
      <c r="BS279" s="10"/>
      <c r="BT279" s="10"/>
      <c r="BU279" s="10"/>
      <c r="BV279" s="10"/>
      <c r="BW279" s="10"/>
      <c r="BX279" s="10"/>
      <c r="BY279" s="10"/>
      <c r="BZ279" s="10"/>
      <c r="CA279" s="10"/>
      <c r="CB279" s="10"/>
      <c r="CC279" s="10"/>
      <c r="CD279" s="10"/>
      <c r="CE279" s="10"/>
      <c r="CF279" s="10"/>
      <c r="CG279" s="10"/>
      <c r="CH279" s="10"/>
      <c r="CI279" s="10"/>
      <c r="CJ279" s="10"/>
      <c r="CK279" s="10"/>
      <c r="CL279" s="10"/>
      <c r="CM279" s="10"/>
      <c r="CN279" s="10"/>
      <c r="CO279" s="10"/>
      <c r="CP279" s="10"/>
      <c r="CQ279" s="10"/>
      <c r="CR279" s="10"/>
      <c r="CS279" s="10"/>
      <c r="CT279" s="10"/>
      <c r="CU279" s="10"/>
      <c r="CV279" s="10"/>
      <c r="CW279" s="10"/>
      <c r="CX279" s="10"/>
      <c r="CY279" s="10"/>
      <c r="CZ279" s="10"/>
      <c r="DA279" s="10"/>
      <c r="DB279" s="10"/>
      <c r="DC279" s="10"/>
      <c r="DD279" s="10"/>
      <c r="DE279" s="10"/>
      <c r="DF279" s="10"/>
      <c r="DG279" s="10"/>
      <c r="DH279" s="10"/>
      <c r="DI279" s="10"/>
      <c r="DJ279" s="10"/>
      <c r="DK279" s="10"/>
      <c r="DL279" s="10"/>
      <c r="DM279" s="10"/>
      <c r="DN279" s="10"/>
      <c r="DO279" s="10"/>
      <c r="DP279" s="10"/>
      <c r="DQ279" s="10"/>
      <c r="DR279" s="10"/>
    </row>
    <row r="280" spans="1:122" x14ac:dyDescent="0.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0"/>
      <c r="BC280" s="10"/>
      <c r="BD280" s="10"/>
      <c r="BE280" s="10"/>
      <c r="BF280" s="10"/>
      <c r="BG280" s="10"/>
      <c r="BH280" s="10"/>
      <c r="BI280" s="10"/>
      <c r="BJ280" s="10"/>
      <c r="BK280" s="10"/>
      <c r="BL280" s="10"/>
      <c r="BM280" s="10"/>
      <c r="BN280" s="10"/>
      <c r="BO280" s="10"/>
      <c r="BP280" s="10"/>
      <c r="BQ280" s="10"/>
      <c r="BR280" s="10"/>
      <c r="BS280" s="10"/>
      <c r="BT280" s="10"/>
      <c r="BU280" s="10"/>
      <c r="BV280" s="10"/>
      <c r="BW280" s="10"/>
      <c r="BX280" s="10"/>
      <c r="BY280" s="10"/>
      <c r="BZ280" s="10"/>
      <c r="CA280" s="10"/>
      <c r="CB280" s="10"/>
      <c r="CC280" s="10"/>
      <c r="CD280" s="10"/>
      <c r="CE280" s="10"/>
      <c r="CF280" s="10"/>
      <c r="CG280" s="10"/>
      <c r="CH280" s="10"/>
      <c r="CI280" s="10"/>
      <c r="CJ280" s="10"/>
      <c r="CK280" s="10"/>
      <c r="CL280" s="10"/>
      <c r="CM280" s="10"/>
      <c r="CN280" s="10"/>
      <c r="CO280" s="10"/>
      <c r="CP280" s="10"/>
      <c r="CQ280" s="10"/>
      <c r="CR280" s="10"/>
      <c r="CS280" s="10"/>
      <c r="CT280" s="10"/>
      <c r="CU280" s="10"/>
      <c r="CV280" s="10"/>
      <c r="CW280" s="10"/>
      <c r="CX280" s="10"/>
      <c r="CY280" s="10"/>
      <c r="CZ280" s="10"/>
      <c r="DA280" s="10"/>
      <c r="DB280" s="10"/>
      <c r="DC280" s="10"/>
      <c r="DD280" s="10"/>
      <c r="DE280" s="10"/>
      <c r="DF280" s="10"/>
      <c r="DG280" s="10"/>
      <c r="DH280" s="10"/>
      <c r="DI280" s="10"/>
      <c r="DJ280" s="10"/>
      <c r="DK280" s="10"/>
      <c r="DL280" s="10"/>
      <c r="DM280" s="10"/>
      <c r="DN280" s="10"/>
      <c r="DO280" s="10"/>
      <c r="DP280" s="10"/>
      <c r="DQ280" s="10"/>
      <c r="DR280" s="10"/>
    </row>
    <row r="281" spans="1:122" x14ac:dyDescent="0.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0"/>
      <c r="BC281" s="10"/>
      <c r="BD281" s="10"/>
      <c r="BE281" s="10"/>
      <c r="BF281" s="10"/>
      <c r="BG281" s="10"/>
      <c r="BH281" s="10"/>
      <c r="BI281" s="10"/>
      <c r="BJ281" s="10"/>
      <c r="BK281" s="10"/>
      <c r="BL281" s="10"/>
      <c r="BM281" s="10"/>
      <c r="BN281" s="10"/>
      <c r="BO281" s="10"/>
      <c r="BP281" s="10"/>
      <c r="BQ281" s="10"/>
      <c r="BR281" s="10"/>
      <c r="BS281" s="10"/>
      <c r="BT281" s="10"/>
      <c r="BU281" s="10"/>
      <c r="BV281" s="10"/>
      <c r="BW281" s="10"/>
      <c r="BX281" s="10"/>
      <c r="BY281" s="10"/>
      <c r="BZ281" s="10"/>
      <c r="CA281" s="10"/>
      <c r="CB281" s="10"/>
      <c r="CC281" s="10"/>
      <c r="CD281" s="10"/>
      <c r="CE281" s="10"/>
      <c r="CF281" s="10"/>
      <c r="CG281" s="10"/>
      <c r="CH281" s="10"/>
      <c r="CI281" s="10"/>
      <c r="CJ281" s="10"/>
      <c r="CK281" s="10"/>
      <c r="CL281" s="10"/>
      <c r="CM281" s="10"/>
      <c r="CN281" s="10"/>
      <c r="CO281" s="10"/>
      <c r="CP281" s="10"/>
      <c r="CQ281" s="10"/>
      <c r="CR281" s="10"/>
      <c r="CS281" s="10"/>
      <c r="CT281" s="10"/>
      <c r="CU281" s="10"/>
      <c r="CV281" s="10"/>
      <c r="CW281" s="10"/>
      <c r="CX281" s="10"/>
      <c r="CY281" s="10"/>
      <c r="CZ281" s="10"/>
      <c r="DA281" s="10"/>
      <c r="DB281" s="10"/>
      <c r="DC281" s="10"/>
      <c r="DD281" s="10"/>
      <c r="DE281" s="10"/>
      <c r="DF281" s="10"/>
      <c r="DG281" s="10"/>
      <c r="DH281" s="10"/>
      <c r="DI281" s="10"/>
      <c r="DJ281" s="10"/>
      <c r="DK281" s="10"/>
      <c r="DL281" s="10"/>
      <c r="DM281" s="10"/>
      <c r="DN281" s="10"/>
      <c r="DO281" s="10"/>
      <c r="DP281" s="10"/>
      <c r="DQ281" s="10"/>
      <c r="DR281" s="10"/>
    </row>
    <row r="282" spans="1:122" x14ac:dyDescent="0.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0"/>
      <c r="BC282" s="10"/>
      <c r="BD282" s="10"/>
      <c r="BE282" s="10"/>
      <c r="BF282" s="10"/>
      <c r="BG282" s="10"/>
      <c r="BH282" s="10"/>
      <c r="BI282" s="10"/>
      <c r="BJ282" s="10"/>
      <c r="BK282" s="10"/>
      <c r="BL282" s="10"/>
      <c r="BM282" s="10"/>
      <c r="BN282" s="10"/>
      <c r="BO282" s="10"/>
      <c r="BP282" s="10"/>
      <c r="BQ282" s="10"/>
      <c r="BR282" s="10"/>
      <c r="BS282" s="10"/>
      <c r="BT282" s="10"/>
      <c r="BU282" s="10"/>
      <c r="BV282" s="10"/>
      <c r="BW282" s="10"/>
      <c r="BX282" s="10"/>
      <c r="BY282" s="10"/>
      <c r="BZ282" s="10"/>
      <c r="CA282" s="10"/>
      <c r="CB282" s="10"/>
      <c r="CC282" s="10"/>
      <c r="CD282" s="10"/>
      <c r="CE282" s="10"/>
      <c r="CF282" s="10"/>
      <c r="CG282" s="10"/>
      <c r="CH282" s="10"/>
      <c r="CI282" s="10"/>
      <c r="CJ282" s="10"/>
      <c r="CK282" s="10"/>
      <c r="CL282" s="10"/>
      <c r="CM282" s="10"/>
      <c r="CN282" s="10"/>
      <c r="CO282" s="10"/>
      <c r="CP282" s="10"/>
      <c r="CQ282" s="10"/>
      <c r="CR282" s="10"/>
      <c r="CS282" s="10"/>
      <c r="CT282" s="10"/>
      <c r="CU282" s="10"/>
      <c r="CV282" s="10"/>
      <c r="CW282" s="10"/>
      <c r="CX282" s="10"/>
      <c r="CY282" s="10"/>
      <c r="CZ282" s="10"/>
      <c r="DA282" s="10"/>
      <c r="DB282" s="10"/>
      <c r="DC282" s="10"/>
      <c r="DD282" s="10"/>
      <c r="DE282" s="10"/>
      <c r="DF282" s="10"/>
      <c r="DG282" s="10"/>
      <c r="DH282" s="10"/>
      <c r="DI282" s="10"/>
      <c r="DJ282" s="10"/>
      <c r="DK282" s="10"/>
      <c r="DL282" s="10"/>
      <c r="DM282" s="10"/>
      <c r="DN282" s="10"/>
      <c r="DO282" s="10"/>
      <c r="DP282" s="10"/>
      <c r="DQ282" s="10"/>
      <c r="DR282" s="10"/>
    </row>
    <row r="283" spans="1:122" x14ac:dyDescent="0.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0"/>
      <c r="BC283" s="10"/>
      <c r="BD283" s="10"/>
      <c r="BE283" s="10"/>
      <c r="BF283" s="10"/>
      <c r="BG283" s="10"/>
      <c r="BH283" s="10"/>
      <c r="BI283" s="10"/>
      <c r="BJ283" s="10"/>
      <c r="BK283" s="10"/>
      <c r="BL283" s="10"/>
      <c r="BM283" s="10"/>
      <c r="BN283" s="10"/>
      <c r="BO283" s="10"/>
      <c r="BP283" s="10"/>
      <c r="BQ283" s="10"/>
      <c r="BR283" s="10"/>
      <c r="BS283" s="10"/>
      <c r="BT283" s="10"/>
      <c r="BU283" s="10"/>
      <c r="BV283" s="10"/>
      <c r="BW283" s="10"/>
      <c r="BX283" s="10"/>
      <c r="BY283" s="10"/>
      <c r="BZ283" s="10"/>
      <c r="CA283" s="10"/>
      <c r="CB283" s="10"/>
      <c r="CC283" s="10"/>
      <c r="CD283" s="10"/>
      <c r="CE283" s="10"/>
      <c r="CF283" s="10"/>
      <c r="CG283" s="10"/>
      <c r="CH283" s="10"/>
      <c r="CI283" s="10"/>
      <c r="CJ283" s="10"/>
      <c r="CK283" s="10"/>
      <c r="CL283" s="10"/>
      <c r="CM283" s="10"/>
      <c r="CN283" s="10"/>
      <c r="CO283" s="10"/>
      <c r="CP283" s="10"/>
      <c r="CQ283" s="10"/>
      <c r="CR283" s="10"/>
      <c r="CS283" s="10"/>
      <c r="CT283" s="10"/>
      <c r="CU283" s="10"/>
      <c r="CV283" s="10"/>
      <c r="CW283" s="10"/>
      <c r="CX283" s="10"/>
      <c r="CY283" s="10"/>
      <c r="CZ283" s="10"/>
      <c r="DA283" s="10"/>
      <c r="DB283" s="10"/>
      <c r="DC283" s="10"/>
      <c r="DD283" s="10"/>
      <c r="DE283" s="10"/>
      <c r="DF283" s="10"/>
      <c r="DG283" s="10"/>
      <c r="DH283" s="10"/>
      <c r="DI283" s="10"/>
      <c r="DJ283" s="10"/>
      <c r="DK283" s="10"/>
      <c r="DL283" s="10"/>
      <c r="DM283" s="10"/>
      <c r="DN283" s="10"/>
      <c r="DO283" s="10"/>
      <c r="DP283" s="10"/>
      <c r="DQ283" s="10"/>
      <c r="DR283" s="10"/>
    </row>
    <row r="284" spans="1:122" x14ac:dyDescent="0.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0"/>
      <c r="BC284" s="10"/>
      <c r="BD284" s="10"/>
      <c r="BE284" s="10"/>
      <c r="BF284" s="10"/>
      <c r="BG284" s="10"/>
      <c r="BH284" s="10"/>
      <c r="BI284" s="10"/>
      <c r="BJ284" s="10"/>
      <c r="BK284" s="10"/>
      <c r="BL284" s="10"/>
      <c r="BM284" s="10"/>
      <c r="BN284" s="10"/>
      <c r="BO284" s="10"/>
      <c r="BP284" s="10"/>
      <c r="BQ284" s="10"/>
      <c r="BR284" s="10"/>
      <c r="BS284" s="10"/>
      <c r="BT284" s="10"/>
      <c r="BU284" s="10"/>
      <c r="BV284" s="10"/>
      <c r="BW284" s="10"/>
      <c r="BX284" s="10"/>
      <c r="BY284" s="10"/>
      <c r="BZ284" s="10"/>
      <c r="CA284" s="10"/>
      <c r="CB284" s="10"/>
      <c r="CC284" s="10"/>
      <c r="CD284" s="10"/>
      <c r="CE284" s="10"/>
      <c r="CF284" s="10"/>
      <c r="CG284" s="10"/>
      <c r="CH284" s="10"/>
      <c r="CI284" s="10"/>
      <c r="CJ284" s="10"/>
      <c r="CK284" s="10"/>
      <c r="CL284" s="10"/>
      <c r="CM284" s="10"/>
      <c r="CN284" s="10"/>
      <c r="CO284" s="10"/>
      <c r="CP284" s="10"/>
      <c r="CQ284" s="10"/>
      <c r="CR284" s="10"/>
      <c r="CS284" s="10"/>
      <c r="CT284" s="10"/>
      <c r="CU284" s="10"/>
      <c r="CV284" s="10"/>
      <c r="CW284" s="10"/>
      <c r="CX284" s="10"/>
      <c r="CY284" s="10"/>
      <c r="CZ284" s="10"/>
      <c r="DA284" s="10"/>
      <c r="DB284" s="10"/>
      <c r="DC284" s="10"/>
      <c r="DD284" s="10"/>
      <c r="DE284" s="10"/>
      <c r="DF284" s="10"/>
      <c r="DG284" s="10"/>
      <c r="DH284" s="10"/>
      <c r="DI284" s="10"/>
      <c r="DJ284" s="10"/>
      <c r="DK284" s="10"/>
      <c r="DL284" s="10"/>
      <c r="DM284" s="10"/>
      <c r="DN284" s="10"/>
      <c r="DO284" s="10"/>
      <c r="DP284" s="10"/>
      <c r="DQ284" s="10"/>
      <c r="DR284" s="10"/>
    </row>
    <row r="285" spans="1:122" x14ac:dyDescent="0.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0"/>
      <c r="BC285" s="10"/>
      <c r="BD285" s="10"/>
      <c r="BE285" s="10"/>
      <c r="BF285" s="10"/>
      <c r="BG285" s="10"/>
      <c r="BH285" s="10"/>
      <c r="BI285" s="10"/>
      <c r="BJ285" s="10"/>
      <c r="BK285" s="10"/>
      <c r="BL285" s="10"/>
      <c r="BM285" s="10"/>
      <c r="BN285" s="10"/>
      <c r="BO285" s="10"/>
      <c r="BP285" s="10"/>
      <c r="BQ285" s="10"/>
      <c r="BR285" s="10"/>
      <c r="BS285" s="10"/>
      <c r="BT285" s="10"/>
      <c r="BU285" s="10"/>
      <c r="BV285" s="10"/>
      <c r="BW285" s="10"/>
      <c r="BX285" s="10"/>
      <c r="BY285" s="10"/>
      <c r="BZ285" s="10"/>
      <c r="CA285" s="10"/>
      <c r="CB285" s="10"/>
      <c r="CC285" s="10"/>
      <c r="CD285" s="10"/>
      <c r="CE285" s="10"/>
      <c r="CF285" s="10"/>
      <c r="CG285" s="10"/>
      <c r="CH285" s="10"/>
      <c r="CI285" s="10"/>
      <c r="CJ285" s="10"/>
      <c r="CK285" s="10"/>
      <c r="CL285" s="10"/>
      <c r="CM285" s="10"/>
      <c r="CN285" s="10"/>
      <c r="CO285" s="10"/>
      <c r="CP285" s="10"/>
      <c r="CQ285" s="10"/>
      <c r="CR285" s="10"/>
      <c r="CS285" s="10"/>
      <c r="CT285" s="10"/>
      <c r="CU285" s="10"/>
      <c r="CV285" s="10"/>
      <c r="CW285" s="10"/>
      <c r="CX285" s="10"/>
      <c r="CY285" s="10"/>
      <c r="CZ285" s="10"/>
      <c r="DA285" s="10"/>
      <c r="DB285" s="10"/>
      <c r="DC285" s="10"/>
      <c r="DD285" s="10"/>
      <c r="DE285" s="10"/>
      <c r="DF285" s="10"/>
      <c r="DG285" s="10"/>
      <c r="DH285" s="10"/>
      <c r="DI285" s="10"/>
      <c r="DJ285" s="10"/>
      <c r="DK285" s="10"/>
      <c r="DL285" s="10"/>
      <c r="DM285" s="10"/>
      <c r="DN285" s="10"/>
      <c r="DO285" s="10"/>
      <c r="DP285" s="10"/>
      <c r="DQ285" s="10"/>
      <c r="DR285" s="10"/>
    </row>
    <row r="286" spans="1:122" x14ac:dyDescent="0.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0"/>
      <c r="BC286" s="10"/>
      <c r="BD286" s="10"/>
      <c r="BE286" s="10"/>
      <c r="BF286" s="10"/>
      <c r="BG286" s="10"/>
      <c r="BH286" s="10"/>
      <c r="BI286" s="10"/>
      <c r="BJ286" s="10"/>
      <c r="BK286" s="10"/>
      <c r="BL286" s="10"/>
      <c r="BM286" s="10"/>
      <c r="BN286" s="10"/>
      <c r="BO286" s="10"/>
      <c r="BP286" s="10"/>
      <c r="BQ286" s="10"/>
      <c r="BR286" s="10"/>
      <c r="BS286" s="10"/>
      <c r="BT286" s="10"/>
      <c r="BU286" s="10"/>
      <c r="BV286" s="10"/>
      <c r="BW286" s="10"/>
      <c r="BX286" s="10"/>
      <c r="BY286" s="10"/>
      <c r="BZ286" s="10"/>
      <c r="CA286" s="10"/>
      <c r="CB286" s="10"/>
      <c r="CC286" s="10"/>
      <c r="CD286" s="10"/>
      <c r="CE286" s="10"/>
      <c r="CF286" s="10"/>
      <c r="CG286" s="10"/>
      <c r="CH286" s="10"/>
      <c r="CI286" s="10"/>
      <c r="CJ286" s="10"/>
      <c r="CK286" s="10"/>
      <c r="CL286" s="10"/>
      <c r="CM286" s="10"/>
      <c r="CN286" s="10"/>
      <c r="CO286" s="10"/>
      <c r="CP286" s="10"/>
      <c r="CQ286" s="10"/>
      <c r="CR286" s="10"/>
      <c r="CS286" s="10"/>
      <c r="CT286" s="10"/>
      <c r="CU286" s="10"/>
      <c r="CV286" s="10"/>
      <c r="CW286" s="10"/>
      <c r="CX286" s="10"/>
      <c r="CY286" s="10"/>
      <c r="CZ286" s="10"/>
      <c r="DA286" s="10"/>
      <c r="DB286" s="10"/>
      <c r="DC286" s="10"/>
      <c r="DD286" s="10"/>
      <c r="DE286" s="10"/>
      <c r="DF286" s="10"/>
      <c r="DG286" s="10"/>
      <c r="DH286" s="10"/>
      <c r="DI286" s="10"/>
      <c r="DJ286" s="10"/>
      <c r="DK286" s="10"/>
      <c r="DL286" s="10"/>
      <c r="DM286" s="10"/>
      <c r="DN286" s="10"/>
      <c r="DO286" s="10"/>
      <c r="DP286" s="10"/>
      <c r="DQ286" s="10"/>
      <c r="DR286" s="10"/>
    </row>
    <row r="287" spans="1:122" x14ac:dyDescent="0.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0"/>
      <c r="BC287" s="10"/>
      <c r="BD287" s="10"/>
      <c r="BE287" s="10"/>
      <c r="BF287" s="10"/>
      <c r="BG287" s="10"/>
      <c r="BH287" s="10"/>
      <c r="BI287" s="10"/>
      <c r="BJ287" s="10"/>
      <c r="BK287" s="10"/>
      <c r="BL287" s="10"/>
      <c r="BM287" s="10"/>
      <c r="BN287" s="10"/>
      <c r="BO287" s="10"/>
      <c r="BP287" s="10"/>
      <c r="BQ287" s="10"/>
      <c r="BR287" s="10"/>
      <c r="BS287" s="10"/>
      <c r="BT287" s="10"/>
      <c r="BU287" s="10"/>
      <c r="BV287" s="10"/>
      <c r="BW287" s="10"/>
      <c r="BX287" s="10"/>
      <c r="BY287" s="10"/>
      <c r="BZ287" s="10"/>
      <c r="CA287" s="10"/>
      <c r="CB287" s="10"/>
      <c r="CC287" s="10"/>
      <c r="CD287" s="10"/>
      <c r="CE287" s="10"/>
      <c r="CF287" s="10"/>
      <c r="CG287" s="10"/>
      <c r="CH287" s="10"/>
      <c r="CI287" s="10"/>
      <c r="CJ287" s="10"/>
      <c r="CK287" s="10"/>
      <c r="CL287" s="10"/>
      <c r="CM287" s="10"/>
      <c r="CN287" s="10"/>
      <c r="CO287" s="10"/>
      <c r="CP287" s="10"/>
      <c r="CQ287" s="10"/>
      <c r="CR287" s="10"/>
      <c r="CS287" s="10"/>
      <c r="CT287" s="10"/>
      <c r="CU287" s="10"/>
      <c r="CV287" s="10"/>
      <c r="CW287" s="10"/>
      <c r="CX287" s="10"/>
      <c r="CY287" s="10"/>
      <c r="CZ287" s="10"/>
      <c r="DA287" s="10"/>
      <c r="DB287" s="10"/>
      <c r="DC287" s="10"/>
      <c r="DD287" s="10"/>
      <c r="DE287" s="10"/>
      <c r="DF287" s="10"/>
      <c r="DG287" s="10"/>
      <c r="DH287" s="10"/>
      <c r="DI287" s="10"/>
      <c r="DJ287" s="10"/>
      <c r="DK287" s="10"/>
      <c r="DL287" s="10"/>
      <c r="DM287" s="10"/>
      <c r="DN287" s="10"/>
      <c r="DO287" s="10"/>
      <c r="DP287" s="10"/>
      <c r="DQ287" s="10"/>
      <c r="DR287" s="10"/>
    </row>
    <row r="288" spans="1:122" x14ac:dyDescent="0.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0"/>
      <c r="BC288" s="10"/>
      <c r="BD288" s="10"/>
      <c r="BE288" s="10"/>
      <c r="BF288" s="10"/>
      <c r="BG288" s="10"/>
      <c r="BH288" s="10"/>
      <c r="BI288" s="10"/>
      <c r="BJ288" s="10"/>
      <c r="BK288" s="10"/>
      <c r="BL288" s="10"/>
      <c r="BM288" s="10"/>
      <c r="BN288" s="10"/>
      <c r="BO288" s="10"/>
      <c r="BP288" s="10"/>
      <c r="BQ288" s="10"/>
      <c r="BR288" s="10"/>
      <c r="BS288" s="10"/>
      <c r="BT288" s="10"/>
      <c r="BU288" s="10"/>
      <c r="BV288" s="10"/>
      <c r="BW288" s="10"/>
      <c r="BX288" s="10"/>
      <c r="BY288" s="10"/>
      <c r="BZ288" s="10"/>
      <c r="CA288" s="10"/>
      <c r="CB288" s="10"/>
      <c r="CC288" s="10"/>
      <c r="CD288" s="10"/>
      <c r="CE288" s="10"/>
      <c r="CF288" s="10"/>
      <c r="CG288" s="10"/>
      <c r="CH288" s="10"/>
      <c r="CI288" s="10"/>
      <c r="CJ288" s="10"/>
      <c r="CK288" s="10"/>
      <c r="CL288" s="10"/>
      <c r="CM288" s="10"/>
      <c r="CN288" s="10"/>
      <c r="CO288" s="10"/>
      <c r="CP288" s="10"/>
      <c r="CQ288" s="10"/>
      <c r="CR288" s="10"/>
      <c r="CS288" s="10"/>
      <c r="CT288" s="10"/>
      <c r="CU288" s="10"/>
      <c r="CV288" s="10"/>
      <c r="CW288" s="10"/>
      <c r="CX288" s="10"/>
      <c r="CY288" s="10"/>
      <c r="CZ288" s="10"/>
      <c r="DA288" s="10"/>
      <c r="DB288" s="10"/>
      <c r="DC288" s="10"/>
      <c r="DD288" s="10"/>
      <c r="DE288" s="10"/>
      <c r="DF288" s="10"/>
      <c r="DG288" s="10"/>
      <c r="DH288" s="10"/>
      <c r="DI288" s="10"/>
      <c r="DJ288" s="10"/>
      <c r="DK288" s="10"/>
      <c r="DL288" s="10"/>
      <c r="DM288" s="10"/>
      <c r="DN288" s="10"/>
      <c r="DO288" s="10"/>
      <c r="DP288" s="10"/>
      <c r="DQ288" s="10"/>
      <c r="DR288" s="10"/>
    </row>
    <row r="289" spans="1:122" x14ac:dyDescent="0.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0"/>
      <c r="BC289" s="10"/>
      <c r="BD289" s="10"/>
      <c r="BE289" s="10"/>
      <c r="BF289" s="10"/>
      <c r="BG289" s="10"/>
      <c r="BH289" s="10"/>
      <c r="BI289" s="10"/>
      <c r="BJ289" s="10"/>
      <c r="BK289" s="10"/>
      <c r="BL289" s="10"/>
      <c r="BM289" s="10"/>
      <c r="BN289" s="10"/>
      <c r="BO289" s="10"/>
      <c r="BP289" s="10"/>
      <c r="BQ289" s="10"/>
      <c r="BR289" s="10"/>
      <c r="BS289" s="10"/>
      <c r="BT289" s="10"/>
      <c r="BU289" s="10"/>
      <c r="BV289" s="10"/>
      <c r="BW289" s="10"/>
      <c r="BX289" s="10"/>
      <c r="BY289" s="10"/>
      <c r="BZ289" s="10"/>
      <c r="CA289" s="10"/>
      <c r="CB289" s="10"/>
      <c r="CC289" s="10"/>
      <c r="CD289" s="10"/>
      <c r="CE289" s="10"/>
      <c r="CF289" s="10"/>
      <c r="CG289" s="10"/>
      <c r="CH289" s="10"/>
      <c r="CI289" s="10"/>
      <c r="CJ289" s="10"/>
      <c r="CK289" s="10"/>
      <c r="CL289" s="10"/>
      <c r="CM289" s="10"/>
      <c r="CN289" s="10"/>
      <c r="CO289" s="10"/>
      <c r="CP289" s="10"/>
      <c r="CQ289" s="10"/>
      <c r="CR289" s="10"/>
      <c r="CS289" s="10"/>
      <c r="CT289" s="10"/>
      <c r="CU289" s="10"/>
      <c r="CV289" s="10"/>
      <c r="CW289" s="10"/>
      <c r="CX289" s="10"/>
      <c r="CY289" s="10"/>
      <c r="CZ289" s="10"/>
      <c r="DA289" s="10"/>
      <c r="DB289" s="10"/>
      <c r="DC289" s="10"/>
      <c r="DD289" s="10"/>
      <c r="DE289" s="10"/>
      <c r="DF289" s="10"/>
      <c r="DG289" s="10"/>
      <c r="DH289" s="10"/>
      <c r="DI289" s="10"/>
      <c r="DJ289" s="10"/>
      <c r="DK289" s="10"/>
      <c r="DL289" s="10"/>
      <c r="DM289" s="10"/>
      <c r="DN289" s="10"/>
      <c r="DO289" s="10"/>
      <c r="DP289" s="10"/>
      <c r="DQ289" s="10"/>
      <c r="DR289" s="10"/>
    </row>
    <row r="290" spans="1:122" x14ac:dyDescent="0.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0"/>
      <c r="BC290" s="10"/>
      <c r="BD290" s="10"/>
      <c r="BE290" s="10"/>
      <c r="BF290" s="10"/>
      <c r="BG290" s="10"/>
      <c r="BH290" s="10"/>
      <c r="BI290" s="10"/>
      <c r="BJ290" s="10"/>
      <c r="BK290" s="10"/>
      <c r="BL290" s="10"/>
      <c r="BM290" s="10"/>
      <c r="BN290" s="10"/>
      <c r="BO290" s="10"/>
      <c r="BP290" s="10"/>
      <c r="BQ290" s="10"/>
      <c r="BR290" s="10"/>
      <c r="BS290" s="10"/>
      <c r="BT290" s="10"/>
      <c r="BU290" s="10"/>
      <c r="BV290" s="10"/>
      <c r="BW290" s="10"/>
      <c r="BX290" s="10"/>
      <c r="BY290" s="10"/>
      <c r="BZ290" s="10"/>
      <c r="CA290" s="10"/>
      <c r="CB290" s="10"/>
      <c r="CC290" s="10"/>
      <c r="CD290" s="10"/>
      <c r="CE290" s="10"/>
      <c r="CF290" s="10"/>
      <c r="CG290" s="10"/>
      <c r="CH290" s="10"/>
      <c r="CI290" s="10"/>
      <c r="CJ290" s="10"/>
      <c r="CK290" s="10"/>
      <c r="CL290" s="10"/>
      <c r="CM290" s="10"/>
      <c r="CN290" s="10"/>
      <c r="CO290" s="10"/>
      <c r="CP290" s="10"/>
      <c r="CQ290" s="10"/>
      <c r="CR290" s="10"/>
      <c r="CS290" s="10"/>
      <c r="CT290" s="10"/>
      <c r="CU290" s="10"/>
      <c r="CV290" s="10"/>
      <c r="CW290" s="10"/>
      <c r="CX290" s="10"/>
      <c r="CY290" s="10"/>
      <c r="CZ290" s="10"/>
      <c r="DA290" s="10"/>
      <c r="DB290" s="10"/>
      <c r="DC290" s="10"/>
      <c r="DD290" s="10"/>
      <c r="DE290" s="10"/>
      <c r="DF290" s="10"/>
      <c r="DG290" s="10"/>
      <c r="DH290" s="10"/>
      <c r="DI290" s="10"/>
      <c r="DJ290" s="10"/>
      <c r="DK290" s="10"/>
      <c r="DL290" s="10"/>
      <c r="DM290" s="10"/>
      <c r="DN290" s="10"/>
      <c r="DO290" s="10"/>
      <c r="DP290" s="10"/>
      <c r="DQ290" s="10"/>
      <c r="DR290" s="10"/>
    </row>
    <row r="291" spans="1:122" x14ac:dyDescent="0.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0"/>
      <c r="BC291" s="10"/>
      <c r="BD291" s="10"/>
      <c r="BE291" s="10"/>
      <c r="BF291" s="10"/>
      <c r="BG291" s="10"/>
      <c r="BH291" s="10"/>
      <c r="BI291" s="10"/>
      <c r="BJ291" s="10"/>
      <c r="BK291" s="10"/>
      <c r="BL291" s="10"/>
      <c r="BM291" s="10"/>
      <c r="BN291" s="10"/>
      <c r="BO291" s="10"/>
      <c r="BP291" s="10"/>
      <c r="BQ291" s="10"/>
      <c r="BR291" s="10"/>
      <c r="BS291" s="10"/>
      <c r="BT291" s="10"/>
      <c r="BU291" s="10"/>
      <c r="BV291" s="10"/>
      <c r="BW291" s="10"/>
      <c r="BX291" s="10"/>
      <c r="BY291" s="10"/>
      <c r="BZ291" s="10"/>
      <c r="CA291" s="10"/>
      <c r="CB291" s="10"/>
      <c r="CC291" s="10"/>
      <c r="CD291" s="10"/>
      <c r="CE291" s="10"/>
      <c r="CF291" s="10"/>
      <c r="CG291" s="10"/>
      <c r="CH291" s="10"/>
      <c r="CI291" s="10"/>
      <c r="CJ291" s="10"/>
      <c r="CK291" s="10"/>
      <c r="CL291" s="10"/>
      <c r="CM291" s="10"/>
      <c r="CN291" s="10"/>
      <c r="CO291" s="10"/>
      <c r="CP291" s="10"/>
      <c r="CQ291" s="10"/>
      <c r="CR291" s="10"/>
      <c r="CS291" s="10"/>
      <c r="CT291" s="10"/>
      <c r="CU291" s="10"/>
      <c r="CV291" s="10"/>
      <c r="CW291" s="10"/>
      <c r="CX291" s="10"/>
      <c r="CY291" s="10"/>
      <c r="CZ291" s="10"/>
      <c r="DA291" s="10"/>
      <c r="DB291" s="10"/>
      <c r="DC291" s="10"/>
      <c r="DD291" s="10"/>
      <c r="DE291" s="10"/>
      <c r="DF291" s="10"/>
      <c r="DG291" s="10"/>
      <c r="DH291" s="10"/>
      <c r="DI291" s="10"/>
      <c r="DJ291" s="10"/>
      <c r="DK291" s="10"/>
      <c r="DL291" s="10"/>
      <c r="DM291" s="10"/>
      <c r="DN291" s="10"/>
      <c r="DO291" s="10"/>
      <c r="DP291" s="10"/>
      <c r="DQ291" s="10"/>
      <c r="DR291" s="10"/>
    </row>
    <row r="292" spans="1:122" x14ac:dyDescent="0.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0"/>
      <c r="BC292" s="10"/>
      <c r="BD292" s="10"/>
      <c r="BE292" s="10"/>
      <c r="BF292" s="10"/>
      <c r="BG292" s="10"/>
      <c r="BH292" s="10"/>
      <c r="BI292" s="10"/>
      <c r="BJ292" s="10"/>
      <c r="BK292" s="10"/>
      <c r="BL292" s="10"/>
      <c r="BM292" s="10"/>
      <c r="BN292" s="10"/>
      <c r="BO292" s="10"/>
      <c r="BP292" s="10"/>
      <c r="BQ292" s="10"/>
      <c r="BR292" s="10"/>
      <c r="BS292" s="10"/>
      <c r="BT292" s="10"/>
      <c r="BU292" s="10"/>
      <c r="BV292" s="10"/>
      <c r="BW292" s="10"/>
      <c r="BX292" s="10"/>
      <c r="BY292" s="10"/>
      <c r="BZ292" s="10"/>
      <c r="CA292" s="10"/>
      <c r="CB292" s="10"/>
      <c r="CC292" s="10"/>
      <c r="CD292" s="10"/>
      <c r="CE292" s="10"/>
      <c r="CF292" s="10"/>
      <c r="CG292" s="10"/>
      <c r="CH292" s="10"/>
      <c r="CI292" s="10"/>
      <c r="CJ292" s="10"/>
      <c r="CK292" s="10"/>
      <c r="CL292" s="10"/>
      <c r="CM292" s="10"/>
      <c r="CN292" s="10"/>
      <c r="CO292" s="10"/>
      <c r="CP292" s="10"/>
      <c r="CQ292" s="10"/>
      <c r="CR292" s="10"/>
      <c r="CS292" s="10"/>
      <c r="CT292" s="10"/>
      <c r="CU292" s="10"/>
      <c r="CV292" s="10"/>
      <c r="CW292" s="10"/>
      <c r="CX292" s="10"/>
      <c r="CY292" s="10"/>
      <c r="CZ292" s="10"/>
      <c r="DA292" s="10"/>
      <c r="DB292" s="10"/>
      <c r="DC292" s="10"/>
      <c r="DD292" s="10"/>
      <c r="DE292" s="10"/>
      <c r="DF292" s="10"/>
      <c r="DG292" s="10"/>
      <c r="DH292" s="10"/>
      <c r="DI292" s="10"/>
      <c r="DJ292" s="10"/>
      <c r="DK292" s="10"/>
      <c r="DL292" s="10"/>
      <c r="DM292" s="10"/>
      <c r="DN292" s="10"/>
      <c r="DO292" s="10"/>
      <c r="DP292" s="10"/>
      <c r="DQ292" s="10"/>
      <c r="DR292" s="10"/>
    </row>
    <row r="293" spans="1:122" x14ac:dyDescent="0.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0"/>
      <c r="BC293" s="10"/>
      <c r="BD293" s="10"/>
      <c r="BE293" s="10"/>
      <c r="BF293" s="10"/>
      <c r="BG293" s="10"/>
      <c r="BH293" s="10"/>
      <c r="BI293" s="10"/>
      <c r="BJ293" s="10"/>
      <c r="BK293" s="10"/>
      <c r="BL293" s="10"/>
      <c r="BM293" s="10"/>
      <c r="BN293" s="10"/>
      <c r="BO293" s="10"/>
      <c r="BP293" s="10"/>
      <c r="BQ293" s="10"/>
      <c r="BR293" s="10"/>
      <c r="BS293" s="10"/>
      <c r="BT293" s="10"/>
      <c r="BU293" s="10"/>
      <c r="BV293" s="10"/>
      <c r="BW293" s="10"/>
      <c r="BX293" s="10"/>
      <c r="BY293" s="10"/>
      <c r="BZ293" s="10"/>
      <c r="CA293" s="10"/>
      <c r="CB293" s="10"/>
      <c r="CC293" s="10"/>
      <c r="CD293" s="10"/>
      <c r="CE293" s="10"/>
      <c r="CF293" s="10"/>
      <c r="CG293" s="10"/>
      <c r="CH293" s="10"/>
      <c r="CI293" s="10"/>
      <c r="CJ293" s="10"/>
      <c r="CK293" s="10"/>
      <c r="CL293" s="10"/>
      <c r="CM293" s="10"/>
      <c r="CN293" s="10"/>
      <c r="CO293" s="10"/>
      <c r="CP293" s="10"/>
      <c r="CQ293" s="10"/>
      <c r="CR293" s="10"/>
      <c r="CS293" s="10"/>
      <c r="CT293" s="10"/>
      <c r="CU293" s="10"/>
      <c r="CV293" s="10"/>
      <c r="CW293" s="10"/>
      <c r="CX293" s="10"/>
      <c r="CY293" s="10"/>
      <c r="CZ293" s="10"/>
      <c r="DA293" s="10"/>
      <c r="DB293" s="10"/>
      <c r="DC293" s="10"/>
      <c r="DD293" s="10"/>
      <c r="DE293" s="10"/>
      <c r="DF293" s="10"/>
      <c r="DG293" s="10"/>
      <c r="DH293" s="10"/>
      <c r="DI293" s="10"/>
      <c r="DJ293" s="10"/>
      <c r="DK293" s="10"/>
      <c r="DL293" s="10"/>
      <c r="DM293" s="10"/>
      <c r="DN293" s="10"/>
      <c r="DO293" s="10"/>
      <c r="DP293" s="10"/>
      <c r="DQ293" s="10"/>
      <c r="DR293" s="10"/>
    </row>
    <row r="294" spans="1:122" x14ac:dyDescent="0.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0"/>
      <c r="BC294" s="10"/>
      <c r="BD294" s="10"/>
      <c r="BE294" s="10"/>
      <c r="BF294" s="10"/>
      <c r="BG294" s="10"/>
      <c r="BH294" s="10"/>
      <c r="BI294" s="10"/>
      <c r="BJ294" s="10"/>
      <c r="BK294" s="10"/>
      <c r="BL294" s="10"/>
      <c r="BM294" s="10"/>
      <c r="BN294" s="10"/>
      <c r="BO294" s="10"/>
      <c r="BP294" s="10"/>
      <c r="BQ294" s="10"/>
      <c r="BR294" s="10"/>
      <c r="BS294" s="10"/>
      <c r="BT294" s="10"/>
      <c r="BU294" s="10"/>
      <c r="BV294" s="10"/>
      <c r="BW294" s="10"/>
      <c r="BX294" s="10"/>
      <c r="BY294" s="10"/>
      <c r="BZ294" s="10"/>
      <c r="CA294" s="10"/>
      <c r="CB294" s="10"/>
      <c r="CC294" s="10"/>
      <c r="CD294" s="10"/>
      <c r="CE294" s="10"/>
      <c r="CF294" s="10"/>
      <c r="CG294" s="10"/>
      <c r="CH294" s="10"/>
      <c r="CI294" s="10"/>
      <c r="CJ294" s="10"/>
      <c r="CK294" s="10"/>
      <c r="CL294" s="10"/>
      <c r="CM294" s="10"/>
      <c r="CN294" s="10"/>
      <c r="CO294" s="10"/>
      <c r="CP294" s="10"/>
      <c r="CQ294" s="10"/>
      <c r="CR294" s="10"/>
      <c r="CS294" s="10"/>
      <c r="CT294" s="10"/>
      <c r="CU294" s="10"/>
      <c r="CV294" s="10"/>
      <c r="CW294" s="10"/>
      <c r="CX294" s="10"/>
      <c r="CY294" s="10"/>
      <c r="CZ294" s="10"/>
      <c r="DA294" s="10"/>
      <c r="DB294" s="10"/>
      <c r="DC294" s="10"/>
      <c r="DD294" s="10"/>
      <c r="DE294" s="10"/>
      <c r="DF294" s="10"/>
      <c r="DG294" s="10"/>
      <c r="DH294" s="10"/>
      <c r="DI294" s="10"/>
      <c r="DJ294" s="10"/>
      <c r="DK294" s="10"/>
      <c r="DL294" s="10"/>
      <c r="DM294" s="10"/>
      <c r="DN294" s="10"/>
      <c r="DO294" s="10"/>
      <c r="DP294" s="10"/>
      <c r="DQ294" s="10"/>
      <c r="DR294" s="10"/>
    </row>
    <row r="295" spans="1:122" x14ac:dyDescent="0.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0"/>
      <c r="BC295" s="10"/>
      <c r="BD295" s="10"/>
      <c r="BE295" s="10"/>
      <c r="BF295" s="10"/>
      <c r="BG295" s="10"/>
      <c r="BH295" s="10"/>
      <c r="BI295" s="10"/>
      <c r="BJ295" s="10"/>
      <c r="BK295" s="10"/>
      <c r="BL295" s="10"/>
      <c r="BM295" s="10"/>
      <c r="BN295" s="10"/>
      <c r="BO295" s="10"/>
      <c r="BP295" s="10"/>
      <c r="BQ295" s="10"/>
      <c r="BR295" s="10"/>
      <c r="BS295" s="10"/>
      <c r="BT295" s="10"/>
      <c r="BU295" s="10"/>
      <c r="BV295" s="10"/>
      <c r="BW295" s="10"/>
      <c r="BX295" s="10"/>
      <c r="BY295" s="10"/>
      <c r="BZ295" s="10"/>
      <c r="CA295" s="10"/>
      <c r="CB295" s="10"/>
      <c r="CC295" s="10"/>
      <c r="CD295" s="10"/>
      <c r="CE295" s="10"/>
      <c r="CF295" s="10"/>
      <c r="CG295" s="10"/>
      <c r="CH295" s="10"/>
      <c r="CI295" s="10"/>
      <c r="CJ295" s="10"/>
      <c r="CK295" s="10"/>
      <c r="CL295" s="10"/>
      <c r="CM295" s="10"/>
      <c r="CN295" s="10"/>
      <c r="CO295" s="10"/>
      <c r="CP295" s="10"/>
      <c r="CQ295" s="10"/>
      <c r="CR295" s="10"/>
      <c r="CS295" s="10"/>
      <c r="CT295" s="10"/>
      <c r="CU295" s="10"/>
      <c r="CV295" s="10"/>
      <c r="CW295" s="10"/>
      <c r="CX295" s="10"/>
      <c r="CY295" s="10"/>
      <c r="CZ295" s="10"/>
      <c r="DA295" s="10"/>
      <c r="DB295" s="10"/>
      <c r="DC295" s="10"/>
      <c r="DD295" s="10"/>
      <c r="DE295" s="10"/>
      <c r="DF295" s="10"/>
      <c r="DG295" s="10"/>
      <c r="DH295" s="10"/>
      <c r="DI295" s="10"/>
      <c r="DJ295" s="10"/>
      <c r="DK295" s="10"/>
      <c r="DL295" s="10"/>
      <c r="DM295" s="10"/>
      <c r="DN295" s="10"/>
      <c r="DO295" s="10"/>
      <c r="DP295" s="10"/>
      <c r="DQ295" s="10"/>
      <c r="DR295" s="10"/>
    </row>
    <row r="296" spans="1:122" x14ac:dyDescent="0.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0"/>
      <c r="BC296" s="10"/>
      <c r="BD296" s="10"/>
      <c r="BE296" s="10"/>
      <c r="BF296" s="10"/>
      <c r="BG296" s="10"/>
      <c r="BH296" s="10"/>
      <c r="BI296" s="10"/>
      <c r="BJ296" s="10"/>
      <c r="BK296" s="10"/>
      <c r="BL296" s="10"/>
      <c r="BM296" s="10"/>
      <c r="BN296" s="10"/>
      <c r="BO296" s="10"/>
      <c r="BP296" s="10"/>
      <c r="BQ296" s="10"/>
      <c r="BR296" s="10"/>
      <c r="BS296" s="10"/>
      <c r="BT296" s="10"/>
      <c r="BU296" s="10"/>
      <c r="BV296" s="10"/>
      <c r="BW296" s="10"/>
      <c r="BX296" s="10"/>
      <c r="BY296" s="10"/>
      <c r="BZ296" s="10"/>
      <c r="CA296" s="10"/>
      <c r="CB296" s="10"/>
      <c r="CC296" s="10"/>
      <c r="CD296" s="10"/>
      <c r="CE296" s="10"/>
      <c r="CF296" s="10"/>
      <c r="CG296" s="10"/>
      <c r="CH296" s="10"/>
      <c r="CI296" s="10"/>
      <c r="CJ296" s="10"/>
      <c r="CK296" s="10"/>
      <c r="CL296" s="10"/>
      <c r="CM296" s="10"/>
      <c r="CN296" s="10"/>
      <c r="CO296" s="10"/>
      <c r="CP296" s="10"/>
      <c r="CQ296" s="10"/>
      <c r="CR296" s="10"/>
      <c r="CS296" s="10"/>
      <c r="CT296" s="10"/>
      <c r="CU296" s="10"/>
      <c r="CV296" s="10"/>
      <c r="CW296" s="10"/>
      <c r="CX296" s="10"/>
      <c r="CY296" s="10"/>
      <c r="CZ296" s="10"/>
      <c r="DA296" s="10"/>
      <c r="DB296" s="10"/>
      <c r="DC296" s="10"/>
      <c r="DD296" s="10"/>
      <c r="DE296" s="10"/>
      <c r="DF296" s="10"/>
      <c r="DG296" s="10"/>
      <c r="DH296" s="10"/>
      <c r="DI296" s="10"/>
      <c r="DJ296" s="10"/>
      <c r="DK296" s="10"/>
      <c r="DL296" s="10"/>
      <c r="DM296" s="10"/>
      <c r="DN296" s="10"/>
      <c r="DO296" s="10"/>
      <c r="DP296" s="10"/>
      <c r="DQ296" s="10"/>
      <c r="DR296" s="10"/>
    </row>
    <row r="297" spans="1:122" x14ac:dyDescent="0.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0"/>
      <c r="BC297" s="10"/>
      <c r="BD297" s="10"/>
      <c r="BE297" s="10"/>
      <c r="BF297" s="10"/>
      <c r="BG297" s="10"/>
      <c r="BH297" s="10"/>
      <c r="BI297" s="10"/>
      <c r="BJ297" s="10"/>
      <c r="BK297" s="10"/>
      <c r="BL297" s="10"/>
      <c r="BM297" s="10"/>
      <c r="BN297" s="10"/>
      <c r="BO297" s="10"/>
      <c r="BP297" s="10"/>
      <c r="BQ297" s="10"/>
      <c r="BR297" s="10"/>
      <c r="BS297" s="10"/>
      <c r="BT297" s="10"/>
      <c r="BU297" s="10"/>
      <c r="BV297" s="10"/>
      <c r="BW297" s="10"/>
      <c r="BX297" s="10"/>
      <c r="BY297" s="10"/>
      <c r="BZ297" s="10"/>
      <c r="CA297" s="10"/>
      <c r="CB297" s="10"/>
      <c r="CC297" s="10"/>
      <c r="CD297" s="10"/>
      <c r="CE297" s="10"/>
      <c r="CF297" s="10"/>
      <c r="CG297" s="10"/>
      <c r="CH297" s="10"/>
      <c r="CI297" s="10"/>
      <c r="CJ297" s="10"/>
      <c r="CK297" s="10"/>
      <c r="CL297" s="10"/>
      <c r="CM297" s="10"/>
      <c r="CN297" s="10"/>
      <c r="CO297" s="10"/>
      <c r="CP297" s="10"/>
      <c r="CQ297" s="10"/>
      <c r="CR297" s="10"/>
      <c r="CS297" s="10"/>
      <c r="CT297" s="10"/>
      <c r="CU297" s="10"/>
      <c r="CV297" s="10"/>
      <c r="CW297" s="10"/>
      <c r="CX297" s="10"/>
      <c r="CY297" s="10"/>
      <c r="CZ297" s="10"/>
      <c r="DA297" s="10"/>
      <c r="DB297" s="10"/>
      <c r="DC297" s="10"/>
      <c r="DD297" s="10"/>
      <c r="DE297" s="10"/>
      <c r="DF297" s="10"/>
      <c r="DG297" s="10"/>
      <c r="DH297" s="10"/>
      <c r="DI297" s="10"/>
      <c r="DJ297" s="10"/>
      <c r="DK297" s="10"/>
      <c r="DL297" s="10"/>
      <c r="DM297" s="10"/>
      <c r="DN297" s="10"/>
      <c r="DO297" s="10"/>
      <c r="DP297" s="10"/>
      <c r="DQ297" s="10"/>
      <c r="DR297" s="10"/>
    </row>
    <row r="298" spans="1:122" x14ac:dyDescent="0.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0"/>
      <c r="BC298" s="10"/>
      <c r="BD298" s="10"/>
      <c r="BE298" s="10"/>
      <c r="BF298" s="10"/>
      <c r="BG298" s="10"/>
      <c r="BH298" s="10"/>
      <c r="BI298" s="10"/>
      <c r="BJ298" s="10"/>
      <c r="BK298" s="10"/>
      <c r="BL298" s="10"/>
      <c r="BM298" s="10"/>
      <c r="BN298" s="10"/>
      <c r="BO298" s="10"/>
      <c r="BP298" s="10"/>
      <c r="BQ298" s="10"/>
      <c r="BR298" s="10"/>
      <c r="BS298" s="10"/>
      <c r="BT298" s="10"/>
      <c r="BU298" s="10"/>
      <c r="BV298" s="10"/>
      <c r="BW298" s="10"/>
      <c r="BX298" s="10"/>
      <c r="BY298" s="10"/>
      <c r="BZ298" s="10"/>
      <c r="CA298" s="10"/>
      <c r="CB298" s="10"/>
      <c r="CC298" s="10"/>
      <c r="CD298" s="10"/>
      <c r="CE298" s="10"/>
      <c r="CF298" s="10"/>
      <c r="CG298" s="10"/>
      <c r="CH298" s="10"/>
      <c r="CI298" s="10"/>
      <c r="CJ298" s="10"/>
      <c r="CK298" s="10"/>
      <c r="CL298" s="10"/>
      <c r="CM298" s="10"/>
      <c r="CN298" s="10"/>
      <c r="CO298" s="10"/>
      <c r="CP298" s="10"/>
      <c r="CQ298" s="10"/>
      <c r="CR298" s="10"/>
      <c r="CS298" s="10"/>
      <c r="CT298" s="10"/>
      <c r="CU298" s="10"/>
      <c r="CV298" s="10"/>
      <c r="CW298" s="10"/>
      <c r="CX298" s="10"/>
      <c r="CY298" s="10"/>
      <c r="CZ298" s="10"/>
      <c r="DA298" s="10"/>
      <c r="DB298" s="10"/>
      <c r="DC298" s="10"/>
      <c r="DD298" s="10"/>
      <c r="DE298" s="10"/>
      <c r="DF298" s="10"/>
      <c r="DG298" s="10"/>
      <c r="DH298" s="10"/>
      <c r="DI298" s="10"/>
      <c r="DJ298" s="10"/>
      <c r="DK298" s="10"/>
      <c r="DL298" s="10"/>
      <c r="DM298" s="10"/>
      <c r="DN298" s="10"/>
      <c r="DO298" s="10"/>
      <c r="DP298" s="10"/>
      <c r="DQ298" s="10"/>
      <c r="DR298" s="10"/>
    </row>
    <row r="299" spans="1:122" x14ac:dyDescent="0.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0"/>
      <c r="BC299" s="10"/>
      <c r="BD299" s="10"/>
      <c r="BE299" s="10"/>
      <c r="BF299" s="10"/>
      <c r="BG299" s="10"/>
      <c r="BH299" s="10"/>
      <c r="BI299" s="10"/>
      <c r="BJ299" s="10"/>
      <c r="BK299" s="10"/>
      <c r="BL299" s="10"/>
      <c r="BM299" s="10"/>
      <c r="BN299" s="10"/>
      <c r="BO299" s="10"/>
      <c r="BP299" s="10"/>
      <c r="BQ299" s="10"/>
      <c r="BR299" s="10"/>
      <c r="BS299" s="10"/>
      <c r="BT299" s="10"/>
      <c r="BU299" s="10"/>
      <c r="BV299" s="10"/>
      <c r="BW299" s="10"/>
      <c r="BX299" s="10"/>
      <c r="BY299" s="10"/>
      <c r="BZ299" s="10"/>
      <c r="CA299" s="10"/>
      <c r="CB299" s="10"/>
      <c r="CC299" s="10"/>
      <c r="CD299" s="10"/>
      <c r="CE299" s="10"/>
      <c r="CF299" s="10"/>
      <c r="CG299" s="10"/>
      <c r="CH299" s="10"/>
      <c r="CI299" s="10"/>
      <c r="CJ299" s="10"/>
      <c r="CK299" s="10"/>
      <c r="CL299" s="10"/>
      <c r="CM299" s="10"/>
      <c r="CN299" s="10"/>
      <c r="CO299" s="10"/>
      <c r="CP299" s="10"/>
      <c r="CQ299" s="10"/>
      <c r="CR299" s="10"/>
      <c r="CS299" s="10"/>
      <c r="CT299" s="10"/>
      <c r="CU299" s="10"/>
      <c r="CV299" s="10"/>
      <c r="CW299" s="10"/>
      <c r="CX299" s="10"/>
      <c r="CY299" s="10"/>
      <c r="CZ299" s="10"/>
      <c r="DA299" s="10"/>
      <c r="DB299" s="10"/>
      <c r="DC299" s="10"/>
      <c r="DD299" s="10"/>
      <c r="DE299" s="10"/>
      <c r="DF299" s="10"/>
      <c r="DG299" s="10"/>
      <c r="DH299" s="10"/>
      <c r="DI299" s="10"/>
      <c r="DJ299" s="10"/>
      <c r="DK299" s="10"/>
      <c r="DL299" s="10"/>
      <c r="DM299" s="10"/>
      <c r="DN299" s="10"/>
      <c r="DO299" s="10"/>
      <c r="DP299" s="10"/>
      <c r="DQ299" s="10"/>
      <c r="DR299" s="10"/>
    </row>
    <row r="300" spans="1:122" x14ac:dyDescent="0.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0"/>
      <c r="BC300" s="10"/>
      <c r="BD300" s="10"/>
      <c r="BE300" s="10"/>
      <c r="BF300" s="10"/>
      <c r="BG300" s="10"/>
      <c r="BH300" s="10"/>
      <c r="BI300" s="10"/>
      <c r="BJ300" s="10"/>
      <c r="BK300" s="10"/>
      <c r="BL300" s="10"/>
      <c r="BM300" s="10"/>
      <c r="BN300" s="10"/>
      <c r="BO300" s="10"/>
      <c r="BP300" s="10"/>
      <c r="BQ300" s="10"/>
      <c r="BR300" s="10"/>
      <c r="BS300" s="10"/>
      <c r="BT300" s="10"/>
      <c r="BU300" s="10"/>
      <c r="BV300" s="10"/>
      <c r="BW300" s="10"/>
      <c r="BX300" s="10"/>
      <c r="BY300" s="10"/>
      <c r="BZ300" s="10"/>
      <c r="CA300" s="10"/>
      <c r="CB300" s="10"/>
      <c r="CC300" s="10"/>
      <c r="CD300" s="10"/>
      <c r="CE300" s="10"/>
      <c r="CF300" s="10"/>
      <c r="CG300" s="10"/>
      <c r="CH300" s="10"/>
      <c r="CI300" s="10"/>
      <c r="CJ300" s="10"/>
      <c r="CK300" s="10"/>
      <c r="CL300" s="10"/>
      <c r="CM300" s="10"/>
      <c r="CN300" s="10"/>
      <c r="CO300" s="10"/>
      <c r="CP300" s="10"/>
      <c r="CQ300" s="10"/>
      <c r="CR300" s="10"/>
      <c r="CS300" s="10"/>
      <c r="CT300" s="10"/>
      <c r="CU300" s="10"/>
      <c r="CV300" s="10"/>
      <c r="CW300" s="10"/>
      <c r="CX300" s="10"/>
      <c r="CY300" s="10"/>
      <c r="CZ300" s="10"/>
      <c r="DA300" s="10"/>
      <c r="DB300" s="10"/>
      <c r="DC300" s="10"/>
      <c r="DD300" s="10"/>
      <c r="DE300" s="10"/>
      <c r="DF300" s="10"/>
      <c r="DG300" s="10"/>
      <c r="DH300" s="10"/>
      <c r="DI300" s="10"/>
      <c r="DJ300" s="10"/>
      <c r="DK300" s="10"/>
      <c r="DL300" s="10"/>
      <c r="DM300" s="10"/>
      <c r="DN300" s="10"/>
      <c r="DO300" s="10"/>
      <c r="DP300" s="10"/>
      <c r="DQ300" s="10"/>
      <c r="DR300" s="10"/>
    </row>
    <row r="301" spans="1:122" x14ac:dyDescent="0.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0"/>
      <c r="BC301" s="10"/>
      <c r="BD301" s="10"/>
      <c r="BE301" s="10"/>
      <c r="BF301" s="10"/>
      <c r="BG301" s="10"/>
      <c r="BH301" s="10"/>
      <c r="BI301" s="10"/>
      <c r="BJ301" s="10"/>
      <c r="BK301" s="10"/>
      <c r="BL301" s="10"/>
      <c r="BM301" s="10"/>
      <c r="BN301" s="10"/>
      <c r="BO301" s="10"/>
      <c r="BP301" s="10"/>
      <c r="BQ301" s="10"/>
      <c r="BR301" s="10"/>
      <c r="BS301" s="10"/>
      <c r="BT301" s="10"/>
      <c r="BU301" s="10"/>
      <c r="BV301" s="10"/>
      <c r="BW301" s="10"/>
      <c r="BX301" s="10"/>
      <c r="BY301" s="10"/>
      <c r="BZ301" s="10"/>
      <c r="CA301" s="10"/>
      <c r="CB301" s="10"/>
      <c r="CC301" s="10"/>
      <c r="CD301" s="10"/>
      <c r="CE301" s="10"/>
      <c r="CF301" s="10"/>
      <c r="CG301" s="10"/>
      <c r="CH301" s="10"/>
      <c r="CI301" s="10"/>
      <c r="CJ301" s="10"/>
      <c r="CK301" s="10"/>
      <c r="CL301" s="10"/>
      <c r="CM301" s="10"/>
      <c r="CN301" s="10"/>
      <c r="CO301" s="10"/>
      <c r="CP301" s="10"/>
      <c r="CQ301" s="10"/>
      <c r="CR301" s="10"/>
      <c r="CS301" s="10"/>
      <c r="CT301" s="10"/>
      <c r="CU301" s="10"/>
      <c r="CV301" s="10"/>
      <c r="CW301" s="10"/>
      <c r="CX301" s="10"/>
      <c r="CY301" s="10"/>
      <c r="CZ301" s="10"/>
      <c r="DA301" s="10"/>
      <c r="DB301" s="10"/>
      <c r="DC301" s="10"/>
      <c r="DD301" s="10"/>
      <c r="DE301" s="10"/>
      <c r="DF301" s="10"/>
      <c r="DG301" s="10"/>
      <c r="DH301" s="10"/>
      <c r="DI301" s="10"/>
      <c r="DJ301" s="10"/>
      <c r="DK301" s="10"/>
      <c r="DL301" s="10"/>
      <c r="DM301" s="10"/>
      <c r="DN301" s="10"/>
      <c r="DO301" s="10"/>
      <c r="DP301" s="10"/>
      <c r="DQ301" s="10"/>
      <c r="DR301" s="10"/>
    </row>
    <row r="302" spans="1:122" x14ac:dyDescent="0.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0"/>
      <c r="BC302" s="10"/>
      <c r="BD302" s="10"/>
      <c r="BE302" s="10"/>
      <c r="BF302" s="10"/>
      <c r="BG302" s="10"/>
      <c r="BH302" s="10"/>
      <c r="BI302" s="10"/>
      <c r="BJ302" s="10"/>
      <c r="BK302" s="10"/>
      <c r="BL302" s="10"/>
      <c r="BM302" s="10"/>
      <c r="BN302" s="10"/>
      <c r="BO302" s="10"/>
      <c r="BP302" s="10"/>
      <c r="BQ302" s="10"/>
      <c r="BR302" s="10"/>
      <c r="BS302" s="10"/>
      <c r="BT302" s="10"/>
      <c r="BU302" s="10"/>
      <c r="BV302" s="10"/>
      <c r="BW302" s="10"/>
      <c r="BX302" s="10"/>
      <c r="BY302" s="10"/>
      <c r="BZ302" s="10"/>
      <c r="CA302" s="10"/>
      <c r="CB302" s="10"/>
      <c r="CC302" s="10"/>
      <c r="CD302" s="10"/>
      <c r="CE302" s="10"/>
      <c r="CF302" s="10"/>
      <c r="CG302" s="10"/>
      <c r="CH302" s="10"/>
      <c r="CI302" s="10"/>
      <c r="CJ302" s="10"/>
      <c r="CK302" s="10"/>
      <c r="CL302" s="10"/>
      <c r="CM302" s="10"/>
      <c r="CN302" s="10"/>
      <c r="CO302" s="10"/>
      <c r="CP302" s="10"/>
      <c r="CQ302" s="10"/>
      <c r="CR302" s="10"/>
      <c r="CS302" s="10"/>
      <c r="CT302" s="10"/>
      <c r="CU302" s="10"/>
      <c r="CV302" s="10"/>
      <c r="CW302" s="10"/>
      <c r="CX302" s="10"/>
      <c r="CY302" s="10"/>
      <c r="CZ302" s="10"/>
      <c r="DA302" s="10"/>
      <c r="DB302" s="10"/>
      <c r="DC302" s="10"/>
      <c r="DD302" s="10"/>
      <c r="DE302" s="10"/>
      <c r="DF302" s="10"/>
      <c r="DG302" s="10"/>
      <c r="DH302" s="10"/>
      <c r="DI302" s="10"/>
      <c r="DJ302" s="10"/>
      <c r="DK302" s="10"/>
      <c r="DL302" s="10"/>
      <c r="DM302" s="10"/>
      <c r="DN302" s="10"/>
      <c r="DO302" s="10"/>
      <c r="DP302" s="10"/>
      <c r="DQ302" s="10"/>
      <c r="DR302" s="10"/>
    </row>
    <row r="303" spans="1:122" x14ac:dyDescent="0.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0"/>
      <c r="BC303" s="10"/>
      <c r="BD303" s="10"/>
      <c r="BE303" s="10"/>
      <c r="BF303" s="10"/>
      <c r="BG303" s="10"/>
      <c r="BH303" s="10"/>
      <c r="BI303" s="10"/>
      <c r="BJ303" s="10"/>
      <c r="BK303" s="10"/>
      <c r="BL303" s="10"/>
      <c r="BM303" s="10"/>
      <c r="BN303" s="10"/>
      <c r="BO303" s="10"/>
      <c r="BP303" s="10"/>
      <c r="BQ303" s="10"/>
      <c r="BR303" s="10"/>
      <c r="BS303" s="10"/>
      <c r="BT303" s="10"/>
      <c r="BU303" s="10"/>
      <c r="BV303" s="10"/>
      <c r="BW303" s="10"/>
      <c r="BX303" s="10"/>
      <c r="BY303" s="10"/>
      <c r="BZ303" s="10"/>
      <c r="CA303" s="10"/>
      <c r="CB303" s="10"/>
      <c r="CC303" s="10"/>
      <c r="CD303" s="10"/>
      <c r="CE303" s="10"/>
      <c r="CF303" s="10"/>
      <c r="CG303" s="10"/>
      <c r="CH303" s="10"/>
      <c r="CI303" s="10"/>
      <c r="CJ303" s="10"/>
      <c r="CK303" s="10"/>
      <c r="CL303" s="10"/>
      <c r="CM303" s="10"/>
      <c r="CN303" s="10"/>
      <c r="CO303" s="10"/>
      <c r="CP303" s="10"/>
      <c r="CQ303" s="10"/>
      <c r="CR303" s="10"/>
      <c r="CS303" s="10"/>
      <c r="CT303" s="10"/>
      <c r="CU303" s="10"/>
      <c r="CV303" s="10"/>
      <c r="CW303" s="10"/>
      <c r="CX303" s="10"/>
      <c r="CY303" s="10"/>
      <c r="CZ303" s="10"/>
      <c r="DA303" s="10"/>
      <c r="DB303" s="10"/>
      <c r="DC303" s="10"/>
      <c r="DD303" s="10"/>
      <c r="DE303" s="10"/>
      <c r="DF303" s="10"/>
      <c r="DG303" s="10"/>
      <c r="DH303" s="10"/>
      <c r="DI303" s="10"/>
      <c r="DJ303" s="10"/>
      <c r="DK303" s="10"/>
      <c r="DL303" s="10"/>
      <c r="DM303" s="10"/>
      <c r="DN303" s="10"/>
      <c r="DO303" s="10"/>
      <c r="DP303" s="10"/>
      <c r="DQ303" s="10"/>
      <c r="DR303" s="10"/>
    </row>
    <row r="304" spans="1:122" x14ac:dyDescent="0.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0"/>
      <c r="BC304" s="10"/>
      <c r="BD304" s="10"/>
      <c r="BE304" s="10"/>
      <c r="BF304" s="10"/>
      <c r="BG304" s="10"/>
      <c r="BH304" s="10"/>
      <c r="BI304" s="10"/>
      <c r="BJ304" s="10"/>
      <c r="BK304" s="10"/>
      <c r="BL304" s="10"/>
      <c r="BM304" s="10"/>
      <c r="BN304" s="10"/>
      <c r="BO304" s="10"/>
      <c r="BP304" s="10"/>
      <c r="BQ304" s="10"/>
      <c r="BR304" s="10"/>
      <c r="BS304" s="10"/>
      <c r="BT304" s="10"/>
      <c r="BU304" s="10"/>
      <c r="BV304" s="10"/>
      <c r="BW304" s="10"/>
      <c r="BX304" s="10"/>
      <c r="BY304" s="10"/>
      <c r="BZ304" s="10"/>
      <c r="CA304" s="10"/>
      <c r="CB304" s="10"/>
      <c r="CC304" s="10"/>
      <c r="CD304" s="10"/>
      <c r="CE304" s="10"/>
      <c r="CF304" s="10"/>
      <c r="CG304" s="10"/>
      <c r="CH304" s="10"/>
      <c r="CI304" s="10"/>
      <c r="CJ304" s="10"/>
      <c r="CK304" s="10"/>
      <c r="CL304" s="10"/>
      <c r="CM304" s="10"/>
      <c r="CN304" s="10"/>
      <c r="CO304" s="10"/>
      <c r="CP304" s="10"/>
      <c r="CQ304" s="10"/>
      <c r="CR304" s="10"/>
      <c r="CS304" s="10"/>
      <c r="CT304" s="10"/>
      <c r="CU304" s="10"/>
      <c r="CV304" s="10"/>
      <c r="CW304" s="10"/>
      <c r="CX304" s="10"/>
      <c r="CY304" s="10"/>
      <c r="CZ304" s="10"/>
      <c r="DA304" s="10"/>
      <c r="DB304" s="10"/>
      <c r="DC304" s="10"/>
      <c r="DD304" s="10"/>
      <c r="DE304" s="10"/>
      <c r="DF304" s="10"/>
      <c r="DG304" s="10"/>
      <c r="DH304" s="10"/>
      <c r="DI304" s="10"/>
      <c r="DJ304" s="10"/>
      <c r="DK304" s="10"/>
      <c r="DL304" s="10"/>
      <c r="DM304" s="10"/>
      <c r="DN304" s="10"/>
      <c r="DO304" s="10"/>
      <c r="DP304" s="10"/>
      <c r="DQ304" s="10"/>
      <c r="DR304" s="10"/>
    </row>
    <row r="305" spans="1:122" x14ac:dyDescent="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0"/>
      <c r="BC305" s="10"/>
      <c r="BD305" s="10"/>
      <c r="BE305" s="10"/>
      <c r="BF305" s="10"/>
      <c r="BG305" s="10"/>
      <c r="BH305" s="10"/>
      <c r="BI305" s="10"/>
      <c r="BJ305" s="10"/>
      <c r="BK305" s="10"/>
      <c r="BL305" s="10"/>
      <c r="BM305" s="10"/>
      <c r="BN305" s="10"/>
      <c r="BO305" s="10"/>
      <c r="BP305" s="10"/>
      <c r="BQ305" s="10"/>
      <c r="BR305" s="10"/>
      <c r="BS305" s="10"/>
      <c r="BT305" s="10"/>
      <c r="BU305" s="10"/>
      <c r="BV305" s="10"/>
      <c r="BW305" s="10"/>
      <c r="BX305" s="10"/>
      <c r="BY305" s="10"/>
      <c r="BZ305" s="10"/>
      <c r="CA305" s="10"/>
      <c r="CB305" s="10"/>
      <c r="CC305" s="10"/>
      <c r="CD305" s="10"/>
      <c r="CE305" s="10"/>
      <c r="CF305" s="10"/>
      <c r="CG305" s="10"/>
      <c r="CH305" s="10"/>
      <c r="CI305" s="10"/>
      <c r="CJ305" s="10"/>
      <c r="CK305" s="10"/>
      <c r="CL305" s="10"/>
      <c r="CM305" s="10"/>
      <c r="CN305" s="10"/>
      <c r="CO305" s="10"/>
      <c r="CP305" s="10"/>
      <c r="CQ305" s="10"/>
      <c r="CR305" s="10"/>
      <c r="CS305" s="10"/>
      <c r="CT305" s="10"/>
      <c r="CU305" s="10"/>
      <c r="CV305" s="10"/>
      <c r="CW305" s="10"/>
      <c r="CX305" s="10"/>
      <c r="CY305" s="10"/>
      <c r="CZ305" s="10"/>
      <c r="DA305" s="10"/>
      <c r="DB305" s="10"/>
      <c r="DC305" s="10"/>
      <c r="DD305" s="10"/>
      <c r="DE305" s="10"/>
      <c r="DF305" s="10"/>
      <c r="DG305" s="10"/>
      <c r="DH305" s="10"/>
      <c r="DI305" s="10"/>
      <c r="DJ305" s="10"/>
      <c r="DK305" s="10"/>
      <c r="DL305" s="10"/>
      <c r="DM305" s="10"/>
      <c r="DN305" s="10"/>
      <c r="DO305" s="10"/>
      <c r="DP305" s="10"/>
      <c r="DQ305" s="10"/>
      <c r="DR305" s="10"/>
    </row>
    <row r="306" spans="1:122" x14ac:dyDescent="0.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0"/>
      <c r="BC306" s="10"/>
      <c r="BD306" s="10"/>
      <c r="BE306" s="10"/>
      <c r="BF306" s="10"/>
      <c r="BG306" s="10"/>
      <c r="BH306" s="10"/>
      <c r="BI306" s="10"/>
      <c r="BJ306" s="10"/>
      <c r="BK306" s="10"/>
      <c r="BL306" s="10"/>
      <c r="BM306" s="10"/>
      <c r="BN306" s="10"/>
      <c r="BO306" s="10"/>
      <c r="BP306" s="10"/>
      <c r="BQ306" s="10"/>
      <c r="BR306" s="10"/>
      <c r="BS306" s="10"/>
      <c r="BT306" s="10"/>
      <c r="BU306" s="10"/>
      <c r="BV306" s="10"/>
      <c r="BW306" s="10"/>
      <c r="BX306" s="10"/>
      <c r="BY306" s="10"/>
      <c r="BZ306" s="10"/>
      <c r="CA306" s="10"/>
      <c r="CB306" s="10"/>
      <c r="CC306" s="10"/>
      <c r="CD306" s="10"/>
      <c r="CE306" s="10"/>
      <c r="CF306" s="10"/>
      <c r="CG306" s="10"/>
      <c r="CH306" s="10"/>
      <c r="CI306" s="10"/>
      <c r="CJ306" s="10"/>
      <c r="CK306" s="10"/>
      <c r="CL306" s="10"/>
      <c r="CM306" s="10"/>
      <c r="CN306" s="10"/>
      <c r="CO306" s="10"/>
      <c r="CP306" s="10"/>
      <c r="CQ306" s="10"/>
      <c r="CR306" s="10"/>
      <c r="CS306" s="10"/>
      <c r="CT306" s="10"/>
      <c r="CU306" s="10"/>
      <c r="CV306" s="10"/>
      <c r="CW306" s="10"/>
      <c r="CX306" s="10"/>
      <c r="CY306" s="10"/>
      <c r="CZ306" s="10"/>
      <c r="DA306" s="10"/>
      <c r="DB306" s="10"/>
      <c r="DC306" s="10"/>
      <c r="DD306" s="10"/>
      <c r="DE306" s="10"/>
      <c r="DF306" s="10"/>
      <c r="DG306" s="10"/>
      <c r="DH306" s="10"/>
      <c r="DI306" s="10"/>
      <c r="DJ306" s="10"/>
      <c r="DK306" s="10"/>
      <c r="DL306" s="10"/>
      <c r="DM306" s="10"/>
      <c r="DN306" s="10"/>
      <c r="DO306" s="10"/>
      <c r="DP306" s="10"/>
      <c r="DQ306" s="10"/>
      <c r="DR306" s="10"/>
    </row>
    <row r="307" spans="1:122" x14ac:dyDescent="0.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0"/>
      <c r="BC307" s="10"/>
      <c r="BD307" s="10"/>
      <c r="BE307" s="10"/>
      <c r="BF307" s="10"/>
      <c r="BG307" s="10"/>
      <c r="BH307" s="10"/>
      <c r="BI307" s="10"/>
      <c r="BJ307" s="10"/>
      <c r="BK307" s="10"/>
      <c r="BL307" s="10"/>
      <c r="BM307" s="10"/>
      <c r="BN307" s="10"/>
      <c r="BO307" s="10"/>
      <c r="BP307" s="10"/>
      <c r="BQ307" s="10"/>
      <c r="BR307" s="10"/>
      <c r="BS307" s="10"/>
      <c r="BT307" s="10"/>
      <c r="BU307" s="10"/>
      <c r="BV307" s="10"/>
      <c r="BW307" s="10"/>
      <c r="BX307" s="10"/>
      <c r="BY307" s="10"/>
      <c r="BZ307" s="10"/>
      <c r="CA307" s="10"/>
      <c r="CB307" s="10"/>
      <c r="CC307" s="10"/>
      <c r="CD307" s="10"/>
      <c r="CE307" s="10"/>
      <c r="CF307" s="10"/>
      <c r="CG307" s="10"/>
      <c r="CH307" s="10"/>
      <c r="CI307" s="10"/>
      <c r="CJ307" s="10"/>
      <c r="CK307" s="10"/>
      <c r="CL307" s="10"/>
      <c r="CM307" s="10"/>
      <c r="CN307" s="10"/>
      <c r="CO307" s="10"/>
      <c r="CP307" s="10"/>
      <c r="CQ307" s="10"/>
      <c r="CR307" s="10"/>
      <c r="CS307" s="10"/>
      <c r="CT307" s="10"/>
      <c r="CU307" s="10"/>
      <c r="CV307" s="10"/>
      <c r="CW307" s="10"/>
      <c r="CX307" s="10"/>
      <c r="CY307" s="10"/>
      <c r="CZ307" s="10"/>
      <c r="DA307" s="10"/>
      <c r="DB307" s="10"/>
      <c r="DC307" s="10"/>
      <c r="DD307" s="10"/>
      <c r="DE307" s="10"/>
      <c r="DF307" s="10"/>
      <c r="DG307" s="10"/>
      <c r="DH307" s="10"/>
      <c r="DI307" s="10"/>
      <c r="DJ307" s="10"/>
      <c r="DK307" s="10"/>
      <c r="DL307" s="10"/>
      <c r="DM307" s="10"/>
      <c r="DN307" s="10"/>
      <c r="DO307" s="10"/>
      <c r="DP307" s="10"/>
      <c r="DQ307" s="10"/>
      <c r="DR307" s="10"/>
    </row>
    <row r="308" spans="1:122" x14ac:dyDescent="0.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0"/>
      <c r="BC308" s="10"/>
      <c r="BD308" s="10"/>
      <c r="BE308" s="10"/>
      <c r="BF308" s="10"/>
      <c r="BG308" s="10"/>
      <c r="BH308" s="10"/>
      <c r="BI308" s="10"/>
      <c r="BJ308" s="10"/>
      <c r="BK308" s="10"/>
      <c r="BL308" s="10"/>
      <c r="BM308" s="10"/>
      <c r="BN308" s="10"/>
      <c r="BO308" s="10"/>
      <c r="BP308" s="10"/>
      <c r="BQ308" s="10"/>
      <c r="BR308" s="10"/>
      <c r="BS308" s="10"/>
      <c r="BT308" s="10"/>
      <c r="BU308" s="10"/>
      <c r="BV308" s="10"/>
      <c r="BW308" s="10"/>
      <c r="BX308" s="10"/>
      <c r="BY308" s="10"/>
      <c r="BZ308" s="10"/>
      <c r="CA308" s="10"/>
      <c r="CB308" s="10"/>
      <c r="CC308" s="10"/>
      <c r="CD308" s="10"/>
      <c r="CE308" s="10"/>
      <c r="CF308" s="10"/>
      <c r="CG308" s="10"/>
      <c r="CH308" s="10"/>
      <c r="CI308" s="10"/>
      <c r="CJ308" s="10"/>
      <c r="CK308" s="10"/>
      <c r="CL308" s="10"/>
      <c r="CM308" s="10"/>
      <c r="CN308" s="10"/>
      <c r="CO308" s="10"/>
      <c r="CP308" s="10"/>
      <c r="CQ308" s="10"/>
      <c r="CR308" s="10"/>
      <c r="CS308" s="10"/>
      <c r="CT308" s="10"/>
      <c r="CU308" s="10"/>
      <c r="CV308" s="10"/>
      <c r="CW308" s="10"/>
      <c r="CX308" s="10"/>
      <c r="CY308" s="10"/>
      <c r="CZ308" s="10"/>
      <c r="DA308" s="10"/>
      <c r="DB308" s="10"/>
      <c r="DC308" s="10"/>
      <c r="DD308" s="10"/>
      <c r="DE308" s="10"/>
      <c r="DF308" s="10"/>
      <c r="DG308" s="10"/>
      <c r="DH308" s="10"/>
      <c r="DI308" s="10"/>
      <c r="DJ308" s="10"/>
      <c r="DK308" s="10"/>
      <c r="DL308" s="10"/>
      <c r="DM308" s="10"/>
      <c r="DN308" s="10"/>
      <c r="DO308" s="10"/>
      <c r="DP308" s="10"/>
      <c r="DQ308" s="10"/>
      <c r="DR308" s="10"/>
    </row>
    <row r="309" spans="1:122" x14ac:dyDescent="0.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0"/>
      <c r="BC309" s="10"/>
      <c r="BD309" s="10"/>
      <c r="BE309" s="10"/>
      <c r="BF309" s="10"/>
      <c r="BG309" s="10"/>
      <c r="BH309" s="10"/>
      <c r="BI309" s="10"/>
      <c r="BJ309" s="10"/>
      <c r="BK309" s="10"/>
      <c r="BL309" s="10"/>
      <c r="BM309" s="10"/>
      <c r="BN309" s="10"/>
      <c r="BO309" s="10"/>
      <c r="BP309" s="10"/>
      <c r="BQ309" s="10"/>
      <c r="BR309" s="10"/>
      <c r="BS309" s="10"/>
      <c r="BT309" s="10"/>
      <c r="BU309" s="10"/>
      <c r="BV309" s="10"/>
      <c r="BW309" s="10"/>
      <c r="BX309" s="10"/>
      <c r="BY309" s="10"/>
      <c r="BZ309" s="10"/>
      <c r="CA309" s="10"/>
      <c r="CB309" s="10"/>
      <c r="CC309" s="10"/>
      <c r="CD309" s="10"/>
      <c r="CE309" s="10"/>
      <c r="CF309" s="10"/>
      <c r="CG309" s="10"/>
      <c r="CH309" s="10"/>
      <c r="CI309" s="10"/>
      <c r="CJ309" s="10"/>
      <c r="CK309" s="10"/>
      <c r="CL309" s="10"/>
      <c r="CM309" s="10"/>
      <c r="CN309" s="10"/>
      <c r="CO309" s="10"/>
      <c r="CP309" s="10"/>
      <c r="CQ309" s="10"/>
      <c r="CR309" s="10"/>
      <c r="CS309" s="10"/>
      <c r="CT309" s="10"/>
      <c r="CU309" s="10"/>
      <c r="CV309" s="10"/>
      <c r="CW309" s="10"/>
      <c r="CX309" s="10"/>
      <c r="CY309" s="10"/>
      <c r="CZ309" s="10"/>
      <c r="DA309" s="10"/>
      <c r="DB309" s="10"/>
      <c r="DC309" s="10"/>
      <c r="DD309" s="10"/>
      <c r="DE309" s="10"/>
      <c r="DF309" s="10"/>
      <c r="DG309" s="10"/>
      <c r="DH309" s="10"/>
      <c r="DI309" s="10"/>
      <c r="DJ309" s="10"/>
      <c r="DK309" s="10"/>
      <c r="DL309" s="10"/>
      <c r="DM309" s="10"/>
      <c r="DN309" s="10"/>
      <c r="DO309" s="10"/>
      <c r="DP309" s="10"/>
      <c r="DQ309" s="10"/>
      <c r="DR309" s="10"/>
    </row>
    <row r="310" spans="1:122" x14ac:dyDescent="0.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0"/>
      <c r="BC310" s="10"/>
      <c r="BD310" s="10"/>
      <c r="BE310" s="10"/>
      <c r="BF310" s="10"/>
      <c r="BG310" s="10"/>
      <c r="BH310" s="10"/>
      <c r="BI310" s="10"/>
      <c r="BJ310" s="10"/>
      <c r="BK310" s="10"/>
      <c r="BL310" s="10"/>
      <c r="BM310" s="10"/>
      <c r="BN310" s="10"/>
      <c r="BO310" s="10"/>
      <c r="BP310" s="10"/>
      <c r="BQ310" s="10"/>
      <c r="BR310" s="10"/>
      <c r="BS310" s="10"/>
      <c r="BT310" s="10"/>
      <c r="BU310" s="10"/>
      <c r="BV310" s="10"/>
      <c r="BW310" s="10"/>
      <c r="BX310" s="10"/>
      <c r="BY310" s="10"/>
      <c r="BZ310" s="10"/>
      <c r="CA310" s="10"/>
      <c r="CB310" s="10"/>
      <c r="CC310" s="10"/>
      <c r="CD310" s="10"/>
      <c r="CE310" s="10"/>
      <c r="CF310" s="10"/>
      <c r="CG310" s="10"/>
      <c r="CH310" s="10"/>
      <c r="CI310" s="10"/>
      <c r="CJ310" s="10"/>
      <c r="CK310" s="10"/>
      <c r="CL310" s="10"/>
      <c r="CM310" s="10"/>
      <c r="CN310" s="10"/>
      <c r="CO310" s="10"/>
      <c r="CP310" s="10"/>
      <c r="CQ310" s="10"/>
      <c r="CR310" s="10"/>
      <c r="CS310" s="10"/>
      <c r="CT310" s="10"/>
      <c r="CU310" s="10"/>
      <c r="CV310" s="10"/>
      <c r="CW310" s="10"/>
      <c r="CX310" s="10"/>
      <c r="CY310" s="10"/>
      <c r="CZ310" s="10"/>
      <c r="DA310" s="10"/>
      <c r="DB310" s="10"/>
      <c r="DC310" s="10"/>
      <c r="DD310" s="10"/>
      <c r="DE310" s="10"/>
      <c r="DF310" s="10"/>
      <c r="DG310" s="10"/>
      <c r="DH310" s="10"/>
      <c r="DI310" s="10"/>
      <c r="DJ310" s="10"/>
      <c r="DK310" s="10"/>
      <c r="DL310" s="10"/>
      <c r="DM310" s="10"/>
      <c r="DN310" s="10"/>
      <c r="DO310" s="10"/>
      <c r="DP310" s="10"/>
      <c r="DQ310" s="10"/>
      <c r="DR310" s="10"/>
    </row>
    <row r="311" spans="1:122" x14ac:dyDescent="0.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0"/>
      <c r="BC311" s="10"/>
      <c r="BD311" s="10"/>
      <c r="BE311" s="10"/>
      <c r="BF311" s="10"/>
      <c r="BG311" s="10"/>
      <c r="BH311" s="10"/>
      <c r="BI311" s="10"/>
      <c r="BJ311" s="10"/>
      <c r="BK311" s="10"/>
      <c r="BL311" s="10"/>
      <c r="BM311" s="10"/>
      <c r="BN311" s="10"/>
      <c r="BO311" s="10"/>
      <c r="BP311" s="10"/>
      <c r="BQ311" s="10"/>
      <c r="BR311" s="10"/>
      <c r="BS311" s="10"/>
      <c r="BT311" s="10"/>
      <c r="BU311" s="10"/>
      <c r="BV311" s="10"/>
      <c r="BW311" s="10"/>
      <c r="BX311" s="10"/>
      <c r="BY311" s="10"/>
      <c r="BZ311" s="10"/>
      <c r="CA311" s="10"/>
      <c r="CB311" s="10"/>
      <c r="CC311" s="10"/>
      <c r="CD311" s="10"/>
      <c r="CE311" s="10"/>
      <c r="CF311" s="10"/>
      <c r="CG311" s="10"/>
      <c r="CH311" s="10"/>
      <c r="CI311" s="10"/>
      <c r="CJ311" s="10"/>
      <c r="CK311" s="10"/>
      <c r="CL311" s="10"/>
      <c r="CM311" s="10"/>
      <c r="CN311" s="10"/>
      <c r="CO311" s="10"/>
      <c r="CP311" s="10"/>
      <c r="CQ311" s="10"/>
      <c r="CR311" s="10"/>
      <c r="CS311" s="10"/>
      <c r="CT311" s="10"/>
      <c r="CU311" s="10"/>
      <c r="CV311" s="10"/>
      <c r="CW311" s="10"/>
      <c r="CX311" s="10"/>
      <c r="CY311" s="10"/>
      <c r="CZ311" s="10"/>
      <c r="DA311" s="10"/>
      <c r="DB311" s="10"/>
      <c r="DC311" s="10"/>
      <c r="DD311" s="10"/>
      <c r="DE311" s="10"/>
      <c r="DF311" s="10"/>
      <c r="DG311" s="10"/>
      <c r="DH311" s="10"/>
      <c r="DI311" s="10"/>
      <c r="DJ311" s="10"/>
      <c r="DK311" s="10"/>
      <c r="DL311" s="10"/>
      <c r="DM311" s="10"/>
      <c r="DN311" s="10"/>
      <c r="DO311" s="10"/>
      <c r="DP311" s="10"/>
      <c r="DQ311" s="10"/>
      <c r="DR311" s="10"/>
    </row>
    <row r="312" spans="1:122" x14ac:dyDescent="0.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0"/>
      <c r="BC312" s="10"/>
      <c r="BD312" s="10"/>
      <c r="BE312" s="10"/>
      <c r="BF312" s="10"/>
      <c r="BG312" s="10"/>
      <c r="BH312" s="10"/>
      <c r="BI312" s="10"/>
      <c r="BJ312" s="10"/>
      <c r="BK312" s="10"/>
      <c r="BL312" s="10"/>
      <c r="BM312" s="10"/>
      <c r="BN312" s="10"/>
      <c r="BO312" s="10"/>
      <c r="BP312" s="10"/>
      <c r="BQ312" s="10"/>
      <c r="BR312" s="10"/>
      <c r="BS312" s="10"/>
      <c r="BT312" s="10"/>
      <c r="BU312" s="10"/>
      <c r="BV312" s="10"/>
      <c r="BW312" s="10"/>
      <c r="BX312" s="10"/>
      <c r="BY312" s="10"/>
      <c r="BZ312" s="10"/>
      <c r="CA312" s="10"/>
      <c r="CB312" s="10"/>
      <c r="CC312" s="10"/>
      <c r="CD312" s="10"/>
      <c r="CE312" s="10"/>
      <c r="CF312" s="10"/>
      <c r="CG312" s="10"/>
      <c r="CH312" s="10"/>
      <c r="CI312" s="10"/>
      <c r="CJ312" s="10"/>
      <c r="CK312" s="10"/>
      <c r="CL312" s="10"/>
      <c r="CM312" s="10"/>
      <c r="CN312" s="10"/>
      <c r="CO312" s="10"/>
      <c r="CP312" s="10"/>
      <c r="CQ312" s="10"/>
      <c r="CR312" s="10"/>
      <c r="CS312" s="10"/>
      <c r="CT312" s="10"/>
      <c r="CU312" s="10"/>
      <c r="CV312" s="10"/>
      <c r="CW312" s="10"/>
      <c r="CX312" s="10"/>
      <c r="CY312" s="10"/>
      <c r="CZ312" s="10"/>
      <c r="DA312" s="10"/>
      <c r="DB312" s="10"/>
      <c r="DC312" s="10"/>
      <c r="DD312" s="10"/>
      <c r="DE312" s="10"/>
      <c r="DF312" s="10"/>
      <c r="DG312" s="10"/>
      <c r="DH312" s="10"/>
      <c r="DI312" s="10"/>
      <c r="DJ312" s="10"/>
      <c r="DK312" s="10"/>
      <c r="DL312" s="10"/>
      <c r="DM312" s="10"/>
      <c r="DN312" s="10"/>
      <c r="DO312" s="10"/>
      <c r="DP312" s="10"/>
      <c r="DQ312" s="10"/>
      <c r="DR312" s="10"/>
    </row>
    <row r="313" spans="1:122" x14ac:dyDescent="0.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0"/>
      <c r="BC313" s="10"/>
      <c r="BD313" s="10"/>
      <c r="BE313" s="10"/>
      <c r="BF313" s="10"/>
      <c r="BG313" s="10"/>
      <c r="BH313" s="10"/>
      <c r="BI313" s="10"/>
      <c r="BJ313" s="10"/>
      <c r="BK313" s="10"/>
      <c r="BL313" s="10"/>
      <c r="BM313" s="10"/>
      <c r="BN313" s="10"/>
      <c r="BO313" s="10"/>
      <c r="BP313" s="10"/>
      <c r="BQ313" s="10"/>
      <c r="BR313" s="10"/>
      <c r="BS313" s="10"/>
      <c r="BT313" s="10"/>
      <c r="BU313" s="10"/>
      <c r="BV313" s="10"/>
      <c r="BW313" s="10"/>
      <c r="BX313" s="10"/>
      <c r="BY313" s="10"/>
      <c r="BZ313" s="10"/>
      <c r="CA313" s="10"/>
      <c r="CB313" s="10"/>
      <c r="CC313" s="10"/>
      <c r="CD313" s="10"/>
      <c r="CE313" s="10"/>
      <c r="CF313" s="10"/>
      <c r="CG313" s="10"/>
      <c r="CH313" s="10"/>
      <c r="CI313" s="10"/>
      <c r="CJ313" s="10"/>
      <c r="CK313" s="10"/>
      <c r="CL313" s="10"/>
      <c r="CM313" s="10"/>
      <c r="CN313" s="10"/>
      <c r="CO313" s="10"/>
      <c r="CP313" s="10"/>
      <c r="CQ313" s="10"/>
      <c r="CR313" s="10"/>
      <c r="CS313" s="10"/>
      <c r="CT313" s="10"/>
      <c r="CU313" s="10"/>
      <c r="CV313" s="10"/>
      <c r="CW313" s="10"/>
      <c r="CX313" s="10"/>
      <c r="CY313" s="10"/>
      <c r="CZ313" s="10"/>
      <c r="DA313" s="10"/>
      <c r="DB313" s="10"/>
      <c r="DC313" s="10"/>
      <c r="DD313" s="10"/>
      <c r="DE313" s="10"/>
      <c r="DF313" s="10"/>
      <c r="DG313" s="10"/>
      <c r="DH313" s="10"/>
      <c r="DI313" s="10"/>
      <c r="DJ313" s="10"/>
      <c r="DK313" s="10"/>
      <c r="DL313" s="10"/>
      <c r="DM313" s="10"/>
      <c r="DN313" s="10"/>
      <c r="DO313" s="10"/>
      <c r="DP313" s="10"/>
      <c r="DQ313" s="10"/>
      <c r="DR313" s="10"/>
    </row>
    <row r="314" spans="1:122" x14ac:dyDescent="0.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0"/>
      <c r="BC314" s="10"/>
      <c r="BD314" s="10"/>
      <c r="BE314" s="10"/>
      <c r="BF314" s="10"/>
      <c r="BG314" s="10"/>
      <c r="BH314" s="10"/>
      <c r="BI314" s="10"/>
      <c r="BJ314" s="10"/>
      <c r="BK314" s="10"/>
      <c r="BL314" s="10"/>
      <c r="BM314" s="10"/>
      <c r="BN314" s="10"/>
      <c r="BO314" s="10"/>
      <c r="BP314" s="10"/>
      <c r="BQ314" s="10"/>
      <c r="BR314" s="10"/>
      <c r="BS314" s="10"/>
      <c r="BT314" s="10"/>
      <c r="BU314" s="10"/>
      <c r="BV314" s="10"/>
      <c r="BW314" s="10"/>
      <c r="BX314" s="10"/>
      <c r="BY314" s="10"/>
      <c r="BZ314" s="10"/>
      <c r="CA314" s="10"/>
      <c r="CB314" s="10"/>
      <c r="CC314" s="10"/>
      <c r="CD314" s="10"/>
      <c r="CE314" s="10"/>
      <c r="CF314" s="10"/>
      <c r="CG314" s="10"/>
      <c r="CH314" s="10"/>
      <c r="CI314" s="10"/>
      <c r="CJ314" s="10"/>
      <c r="CK314" s="10"/>
      <c r="CL314" s="10"/>
      <c r="CM314" s="10"/>
      <c r="CN314" s="10"/>
      <c r="CO314" s="10"/>
      <c r="CP314" s="10"/>
      <c r="CQ314" s="10"/>
      <c r="CR314" s="10"/>
      <c r="CS314" s="10"/>
      <c r="CT314" s="10"/>
      <c r="CU314" s="10"/>
      <c r="CV314" s="10"/>
      <c r="CW314" s="10"/>
      <c r="CX314" s="10"/>
      <c r="CY314" s="10"/>
      <c r="CZ314" s="10"/>
      <c r="DA314" s="10"/>
      <c r="DB314" s="10"/>
      <c r="DC314" s="10"/>
      <c r="DD314" s="10"/>
      <c r="DE314" s="10"/>
      <c r="DF314" s="10"/>
      <c r="DG314" s="10"/>
      <c r="DH314" s="10"/>
      <c r="DI314" s="10"/>
      <c r="DJ314" s="10"/>
      <c r="DK314" s="10"/>
      <c r="DL314" s="10"/>
      <c r="DM314" s="10"/>
      <c r="DN314" s="10"/>
      <c r="DO314" s="10"/>
      <c r="DP314" s="10"/>
      <c r="DQ314" s="10"/>
      <c r="DR314" s="10"/>
    </row>
    <row r="315" spans="1:122" x14ac:dyDescent="0.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0"/>
      <c r="BC315" s="10"/>
      <c r="BD315" s="10"/>
      <c r="BE315" s="10"/>
      <c r="BF315" s="10"/>
      <c r="BG315" s="10"/>
      <c r="BH315" s="10"/>
      <c r="BI315" s="10"/>
      <c r="BJ315" s="10"/>
      <c r="BK315" s="10"/>
      <c r="BL315" s="10"/>
      <c r="BM315" s="10"/>
      <c r="BN315" s="10"/>
      <c r="BO315" s="10"/>
      <c r="BP315" s="10"/>
      <c r="BQ315" s="10"/>
      <c r="BR315" s="10"/>
      <c r="BS315" s="10"/>
      <c r="BT315" s="10"/>
      <c r="BU315" s="10"/>
      <c r="BV315" s="10"/>
      <c r="BW315" s="10"/>
      <c r="BX315" s="10"/>
      <c r="BY315" s="10"/>
      <c r="BZ315" s="10"/>
      <c r="CA315" s="10"/>
      <c r="CB315" s="10"/>
      <c r="CC315" s="10"/>
      <c r="CD315" s="10"/>
      <c r="CE315" s="10"/>
      <c r="CF315" s="10"/>
      <c r="CG315" s="10"/>
      <c r="CH315" s="10"/>
      <c r="CI315" s="10"/>
      <c r="CJ315" s="10"/>
      <c r="CK315" s="10"/>
      <c r="CL315" s="10"/>
      <c r="CM315" s="10"/>
      <c r="CN315" s="10"/>
      <c r="CO315" s="10"/>
      <c r="CP315" s="10"/>
      <c r="CQ315" s="10"/>
      <c r="CR315" s="10"/>
      <c r="CS315" s="10"/>
      <c r="CT315" s="10"/>
      <c r="CU315" s="10"/>
      <c r="CV315" s="10"/>
      <c r="CW315" s="10"/>
      <c r="CX315" s="10"/>
      <c r="CY315" s="10"/>
      <c r="CZ315" s="10"/>
      <c r="DA315" s="10"/>
      <c r="DB315" s="10"/>
      <c r="DC315" s="10"/>
      <c r="DD315" s="10"/>
      <c r="DE315" s="10"/>
      <c r="DF315" s="10"/>
      <c r="DG315" s="10"/>
      <c r="DH315" s="10"/>
      <c r="DI315" s="10"/>
      <c r="DJ315" s="10"/>
      <c r="DK315" s="10"/>
      <c r="DL315" s="10"/>
      <c r="DM315" s="10"/>
      <c r="DN315" s="10"/>
      <c r="DO315" s="10"/>
      <c r="DP315" s="10"/>
      <c r="DQ315" s="10"/>
      <c r="DR315" s="10"/>
    </row>
    <row r="316" spans="1:122" x14ac:dyDescent="0.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0"/>
      <c r="BC316" s="10"/>
      <c r="BD316" s="10"/>
      <c r="BE316" s="10"/>
      <c r="BF316" s="10"/>
      <c r="BG316" s="10"/>
      <c r="BH316" s="10"/>
      <c r="BI316" s="10"/>
      <c r="BJ316" s="10"/>
      <c r="BK316" s="10"/>
      <c r="BL316" s="10"/>
      <c r="BM316" s="10"/>
      <c r="BN316" s="10"/>
      <c r="BO316" s="10"/>
      <c r="BP316" s="10"/>
      <c r="BQ316" s="10"/>
      <c r="BR316" s="10"/>
      <c r="BS316" s="10"/>
      <c r="BT316" s="10"/>
      <c r="BU316" s="10"/>
      <c r="BV316" s="10"/>
      <c r="BW316" s="10"/>
      <c r="BX316" s="10"/>
      <c r="BY316" s="10"/>
      <c r="BZ316" s="10"/>
      <c r="CA316" s="10"/>
      <c r="CB316" s="10"/>
      <c r="CC316" s="10"/>
      <c r="CD316" s="10"/>
      <c r="CE316" s="10"/>
      <c r="CF316" s="10"/>
      <c r="CG316" s="10"/>
      <c r="CH316" s="10"/>
      <c r="CI316" s="10"/>
      <c r="CJ316" s="10"/>
      <c r="CK316" s="10"/>
      <c r="CL316" s="10"/>
      <c r="CM316" s="10"/>
      <c r="CN316" s="10"/>
      <c r="CO316" s="10"/>
      <c r="CP316" s="10"/>
      <c r="CQ316" s="10"/>
      <c r="CR316" s="10"/>
      <c r="CS316" s="10"/>
      <c r="CT316" s="10"/>
      <c r="CU316" s="10"/>
      <c r="CV316" s="10"/>
      <c r="CW316" s="10"/>
      <c r="CX316" s="10"/>
      <c r="CY316" s="10"/>
      <c r="CZ316" s="10"/>
      <c r="DA316" s="10"/>
      <c r="DB316" s="10"/>
      <c r="DC316" s="10"/>
      <c r="DD316" s="10"/>
      <c r="DE316" s="10"/>
      <c r="DF316" s="10"/>
      <c r="DG316" s="10"/>
      <c r="DH316" s="10"/>
      <c r="DI316" s="10"/>
      <c r="DJ316" s="10"/>
      <c r="DK316" s="10"/>
      <c r="DL316" s="10"/>
      <c r="DM316" s="10"/>
      <c r="DN316" s="10"/>
      <c r="DO316" s="10"/>
      <c r="DP316" s="10"/>
      <c r="DQ316" s="10"/>
      <c r="DR316" s="10"/>
    </row>
    <row r="317" spans="1:122" x14ac:dyDescent="0.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0"/>
      <c r="BC317" s="10"/>
      <c r="BD317" s="10"/>
      <c r="BE317" s="10"/>
      <c r="BF317" s="10"/>
      <c r="BG317" s="10"/>
      <c r="BH317" s="10"/>
      <c r="BI317" s="10"/>
      <c r="BJ317" s="10"/>
      <c r="BK317" s="10"/>
      <c r="BL317" s="10"/>
      <c r="BM317" s="10"/>
      <c r="BN317" s="10"/>
      <c r="BO317" s="10"/>
      <c r="BP317" s="10"/>
      <c r="BQ317" s="10"/>
      <c r="BR317" s="10"/>
      <c r="BS317" s="10"/>
      <c r="BT317" s="10"/>
      <c r="BU317" s="10"/>
      <c r="BV317" s="10"/>
      <c r="BW317" s="10"/>
      <c r="BX317" s="10"/>
      <c r="BY317" s="10"/>
      <c r="BZ317" s="10"/>
      <c r="CA317" s="10"/>
      <c r="CB317" s="10"/>
      <c r="CC317" s="10"/>
      <c r="CD317" s="10"/>
      <c r="CE317" s="10"/>
      <c r="CF317" s="10"/>
      <c r="CG317" s="10"/>
      <c r="CH317" s="10"/>
      <c r="CI317" s="10"/>
      <c r="CJ317" s="10"/>
      <c r="CK317" s="10"/>
      <c r="CL317" s="10"/>
      <c r="CM317" s="10"/>
      <c r="CN317" s="10"/>
      <c r="CO317" s="10"/>
      <c r="CP317" s="10"/>
      <c r="CQ317" s="10"/>
      <c r="CR317" s="10"/>
      <c r="CS317" s="10"/>
      <c r="CT317" s="10"/>
      <c r="CU317" s="10"/>
      <c r="CV317" s="10"/>
      <c r="CW317" s="10"/>
      <c r="CX317" s="10"/>
      <c r="CY317" s="10"/>
      <c r="CZ317" s="10"/>
      <c r="DA317" s="10"/>
      <c r="DB317" s="10"/>
      <c r="DC317" s="10"/>
      <c r="DD317" s="10"/>
      <c r="DE317" s="10"/>
      <c r="DF317" s="10"/>
      <c r="DG317" s="10"/>
      <c r="DH317" s="10"/>
      <c r="DI317" s="10"/>
      <c r="DJ317" s="10"/>
      <c r="DK317" s="10"/>
      <c r="DL317" s="10"/>
      <c r="DM317" s="10"/>
      <c r="DN317" s="10"/>
      <c r="DO317" s="10"/>
      <c r="DP317" s="10"/>
      <c r="DQ317" s="10"/>
      <c r="DR317" s="10"/>
    </row>
    <row r="318" spans="1:122" x14ac:dyDescent="0.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0"/>
      <c r="BC318" s="10"/>
      <c r="BD318" s="10"/>
      <c r="BE318" s="10"/>
      <c r="BF318" s="10"/>
      <c r="BG318" s="10"/>
      <c r="BH318" s="10"/>
      <c r="BI318" s="10"/>
      <c r="BJ318" s="10"/>
      <c r="BK318" s="10"/>
      <c r="BL318" s="10"/>
      <c r="BM318" s="10"/>
      <c r="BN318" s="10"/>
      <c r="BO318" s="10"/>
      <c r="BP318" s="10"/>
      <c r="BQ318" s="10"/>
      <c r="BR318" s="10"/>
      <c r="BS318" s="10"/>
      <c r="BT318" s="10"/>
      <c r="BU318" s="10"/>
      <c r="BV318" s="10"/>
      <c r="BW318" s="10"/>
      <c r="BX318" s="10"/>
      <c r="BY318" s="10"/>
      <c r="BZ318" s="10"/>
      <c r="CA318" s="10"/>
      <c r="CB318" s="10"/>
      <c r="CC318" s="10"/>
      <c r="CD318" s="10"/>
      <c r="CE318" s="10"/>
      <c r="CF318" s="10"/>
      <c r="CG318" s="10"/>
      <c r="CH318" s="10"/>
      <c r="CI318" s="10"/>
      <c r="CJ318" s="10"/>
      <c r="CK318" s="10"/>
      <c r="CL318" s="10"/>
      <c r="CM318" s="10"/>
      <c r="CN318" s="10"/>
      <c r="CO318" s="10"/>
      <c r="CP318" s="10"/>
      <c r="CQ318" s="10"/>
      <c r="CR318" s="10"/>
      <c r="CS318" s="10"/>
      <c r="CT318" s="10"/>
      <c r="CU318" s="10"/>
      <c r="CV318" s="10"/>
      <c r="CW318" s="10"/>
      <c r="CX318" s="10"/>
      <c r="CY318" s="10"/>
      <c r="CZ318" s="10"/>
      <c r="DA318" s="10"/>
      <c r="DB318" s="10"/>
      <c r="DC318" s="10"/>
      <c r="DD318" s="10"/>
      <c r="DE318" s="10"/>
      <c r="DF318" s="10"/>
      <c r="DG318" s="10"/>
      <c r="DH318" s="10"/>
      <c r="DI318" s="10"/>
      <c r="DJ318" s="10"/>
      <c r="DK318" s="10"/>
      <c r="DL318" s="10"/>
      <c r="DM318" s="10"/>
      <c r="DN318" s="10"/>
      <c r="DO318" s="10"/>
      <c r="DP318" s="10"/>
      <c r="DQ318" s="10"/>
      <c r="DR318" s="10"/>
    </row>
    <row r="319" spans="1:122" x14ac:dyDescent="0.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0"/>
      <c r="BC319" s="10"/>
      <c r="BD319" s="10"/>
      <c r="BE319" s="10"/>
      <c r="BF319" s="10"/>
      <c r="BG319" s="10"/>
      <c r="BH319" s="10"/>
      <c r="BI319" s="10"/>
      <c r="BJ319" s="10"/>
      <c r="BK319" s="10"/>
      <c r="BL319" s="10"/>
      <c r="BM319" s="10"/>
      <c r="BN319" s="10"/>
      <c r="BO319" s="10"/>
      <c r="BP319" s="10"/>
      <c r="BQ319" s="10"/>
      <c r="BR319" s="10"/>
      <c r="BS319" s="10"/>
      <c r="BT319" s="10"/>
      <c r="BU319" s="10"/>
      <c r="BV319" s="10"/>
      <c r="BW319" s="10"/>
      <c r="BX319" s="10"/>
      <c r="BY319" s="10"/>
      <c r="BZ319" s="10"/>
      <c r="CA319" s="10"/>
      <c r="CB319" s="10"/>
      <c r="CC319" s="10"/>
      <c r="CD319" s="10"/>
      <c r="CE319" s="10"/>
      <c r="CF319" s="10"/>
      <c r="CG319" s="10"/>
      <c r="CH319" s="10"/>
      <c r="CI319" s="10"/>
      <c r="CJ319" s="10"/>
      <c r="CK319" s="10"/>
      <c r="CL319" s="10"/>
      <c r="CM319" s="10"/>
      <c r="CN319" s="10"/>
      <c r="CO319" s="10"/>
      <c r="CP319" s="10"/>
      <c r="CQ319" s="10"/>
      <c r="CR319" s="10"/>
      <c r="CS319" s="10"/>
      <c r="CT319" s="10"/>
      <c r="CU319" s="10"/>
      <c r="CV319" s="10"/>
      <c r="CW319" s="10"/>
      <c r="CX319" s="10"/>
      <c r="CY319" s="10"/>
      <c r="CZ319" s="10"/>
      <c r="DA319" s="10"/>
      <c r="DB319" s="10"/>
      <c r="DC319" s="10"/>
      <c r="DD319" s="10"/>
      <c r="DE319" s="10"/>
      <c r="DF319" s="10"/>
      <c r="DG319" s="10"/>
      <c r="DH319" s="10"/>
      <c r="DI319" s="10"/>
      <c r="DJ319" s="10"/>
      <c r="DK319" s="10"/>
      <c r="DL319" s="10"/>
      <c r="DM319" s="10"/>
      <c r="DN319" s="10"/>
      <c r="DO319" s="10"/>
      <c r="DP319" s="10"/>
      <c r="DQ319" s="10"/>
      <c r="DR319" s="10"/>
    </row>
    <row r="320" spans="1:122" x14ac:dyDescent="0.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0"/>
      <c r="BC320" s="10"/>
      <c r="BD320" s="10"/>
      <c r="BE320" s="10"/>
      <c r="BF320" s="10"/>
      <c r="BG320" s="10"/>
      <c r="BH320" s="10"/>
      <c r="BI320" s="10"/>
      <c r="BJ320" s="10"/>
      <c r="BK320" s="10"/>
      <c r="BL320" s="10"/>
      <c r="BM320" s="10"/>
      <c r="BN320" s="10"/>
      <c r="BO320" s="10"/>
      <c r="BP320" s="10"/>
      <c r="BQ320" s="10"/>
      <c r="BR320" s="10"/>
      <c r="BS320" s="10"/>
      <c r="BT320" s="10"/>
      <c r="BU320" s="10"/>
      <c r="BV320" s="10"/>
      <c r="BW320" s="10"/>
      <c r="BX320" s="10"/>
      <c r="BY320" s="10"/>
      <c r="BZ320" s="10"/>
      <c r="CA320" s="10"/>
      <c r="CB320" s="10"/>
      <c r="CC320" s="10"/>
      <c r="CD320" s="10"/>
      <c r="CE320" s="10"/>
      <c r="CF320" s="10"/>
      <c r="CG320" s="10"/>
      <c r="CH320" s="10"/>
      <c r="CI320" s="10"/>
      <c r="CJ320" s="10"/>
      <c r="CK320" s="10"/>
      <c r="CL320" s="10"/>
      <c r="CM320" s="10"/>
      <c r="CN320" s="10"/>
      <c r="CO320" s="10"/>
      <c r="CP320" s="10"/>
      <c r="CQ320" s="10"/>
      <c r="CR320" s="10"/>
      <c r="CS320" s="10"/>
      <c r="CT320" s="10"/>
      <c r="CU320" s="10"/>
      <c r="CV320" s="10"/>
      <c r="CW320" s="10"/>
      <c r="CX320" s="10"/>
      <c r="CY320" s="10"/>
      <c r="CZ320" s="10"/>
      <c r="DA320" s="10"/>
      <c r="DB320" s="10"/>
      <c r="DC320" s="10"/>
      <c r="DD320" s="10"/>
      <c r="DE320" s="10"/>
      <c r="DF320" s="10"/>
      <c r="DG320" s="10"/>
      <c r="DH320" s="10"/>
      <c r="DI320" s="10"/>
      <c r="DJ320" s="10"/>
      <c r="DK320" s="10"/>
      <c r="DL320" s="10"/>
      <c r="DM320" s="10"/>
      <c r="DN320" s="10"/>
      <c r="DO320" s="10"/>
      <c r="DP320" s="10"/>
      <c r="DQ320" s="10"/>
      <c r="DR320" s="10"/>
    </row>
    <row r="321" spans="1:122" x14ac:dyDescent="0.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0"/>
      <c r="BC321" s="10"/>
      <c r="BD321" s="10"/>
      <c r="BE321" s="10"/>
      <c r="BF321" s="10"/>
      <c r="BG321" s="10"/>
      <c r="BH321" s="10"/>
      <c r="BI321" s="10"/>
      <c r="BJ321" s="10"/>
      <c r="BK321" s="10"/>
      <c r="BL321" s="10"/>
      <c r="BM321" s="10"/>
      <c r="BN321" s="10"/>
      <c r="BO321" s="10"/>
      <c r="BP321" s="10"/>
      <c r="BQ321" s="10"/>
      <c r="BR321" s="10"/>
      <c r="BS321" s="10"/>
      <c r="BT321" s="10"/>
      <c r="BU321" s="10"/>
      <c r="BV321" s="10"/>
      <c r="BW321" s="10"/>
      <c r="BX321" s="10"/>
      <c r="BY321" s="10"/>
      <c r="BZ321" s="10"/>
      <c r="CA321" s="10"/>
      <c r="CB321" s="10"/>
      <c r="CC321" s="10"/>
      <c r="CD321" s="10"/>
      <c r="CE321" s="10"/>
      <c r="CF321" s="10"/>
      <c r="CG321" s="10"/>
      <c r="CH321" s="10"/>
      <c r="CI321" s="10"/>
      <c r="CJ321" s="10"/>
      <c r="CK321" s="10"/>
      <c r="CL321" s="10"/>
      <c r="CM321" s="10"/>
      <c r="CN321" s="10"/>
      <c r="CO321" s="10"/>
      <c r="CP321" s="10"/>
      <c r="CQ321" s="10"/>
      <c r="CR321" s="10"/>
      <c r="CS321" s="10"/>
      <c r="CT321" s="10"/>
      <c r="CU321" s="10"/>
      <c r="CV321" s="10"/>
      <c r="CW321" s="10"/>
      <c r="CX321" s="10"/>
      <c r="CY321" s="10"/>
      <c r="CZ321" s="10"/>
      <c r="DA321" s="10"/>
      <c r="DB321" s="10"/>
      <c r="DC321" s="10"/>
      <c r="DD321" s="10"/>
      <c r="DE321" s="10"/>
      <c r="DF321" s="10"/>
      <c r="DG321" s="10"/>
      <c r="DH321" s="10"/>
      <c r="DI321" s="10"/>
      <c r="DJ321" s="10"/>
      <c r="DK321" s="10"/>
      <c r="DL321" s="10"/>
      <c r="DM321" s="10"/>
      <c r="DN321" s="10"/>
      <c r="DO321" s="10"/>
      <c r="DP321" s="10"/>
      <c r="DQ321" s="10"/>
      <c r="DR321" s="10"/>
    </row>
    <row r="322" spans="1:122" x14ac:dyDescent="0.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0"/>
      <c r="BC322" s="10"/>
      <c r="BD322" s="10"/>
      <c r="BE322" s="10"/>
      <c r="BF322" s="10"/>
      <c r="BG322" s="10"/>
      <c r="BH322" s="10"/>
      <c r="BI322" s="10"/>
      <c r="BJ322" s="10"/>
      <c r="BK322" s="10"/>
      <c r="BL322" s="10"/>
      <c r="BM322" s="10"/>
      <c r="BN322" s="10"/>
      <c r="BO322" s="10"/>
      <c r="BP322" s="10"/>
      <c r="BQ322" s="10"/>
      <c r="BR322" s="10"/>
      <c r="BS322" s="10"/>
      <c r="BT322" s="10"/>
      <c r="BU322" s="10"/>
      <c r="BV322" s="10"/>
      <c r="BW322" s="10"/>
      <c r="BX322" s="10"/>
      <c r="BY322" s="10"/>
      <c r="BZ322" s="10"/>
      <c r="CA322" s="10"/>
      <c r="CB322" s="10"/>
      <c r="CC322" s="10"/>
      <c r="CD322" s="10"/>
      <c r="CE322" s="10"/>
      <c r="CF322" s="10"/>
      <c r="CG322" s="10"/>
      <c r="CH322" s="10"/>
      <c r="CI322" s="10"/>
      <c r="CJ322" s="10"/>
      <c r="CK322" s="10"/>
      <c r="CL322" s="10"/>
      <c r="CM322" s="10"/>
      <c r="CN322" s="10"/>
      <c r="CO322" s="10"/>
      <c r="CP322" s="10"/>
      <c r="CQ322" s="10"/>
      <c r="CR322" s="10"/>
      <c r="CS322" s="10"/>
      <c r="CT322" s="10"/>
      <c r="CU322" s="10"/>
      <c r="CV322" s="10"/>
      <c r="CW322" s="10"/>
      <c r="CX322" s="10"/>
      <c r="CY322" s="10"/>
      <c r="CZ322" s="10"/>
      <c r="DA322" s="10"/>
      <c r="DB322" s="10"/>
      <c r="DC322" s="10"/>
      <c r="DD322" s="10"/>
      <c r="DE322" s="10"/>
      <c r="DF322" s="10"/>
      <c r="DG322" s="10"/>
      <c r="DH322" s="10"/>
      <c r="DI322" s="10"/>
      <c r="DJ322" s="10"/>
      <c r="DK322" s="10"/>
      <c r="DL322" s="10"/>
      <c r="DM322" s="10"/>
      <c r="DN322" s="10"/>
      <c r="DO322" s="10"/>
      <c r="DP322" s="10"/>
      <c r="DQ322" s="10"/>
      <c r="DR322" s="10"/>
    </row>
    <row r="323" spans="1:122" x14ac:dyDescent="0.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0"/>
      <c r="BC323" s="10"/>
      <c r="BD323" s="10"/>
      <c r="BE323" s="10"/>
      <c r="BF323" s="10"/>
      <c r="BG323" s="10"/>
      <c r="BH323" s="10"/>
      <c r="BI323" s="10"/>
      <c r="BJ323" s="10"/>
      <c r="BK323" s="10"/>
      <c r="BL323" s="10"/>
      <c r="BM323" s="10"/>
      <c r="BN323" s="10"/>
      <c r="BO323" s="10"/>
      <c r="BP323" s="10"/>
      <c r="BQ323" s="10"/>
      <c r="BR323" s="10"/>
      <c r="BS323" s="10"/>
      <c r="BT323" s="10"/>
      <c r="BU323" s="10"/>
      <c r="BV323" s="10"/>
      <c r="BW323" s="10"/>
      <c r="BX323" s="10"/>
      <c r="BY323" s="10"/>
      <c r="BZ323" s="10"/>
      <c r="CA323" s="10"/>
      <c r="CB323" s="10"/>
      <c r="CC323" s="10"/>
      <c r="CD323" s="10"/>
      <c r="CE323" s="10"/>
      <c r="CF323" s="10"/>
      <c r="CG323" s="10"/>
      <c r="CH323" s="10"/>
      <c r="CI323" s="10"/>
      <c r="CJ323" s="10"/>
      <c r="CK323" s="10"/>
      <c r="CL323" s="10"/>
      <c r="CM323" s="10"/>
      <c r="CN323" s="10"/>
      <c r="CO323" s="10"/>
      <c r="CP323" s="10"/>
      <c r="CQ323" s="10"/>
      <c r="CR323" s="10"/>
      <c r="CS323" s="10"/>
      <c r="CT323" s="10"/>
      <c r="CU323" s="10"/>
      <c r="CV323" s="10"/>
      <c r="CW323" s="10"/>
      <c r="CX323" s="10"/>
      <c r="CY323" s="10"/>
      <c r="CZ323" s="10"/>
      <c r="DA323" s="10"/>
      <c r="DB323" s="10"/>
      <c r="DC323" s="10"/>
      <c r="DD323" s="10"/>
      <c r="DE323" s="10"/>
      <c r="DF323" s="10"/>
      <c r="DG323" s="10"/>
      <c r="DH323" s="10"/>
      <c r="DI323" s="10"/>
      <c r="DJ323" s="10"/>
      <c r="DK323" s="10"/>
      <c r="DL323" s="10"/>
      <c r="DM323" s="10"/>
      <c r="DN323" s="10"/>
      <c r="DO323" s="10"/>
      <c r="DP323" s="10"/>
      <c r="DQ323" s="10"/>
      <c r="DR323" s="10"/>
    </row>
    <row r="324" spans="1:122" x14ac:dyDescent="0.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0"/>
      <c r="BC324" s="10"/>
      <c r="BD324" s="10"/>
      <c r="BE324" s="10"/>
      <c r="BF324" s="10"/>
      <c r="BG324" s="10"/>
      <c r="BH324" s="10"/>
      <c r="BI324" s="10"/>
      <c r="BJ324" s="10"/>
      <c r="BK324" s="10"/>
      <c r="BL324" s="10"/>
      <c r="BM324" s="10"/>
      <c r="BN324" s="10"/>
      <c r="BO324" s="10"/>
      <c r="BP324" s="10"/>
      <c r="BQ324" s="10"/>
      <c r="BR324" s="10"/>
      <c r="BS324" s="10"/>
      <c r="BT324" s="10"/>
      <c r="BU324" s="10"/>
      <c r="BV324" s="10"/>
      <c r="BW324" s="10"/>
      <c r="BX324" s="10"/>
      <c r="BY324" s="10"/>
      <c r="BZ324" s="10"/>
      <c r="CA324" s="10"/>
      <c r="CB324" s="10"/>
      <c r="CC324" s="10"/>
      <c r="CD324" s="10"/>
      <c r="CE324" s="10"/>
      <c r="CF324" s="10"/>
      <c r="CG324" s="10"/>
      <c r="CH324" s="10"/>
      <c r="CI324" s="10"/>
      <c r="CJ324" s="10"/>
      <c r="CK324" s="10"/>
      <c r="CL324" s="10"/>
      <c r="CM324" s="10"/>
      <c r="CN324" s="10"/>
      <c r="CO324" s="10"/>
      <c r="CP324" s="10"/>
      <c r="CQ324" s="10"/>
      <c r="CR324" s="10"/>
      <c r="CS324" s="10"/>
      <c r="CT324" s="10"/>
      <c r="CU324" s="10"/>
      <c r="CV324" s="10"/>
      <c r="CW324" s="10"/>
      <c r="CX324" s="10"/>
      <c r="CY324" s="10"/>
      <c r="CZ324" s="10"/>
      <c r="DA324" s="10"/>
      <c r="DB324" s="10"/>
      <c r="DC324" s="10"/>
      <c r="DD324" s="10"/>
      <c r="DE324" s="10"/>
      <c r="DF324" s="10"/>
      <c r="DG324" s="10"/>
      <c r="DH324" s="10"/>
      <c r="DI324" s="10"/>
      <c r="DJ324" s="10"/>
      <c r="DK324" s="10"/>
      <c r="DL324" s="10"/>
      <c r="DM324" s="10"/>
      <c r="DN324" s="10"/>
      <c r="DO324" s="10"/>
      <c r="DP324" s="10"/>
      <c r="DQ324" s="10"/>
      <c r="DR324" s="10"/>
    </row>
    <row r="325" spans="1:122" x14ac:dyDescent="0.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0"/>
      <c r="BC325" s="10"/>
      <c r="BD325" s="10"/>
      <c r="BE325" s="10"/>
      <c r="BF325" s="10"/>
      <c r="BG325" s="10"/>
      <c r="BH325" s="10"/>
      <c r="BI325" s="10"/>
      <c r="BJ325" s="10"/>
      <c r="BK325" s="10"/>
      <c r="BL325" s="10"/>
      <c r="BM325" s="10"/>
      <c r="BN325" s="10"/>
      <c r="BO325" s="10"/>
      <c r="BP325" s="10"/>
      <c r="BQ325" s="10"/>
      <c r="BR325" s="10"/>
      <c r="BS325" s="10"/>
      <c r="BT325" s="10"/>
      <c r="BU325" s="10"/>
      <c r="BV325" s="10"/>
      <c r="BW325" s="10"/>
      <c r="BX325" s="10"/>
      <c r="BY325" s="10"/>
      <c r="BZ325" s="10"/>
      <c r="CA325" s="10"/>
      <c r="CB325" s="10"/>
      <c r="CC325" s="10"/>
      <c r="CD325" s="10"/>
      <c r="CE325" s="10"/>
      <c r="CF325" s="10"/>
      <c r="CG325" s="10"/>
      <c r="CH325" s="10"/>
      <c r="CI325" s="10"/>
      <c r="CJ325" s="10"/>
      <c r="CK325" s="10"/>
      <c r="CL325" s="10"/>
      <c r="CM325" s="10"/>
      <c r="CN325" s="10"/>
      <c r="CO325" s="10"/>
      <c r="CP325" s="10"/>
      <c r="CQ325" s="10"/>
      <c r="CR325" s="10"/>
      <c r="CS325" s="10"/>
      <c r="CT325" s="10"/>
      <c r="CU325" s="10"/>
      <c r="CV325" s="10"/>
      <c r="CW325" s="10"/>
      <c r="CX325" s="10"/>
      <c r="CY325" s="10"/>
      <c r="CZ325" s="10"/>
      <c r="DA325" s="10"/>
      <c r="DB325" s="10"/>
      <c r="DC325" s="10"/>
      <c r="DD325" s="10"/>
      <c r="DE325" s="10"/>
      <c r="DF325" s="10"/>
      <c r="DG325" s="10"/>
      <c r="DH325" s="10"/>
      <c r="DI325" s="10"/>
      <c r="DJ325" s="10"/>
      <c r="DK325" s="10"/>
      <c r="DL325" s="10"/>
      <c r="DM325" s="10"/>
      <c r="DN325" s="10"/>
      <c r="DO325" s="10"/>
      <c r="DP325" s="10"/>
      <c r="DQ325" s="10"/>
      <c r="DR325" s="10"/>
    </row>
    <row r="326" spans="1:122" x14ac:dyDescent="0.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0"/>
      <c r="BC326" s="10"/>
      <c r="BD326" s="10"/>
      <c r="BE326" s="10"/>
      <c r="BF326" s="10"/>
      <c r="BG326" s="10"/>
      <c r="BH326" s="10"/>
      <c r="BI326" s="10"/>
      <c r="BJ326" s="10"/>
      <c r="BK326" s="10"/>
      <c r="BL326" s="10"/>
      <c r="BM326" s="10"/>
      <c r="BN326" s="10"/>
      <c r="BO326" s="10"/>
      <c r="BP326" s="10"/>
      <c r="BQ326" s="10"/>
      <c r="BR326" s="10"/>
      <c r="BS326" s="10"/>
      <c r="BT326" s="10"/>
      <c r="BU326" s="10"/>
      <c r="BV326" s="10"/>
      <c r="BW326" s="10"/>
      <c r="BX326" s="10"/>
      <c r="BY326" s="10"/>
      <c r="BZ326" s="10"/>
      <c r="CA326" s="10"/>
      <c r="CB326" s="10"/>
      <c r="CC326" s="10"/>
      <c r="CD326" s="10"/>
      <c r="CE326" s="10"/>
      <c r="CF326" s="10"/>
      <c r="CG326" s="10"/>
      <c r="CH326" s="10"/>
      <c r="CI326" s="10"/>
      <c r="CJ326" s="10"/>
      <c r="CK326" s="10"/>
      <c r="CL326" s="10"/>
      <c r="CM326" s="10"/>
      <c r="CN326" s="10"/>
      <c r="CO326" s="10"/>
      <c r="CP326" s="10"/>
      <c r="CQ326" s="10"/>
      <c r="CR326" s="10"/>
      <c r="CS326" s="10"/>
      <c r="CT326" s="10"/>
      <c r="CU326" s="10"/>
      <c r="CV326" s="10"/>
      <c r="CW326" s="10"/>
      <c r="CX326" s="10"/>
      <c r="CY326" s="10"/>
      <c r="CZ326" s="10"/>
      <c r="DA326" s="10"/>
      <c r="DB326" s="10"/>
      <c r="DC326" s="10"/>
      <c r="DD326" s="10"/>
      <c r="DE326" s="10"/>
      <c r="DF326" s="10"/>
      <c r="DG326" s="10"/>
      <c r="DH326" s="10"/>
      <c r="DI326" s="10"/>
      <c r="DJ326" s="10"/>
      <c r="DK326" s="10"/>
      <c r="DL326" s="10"/>
      <c r="DM326" s="10"/>
      <c r="DN326" s="10"/>
      <c r="DO326" s="10"/>
      <c r="DP326" s="10"/>
      <c r="DQ326" s="10"/>
      <c r="DR326" s="10"/>
    </row>
    <row r="327" spans="1:122" x14ac:dyDescent="0.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0"/>
      <c r="BC327" s="10"/>
      <c r="BD327" s="10"/>
      <c r="BE327" s="10"/>
      <c r="BF327" s="10"/>
      <c r="BG327" s="10"/>
      <c r="BH327" s="10"/>
      <c r="BI327" s="10"/>
      <c r="BJ327" s="10"/>
      <c r="BK327" s="10"/>
      <c r="BL327" s="10"/>
      <c r="BM327" s="10"/>
      <c r="BN327" s="10"/>
      <c r="BO327" s="10"/>
      <c r="BP327" s="10"/>
      <c r="BQ327" s="10"/>
      <c r="BR327" s="10"/>
      <c r="BS327" s="10"/>
      <c r="BT327" s="10"/>
      <c r="BU327" s="10"/>
      <c r="BV327" s="10"/>
      <c r="BW327" s="10"/>
      <c r="BX327" s="10"/>
      <c r="BY327" s="10"/>
      <c r="BZ327" s="10"/>
      <c r="CA327" s="10"/>
      <c r="CB327" s="10"/>
      <c r="CC327" s="10"/>
      <c r="CD327" s="10"/>
      <c r="CE327" s="10"/>
      <c r="CF327" s="10"/>
      <c r="CG327" s="10"/>
      <c r="CH327" s="10"/>
      <c r="CI327" s="10"/>
      <c r="CJ327" s="10"/>
      <c r="CK327" s="10"/>
      <c r="CL327" s="10"/>
      <c r="CM327" s="10"/>
      <c r="CN327" s="10"/>
      <c r="CO327" s="10"/>
      <c r="CP327" s="10"/>
      <c r="CQ327" s="10"/>
      <c r="CR327" s="10"/>
      <c r="CS327" s="10"/>
      <c r="CT327" s="10"/>
      <c r="CU327" s="10"/>
      <c r="CV327" s="10"/>
      <c r="CW327" s="10"/>
      <c r="CX327" s="10"/>
      <c r="CY327" s="10"/>
      <c r="CZ327" s="10"/>
      <c r="DA327" s="10"/>
      <c r="DB327" s="10"/>
      <c r="DC327" s="10"/>
      <c r="DD327" s="10"/>
      <c r="DE327" s="10"/>
      <c r="DF327" s="10"/>
      <c r="DG327" s="10"/>
      <c r="DH327" s="10"/>
      <c r="DI327" s="10"/>
      <c r="DJ327" s="10"/>
      <c r="DK327" s="10"/>
      <c r="DL327" s="10"/>
      <c r="DM327" s="10"/>
      <c r="DN327" s="10"/>
      <c r="DO327" s="10"/>
      <c r="DP327" s="10"/>
      <c r="DQ327" s="10"/>
      <c r="DR327" s="10"/>
    </row>
    <row r="328" spans="1:122" x14ac:dyDescent="0.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0"/>
      <c r="BC328" s="10"/>
      <c r="BD328" s="10"/>
      <c r="BE328" s="10"/>
      <c r="BF328" s="10"/>
      <c r="BG328" s="10"/>
      <c r="BH328" s="10"/>
      <c r="BI328" s="10"/>
      <c r="BJ328" s="10"/>
      <c r="BK328" s="10"/>
      <c r="BL328" s="10"/>
      <c r="BM328" s="10"/>
      <c r="BN328" s="10"/>
      <c r="BO328" s="10"/>
      <c r="BP328" s="10"/>
      <c r="BQ328" s="10"/>
      <c r="BR328" s="10"/>
      <c r="BS328" s="10"/>
      <c r="BT328" s="10"/>
      <c r="BU328" s="10"/>
      <c r="BV328" s="10"/>
      <c r="BW328" s="10"/>
      <c r="BX328" s="10"/>
      <c r="BY328" s="10"/>
      <c r="BZ328" s="10"/>
      <c r="CA328" s="10"/>
      <c r="CB328" s="10"/>
      <c r="CC328" s="10"/>
      <c r="CD328" s="10"/>
      <c r="CE328" s="10"/>
      <c r="CF328" s="10"/>
      <c r="CG328" s="10"/>
      <c r="CH328" s="10"/>
      <c r="CI328" s="10"/>
      <c r="CJ328" s="10"/>
      <c r="CK328" s="10"/>
      <c r="CL328" s="10"/>
      <c r="CM328" s="10"/>
      <c r="CN328" s="10"/>
      <c r="CO328" s="10"/>
      <c r="CP328" s="10"/>
      <c r="CQ328" s="10"/>
      <c r="CR328" s="10"/>
      <c r="CS328" s="10"/>
      <c r="CT328" s="10"/>
      <c r="CU328" s="10"/>
      <c r="CV328" s="10"/>
      <c r="CW328" s="10"/>
      <c r="CX328" s="10"/>
      <c r="CY328" s="10"/>
      <c r="CZ328" s="10"/>
      <c r="DA328" s="10"/>
      <c r="DB328" s="10"/>
      <c r="DC328" s="10"/>
      <c r="DD328" s="10"/>
      <c r="DE328" s="10"/>
      <c r="DF328" s="10"/>
      <c r="DG328" s="10"/>
      <c r="DH328" s="10"/>
      <c r="DI328" s="10"/>
      <c r="DJ328" s="10"/>
      <c r="DK328" s="10"/>
      <c r="DL328" s="10"/>
      <c r="DM328" s="10"/>
      <c r="DN328" s="10"/>
      <c r="DO328" s="10"/>
      <c r="DP328" s="10"/>
      <c r="DQ328" s="10"/>
      <c r="DR328" s="10"/>
    </row>
    <row r="329" spans="1:122" x14ac:dyDescent="0.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0"/>
      <c r="BC329" s="10"/>
      <c r="BD329" s="10"/>
      <c r="BE329" s="10"/>
      <c r="BF329" s="10"/>
      <c r="BG329" s="10"/>
      <c r="BH329" s="10"/>
      <c r="BI329" s="10"/>
      <c r="BJ329" s="10"/>
      <c r="BK329" s="10"/>
      <c r="BL329" s="10"/>
      <c r="BM329" s="10"/>
      <c r="BN329" s="10"/>
      <c r="BO329" s="10"/>
      <c r="BP329" s="10"/>
      <c r="BQ329" s="10"/>
      <c r="BR329" s="10"/>
      <c r="BS329" s="10"/>
      <c r="BT329" s="10"/>
      <c r="BU329" s="10"/>
      <c r="BV329" s="10"/>
      <c r="BW329" s="10"/>
      <c r="BX329" s="10"/>
      <c r="BY329" s="10"/>
      <c r="BZ329" s="10"/>
      <c r="CA329" s="10"/>
      <c r="CB329" s="10"/>
      <c r="CC329" s="10"/>
      <c r="CD329" s="10"/>
      <c r="CE329" s="10"/>
      <c r="CF329" s="10"/>
      <c r="CG329" s="10"/>
      <c r="CH329" s="10"/>
      <c r="CI329" s="10"/>
      <c r="CJ329" s="10"/>
      <c r="CK329" s="10"/>
      <c r="CL329" s="10"/>
      <c r="CM329" s="10"/>
      <c r="CN329" s="10"/>
      <c r="CO329" s="10"/>
      <c r="CP329" s="10"/>
      <c r="CQ329" s="10"/>
      <c r="CR329" s="10"/>
      <c r="CS329" s="10"/>
      <c r="CT329" s="10"/>
      <c r="CU329" s="10"/>
      <c r="CV329" s="10"/>
      <c r="CW329" s="10"/>
      <c r="CX329" s="10"/>
      <c r="CY329" s="10"/>
      <c r="CZ329" s="10"/>
      <c r="DA329" s="10"/>
      <c r="DB329" s="10"/>
      <c r="DC329" s="10"/>
      <c r="DD329" s="10"/>
      <c r="DE329" s="10"/>
      <c r="DF329" s="10"/>
      <c r="DG329" s="10"/>
      <c r="DH329" s="10"/>
      <c r="DI329" s="10"/>
      <c r="DJ329" s="10"/>
      <c r="DK329" s="10"/>
      <c r="DL329" s="10"/>
      <c r="DM329" s="10"/>
      <c r="DN329" s="10"/>
      <c r="DO329" s="10"/>
      <c r="DP329" s="10"/>
      <c r="DQ329" s="10"/>
      <c r="DR329" s="10"/>
    </row>
    <row r="330" spans="1:122" x14ac:dyDescent="0.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0"/>
      <c r="BC330" s="10"/>
      <c r="BD330" s="10"/>
      <c r="BE330" s="10"/>
      <c r="BF330" s="10"/>
      <c r="BG330" s="10"/>
      <c r="BH330" s="10"/>
      <c r="BI330" s="10"/>
      <c r="BJ330" s="10"/>
      <c r="BK330" s="10"/>
      <c r="BL330" s="10"/>
      <c r="BM330" s="10"/>
      <c r="BN330" s="10"/>
      <c r="BO330" s="10"/>
      <c r="BP330" s="10"/>
      <c r="BQ330" s="10"/>
      <c r="BR330" s="10"/>
      <c r="BS330" s="10"/>
      <c r="BT330" s="10"/>
      <c r="BU330" s="10"/>
      <c r="BV330" s="10"/>
      <c r="BW330" s="10"/>
      <c r="BX330" s="10"/>
      <c r="BY330" s="10"/>
      <c r="BZ330" s="10"/>
      <c r="CA330" s="10"/>
      <c r="CB330" s="10"/>
      <c r="CC330" s="10"/>
      <c r="CD330" s="10"/>
      <c r="CE330" s="10"/>
      <c r="CF330" s="10"/>
      <c r="CG330" s="10"/>
      <c r="CH330" s="10"/>
      <c r="CI330" s="10"/>
      <c r="CJ330" s="10"/>
      <c r="CK330" s="10"/>
      <c r="CL330" s="10"/>
      <c r="CM330" s="10"/>
      <c r="CN330" s="10"/>
      <c r="CO330" s="10"/>
      <c r="CP330" s="10"/>
      <c r="CQ330" s="10"/>
      <c r="CR330" s="10"/>
      <c r="CS330" s="10"/>
      <c r="CT330" s="10"/>
      <c r="CU330" s="10"/>
      <c r="CV330" s="10"/>
      <c r="CW330" s="10"/>
      <c r="CX330" s="10"/>
      <c r="CY330" s="10"/>
      <c r="CZ330" s="10"/>
      <c r="DA330" s="10"/>
      <c r="DB330" s="10"/>
      <c r="DC330" s="10"/>
      <c r="DD330" s="10"/>
      <c r="DE330" s="10"/>
      <c r="DF330" s="10"/>
      <c r="DG330" s="10"/>
      <c r="DH330" s="10"/>
      <c r="DI330" s="10"/>
      <c r="DJ330" s="10"/>
      <c r="DK330" s="10"/>
      <c r="DL330" s="10"/>
      <c r="DM330" s="10"/>
      <c r="DN330" s="10"/>
      <c r="DO330" s="10"/>
      <c r="DP330" s="10"/>
      <c r="DQ330" s="10"/>
      <c r="DR330" s="10"/>
    </row>
    <row r="331" spans="1:122" x14ac:dyDescent="0.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0"/>
      <c r="BC331" s="10"/>
      <c r="BD331" s="10"/>
      <c r="BE331" s="10"/>
      <c r="BF331" s="10"/>
      <c r="BG331" s="10"/>
      <c r="BH331" s="10"/>
      <c r="BI331" s="10"/>
      <c r="BJ331" s="10"/>
      <c r="BK331" s="10"/>
      <c r="BL331" s="10"/>
      <c r="BM331" s="10"/>
      <c r="BN331" s="10"/>
      <c r="BO331" s="10"/>
      <c r="BP331" s="10"/>
      <c r="BQ331" s="10"/>
      <c r="BR331" s="10"/>
      <c r="BS331" s="10"/>
      <c r="BT331" s="10"/>
      <c r="BU331" s="10"/>
      <c r="BV331" s="10"/>
      <c r="BW331" s="10"/>
      <c r="BX331" s="10"/>
      <c r="BY331" s="10"/>
      <c r="BZ331" s="10"/>
      <c r="CA331" s="10"/>
      <c r="CB331" s="10"/>
      <c r="CC331" s="10"/>
      <c r="CD331" s="10"/>
      <c r="CE331" s="10"/>
      <c r="CF331" s="10"/>
      <c r="CG331" s="10"/>
      <c r="CH331" s="10"/>
      <c r="CI331" s="10"/>
      <c r="CJ331" s="10"/>
      <c r="CK331" s="10"/>
      <c r="CL331" s="10"/>
      <c r="CM331" s="10"/>
      <c r="CN331" s="10"/>
      <c r="CO331" s="10"/>
      <c r="CP331" s="10"/>
      <c r="CQ331" s="10"/>
      <c r="CR331" s="10"/>
      <c r="CS331" s="10"/>
      <c r="CT331" s="10"/>
      <c r="CU331" s="10"/>
      <c r="CV331" s="10"/>
      <c r="CW331" s="10"/>
      <c r="CX331" s="10"/>
      <c r="CY331" s="10"/>
      <c r="CZ331" s="10"/>
      <c r="DA331" s="10"/>
      <c r="DB331" s="10"/>
      <c r="DC331" s="10"/>
      <c r="DD331" s="10"/>
      <c r="DE331" s="10"/>
      <c r="DF331" s="10"/>
      <c r="DG331" s="10"/>
      <c r="DH331" s="10"/>
      <c r="DI331" s="10"/>
      <c r="DJ331" s="10"/>
      <c r="DK331" s="10"/>
      <c r="DL331" s="10"/>
      <c r="DM331" s="10"/>
      <c r="DN331" s="10"/>
      <c r="DO331" s="10"/>
      <c r="DP331" s="10"/>
      <c r="DQ331" s="10"/>
      <c r="DR331" s="10"/>
    </row>
    <row r="332" spans="1:122" x14ac:dyDescent="0.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0"/>
      <c r="BC332" s="10"/>
      <c r="BD332" s="10"/>
      <c r="BE332" s="10"/>
      <c r="BF332" s="10"/>
      <c r="BG332" s="10"/>
      <c r="BH332" s="10"/>
      <c r="BI332" s="10"/>
      <c r="BJ332" s="10"/>
      <c r="BK332" s="10"/>
      <c r="BL332" s="10"/>
      <c r="BM332" s="10"/>
      <c r="BN332" s="10"/>
      <c r="BO332" s="10"/>
      <c r="BP332" s="10"/>
      <c r="BQ332" s="10"/>
      <c r="BR332" s="10"/>
      <c r="BS332" s="10"/>
      <c r="BT332" s="10"/>
      <c r="BU332" s="10"/>
      <c r="BV332" s="10"/>
      <c r="BW332" s="10"/>
      <c r="BX332" s="10"/>
      <c r="BY332" s="10"/>
      <c r="BZ332" s="10"/>
      <c r="CA332" s="10"/>
      <c r="CB332" s="10"/>
      <c r="CC332" s="10"/>
      <c r="CD332" s="10"/>
      <c r="CE332" s="10"/>
      <c r="CF332" s="10"/>
      <c r="CG332" s="10"/>
      <c r="CH332" s="10"/>
      <c r="CI332" s="10"/>
      <c r="CJ332" s="10"/>
      <c r="CK332" s="10"/>
      <c r="CL332" s="10"/>
      <c r="CM332" s="10"/>
      <c r="CN332" s="10"/>
      <c r="CO332" s="10"/>
      <c r="CP332" s="10"/>
      <c r="CQ332" s="10"/>
      <c r="CR332" s="10"/>
      <c r="CS332" s="10"/>
      <c r="CT332" s="10"/>
      <c r="CU332" s="10"/>
      <c r="CV332" s="10"/>
      <c r="CW332" s="10"/>
      <c r="CX332" s="10"/>
      <c r="CY332" s="10"/>
      <c r="CZ332" s="10"/>
      <c r="DA332" s="10"/>
      <c r="DB332" s="10"/>
      <c r="DC332" s="10"/>
      <c r="DD332" s="10"/>
      <c r="DE332" s="10"/>
      <c r="DF332" s="10"/>
      <c r="DG332" s="10"/>
      <c r="DH332" s="10"/>
      <c r="DI332" s="10"/>
      <c r="DJ332" s="10"/>
      <c r="DK332" s="10"/>
      <c r="DL332" s="10"/>
      <c r="DM332" s="10"/>
      <c r="DN332" s="10"/>
      <c r="DO332" s="10"/>
      <c r="DP332" s="10"/>
      <c r="DQ332" s="10"/>
      <c r="DR332" s="10"/>
    </row>
    <row r="333" spans="1:122" x14ac:dyDescent="0.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0"/>
      <c r="BC333" s="10"/>
      <c r="BD333" s="10"/>
      <c r="BE333" s="10"/>
      <c r="BF333" s="10"/>
      <c r="BG333" s="10"/>
      <c r="BH333" s="10"/>
      <c r="BI333" s="10"/>
      <c r="BJ333" s="10"/>
      <c r="BK333" s="10"/>
      <c r="BL333" s="10"/>
      <c r="BM333" s="10"/>
      <c r="BN333" s="10"/>
      <c r="BO333" s="10"/>
      <c r="BP333" s="10"/>
      <c r="BQ333" s="10"/>
      <c r="BR333" s="10"/>
      <c r="BS333" s="10"/>
      <c r="BT333" s="10"/>
      <c r="BU333" s="10"/>
      <c r="BV333" s="10"/>
      <c r="BW333" s="10"/>
      <c r="BX333" s="10"/>
      <c r="BY333" s="10"/>
      <c r="BZ333" s="10"/>
      <c r="CA333" s="10"/>
      <c r="CB333" s="10"/>
      <c r="CC333" s="10"/>
      <c r="CD333" s="10"/>
      <c r="CE333" s="10"/>
      <c r="CF333" s="10"/>
      <c r="CG333" s="10"/>
      <c r="CH333" s="10"/>
      <c r="CI333" s="10"/>
      <c r="CJ333" s="10"/>
      <c r="CK333" s="10"/>
      <c r="CL333" s="10"/>
      <c r="CM333" s="10"/>
      <c r="CN333" s="10"/>
      <c r="CO333" s="10"/>
      <c r="CP333" s="10"/>
      <c r="CQ333" s="10"/>
      <c r="CR333" s="10"/>
      <c r="CS333" s="10"/>
      <c r="CT333" s="10"/>
      <c r="CU333" s="10"/>
      <c r="CV333" s="10"/>
      <c r="CW333" s="10"/>
      <c r="CX333" s="10"/>
      <c r="CY333" s="10"/>
      <c r="CZ333" s="10"/>
      <c r="DA333" s="10"/>
      <c r="DB333" s="10"/>
      <c r="DC333" s="10"/>
      <c r="DD333" s="10"/>
      <c r="DE333" s="10"/>
      <c r="DF333" s="10"/>
      <c r="DG333" s="10"/>
      <c r="DH333" s="10"/>
      <c r="DI333" s="10"/>
      <c r="DJ333" s="10"/>
      <c r="DK333" s="10"/>
      <c r="DL333" s="10"/>
      <c r="DM333" s="10"/>
      <c r="DN333" s="10"/>
      <c r="DO333" s="10"/>
      <c r="DP333" s="10"/>
      <c r="DQ333" s="10"/>
      <c r="DR333" s="10"/>
    </row>
    <row r="334" spans="1:122" x14ac:dyDescent="0.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0"/>
      <c r="BC334" s="10"/>
      <c r="BD334" s="10"/>
      <c r="BE334" s="10"/>
      <c r="BF334" s="10"/>
      <c r="BG334" s="10"/>
      <c r="BH334" s="10"/>
      <c r="BI334" s="10"/>
      <c r="BJ334" s="10"/>
      <c r="BK334" s="10"/>
      <c r="BL334" s="10"/>
      <c r="BM334" s="10"/>
      <c r="BN334" s="10"/>
      <c r="BO334" s="10"/>
      <c r="BP334" s="10"/>
      <c r="BQ334" s="10"/>
      <c r="BR334" s="10"/>
      <c r="BS334" s="10"/>
      <c r="BT334" s="10"/>
      <c r="BU334" s="10"/>
      <c r="BV334" s="10"/>
      <c r="BW334" s="10"/>
      <c r="BX334" s="10"/>
      <c r="BY334" s="10"/>
      <c r="BZ334" s="10"/>
      <c r="CA334" s="10"/>
      <c r="CB334" s="10"/>
      <c r="CC334" s="10"/>
      <c r="CD334" s="10"/>
      <c r="CE334" s="10"/>
      <c r="CF334" s="10"/>
      <c r="CG334" s="10"/>
      <c r="CH334" s="10"/>
      <c r="CI334" s="10"/>
      <c r="CJ334" s="10"/>
      <c r="CK334" s="10"/>
      <c r="CL334" s="10"/>
      <c r="CM334" s="10"/>
      <c r="CN334" s="10"/>
      <c r="CO334" s="10"/>
      <c r="CP334" s="10"/>
      <c r="CQ334" s="10"/>
      <c r="CR334" s="10"/>
      <c r="CS334" s="10"/>
      <c r="CT334" s="10"/>
      <c r="CU334" s="10"/>
      <c r="CV334" s="10"/>
      <c r="CW334" s="10"/>
      <c r="CX334" s="10"/>
      <c r="CY334" s="10"/>
      <c r="CZ334" s="10"/>
      <c r="DA334" s="10"/>
      <c r="DB334" s="10"/>
      <c r="DC334" s="10"/>
      <c r="DD334" s="10"/>
      <c r="DE334" s="10"/>
      <c r="DF334" s="10"/>
      <c r="DG334" s="10"/>
      <c r="DH334" s="10"/>
      <c r="DI334" s="10"/>
      <c r="DJ334" s="10"/>
      <c r="DK334" s="10"/>
      <c r="DL334" s="10"/>
      <c r="DM334" s="10"/>
      <c r="DN334" s="10"/>
      <c r="DO334" s="10"/>
      <c r="DP334" s="10"/>
      <c r="DQ334" s="10"/>
      <c r="DR334" s="10"/>
    </row>
    <row r="335" spans="1:122" x14ac:dyDescent="0.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0"/>
      <c r="BC335" s="10"/>
      <c r="BD335" s="10"/>
      <c r="BE335" s="10"/>
      <c r="BF335" s="10"/>
      <c r="BG335" s="10"/>
      <c r="BH335" s="10"/>
      <c r="BI335" s="10"/>
      <c r="BJ335" s="10"/>
      <c r="BK335" s="10"/>
      <c r="BL335" s="10"/>
      <c r="BM335" s="10"/>
      <c r="BN335" s="10"/>
      <c r="BO335" s="10"/>
      <c r="BP335" s="10"/>
      <c r="BQ335" s="10"/>
      <c r="BR335" s="10"/>
      <c r="BS335" s="10"/>
      <c r="BT335" s="10"/>
      <c r="BU335" s="10"/>
      <c r="BV335" s="10"/>
      <c r="BW335" s="10"/>
      <c r="BX335" s="10"/>
      <c r="BY335" s="10"/>
      <c r="BZ335" s="10"/>
      <c r="CA335" s="10"/>
      <c r="CB335" s="10"/>
      <c r="CC335" s="10"/>
      <c r="CD335" s="10"/>
      <c r="CE335" s="10"/>
      <c r="CF335" s="10"/>
      <c r="CG335" s="10"/>
      <c r="CH335" s="10"/>
      <c r="CI335" s="10"/>
      <c r="CJ335" s="10"/>
      <c r="CK335" s="10"/>
      <c r="CL335" s="10"/>
      <c r="CM335" s="10"/>
      <c r="CN335" s="10"/>
      <c r="CO335" s="10"/>
      <c r="CP335" s="10"/>
      <c r="CQ335" s="10"/>
      <c r="CR335" s="10"/>
      <c r="CS335" s="10"/>
      <c r="CT335" s="10"/>
      <c r="CU335" s="10"/>
      <c r="CV335" s="10"/>
      <c r="CW335" s="10"/>
      <c r="CX335" s="10"/>
      <c r="CY335" s="10"/>
      <c r="CZ335" s="10"/>
      <c r="DA335" s="10"/>
      <c r="DB335" s="10"/>
      <c r="DC335" s="10"/>
      <c r="DD335" s="10"/>
      <c r="DE335" s="10"/>
      <c r="DF335" s="10"/>
      <c r="DG335" s="10"/>
      <c r="DH335" s="10"/>
      <c r="DI335" s="10"/>
      <c r="DJ335" s="10"/>
      <c r="DK335" s="10"/>
      <c r="DL335" s="10"/>
      <c r="DM335" s="10"/>
      <c r="DN335" s="10"/>
      <c r="DO335" s="10"/>
      <c r="DP335" s="10"/>
      <c r="DQ335" s="10"/>
      <c r="DR335" s="10"/>
    </row>
    <row r="336" spans="1:122" x14ac:dyDescent="0.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0"/>
      <c r="BC336" s="10"/>
      <c r="BD336" s="10"/>
      <c r="BE336" s="10"/>
      <c r="BF336" s="10"/>
      <c r="BG336" s="10"/>
      <c r="BH336" s="10"/>
      <c r="BI336" s="10"/>
      <c r="BJ336" s="10"/>
      <c r="BK336" s="10"/>
      <c r="BL336" s="10"/>
      <c r="BM336" s="10"/>
      <c r="BN336" s="10"/>
      <c r="BO336" s="10"/>
      <c r="BP336" s="10"/>
      <c r="BQ336" s="10"/>
      <c r="BR336" s="10"/>
      <c r="BS336" s="10"/>
      <c r="BT336" s="10"/>
      <c r="BU336" s="10"/>
      <c r="BV336" s="10"/>
      <c r="BW336" s="10"/>
      <c r="BX336" s="10"/>
      <c r="BY336" s="10"/>
      <c r="BZ336" s="10"/>
      <c r="CA336" s="10"/>
      <c r="CB336" s="10"/>
      <c r="CC336" s="10"/>
      <c r="CD336" s="10"/>
      <c r="CE336" s="10"/>
      <c r="CF336" s="10"/>
      <c r="CG336" s="10"/>
      <c r="CH336" s="10"/>
      <c r="CI336" s="10"/>
      <c r="CJ336" s="10"/>
      <c r="CK336" s="10"/>
      <c r="CL336" s="10"/>
      <c r="CM336" s="10"/>
      <c r="CN336" s="10"/>
      <c r="CO336" s="10"/>
      <c r="CP336" s="10"/>
      <c r="CQ336" s="10"/>
      <c r="CR336" s="10"/>
      <c r="CS336" s="10"/>
      <c r="CT336" s="10"/>
      <c r="CU336" s="10"/>
      <c r="CV336" s="10"/>
      <c r="CW336" s="10"/>
      <c r="CX336" s="10"/>
      <c r="CY336" s="10"/>
      <c r="CZ336" s="10"/>
      <c r="DA336" s="10"/>
      <c r="DB336" s="10"/>
      <c r="DC336" s="10"/>
      <c r="DD336" s="10"/>
      <c r="DE336" s="10"/>
      <c r="DF336" s="10"/>
      <c r="DG336" s="10"/>
      <c r="DH336" s="10"/>
      <c r="DI336" s="10"/>
      <c r="DJ336" s="10"/>
      <c r="DK336" s="10"/>
      <c r="DL336" s="10"/>
      <c r="DM336" s="10"/>
      <c r="DN336" s="10"/>
      <c r="DO336" s="10"/>
      <c r="DP336" s="10"/>
      <c r="DQ336" s="10"/>
      <c r="DR336" s="10"/>
    </row>
    <row r="337" spans="1:122" x14ac:dyDescent="0.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0"/>
      <c r="BC337" s="10"/>
      <c r="BD337" s="10"/>
      <c r="BE337" s="10"/>
      <c r="BF337" s="10"/>
      <c r="BG337" s="10"/>
      <c r="BH337" s="10"/>
      <c r="BI337" s="10"/>
      <c r="BJ337" s="10"/>
      <c r="BK337" s="10"/>
      <c r="BL337" s="10"/>
      <c r="BM337" s="10"/>
      <c r="BN337" s="10"/>
      <c r="BO337" s="10"/>
      <c r="BP337" s="10"/>
      <c r="BQ337" s="10"/>
      <c r="BR337" s="10"/>
      <c r="BS337" s="10"/>
      <c r="BT337" s="10"/>
      <c r="BU337" s="10"/>
      <c r="BV337" s="10"/>
      <c r="BW337" s="10"/>
      <c r="BX337" s="10"/>
      <c r="BY337" s="10"/>
      <c r="BZ337" s="10"/>
      <c r="CA337" s="10"/>
      <c r="CB337" s="10"/>
      <c r="CC337" s="10"/>
      <c r="CD337" s="10"/>
      <c r="CE337" s="10"/>
      <c r="CF337" s="10"/>
      <c r="CG337" s="10"/>
      <c r="CH337" s="10"/>
      <c r="CI337" s="10"/>
      <c r="CJ337" s="10"/>
      <c r="CK337" s="10"/>
      <c r="CL337" s="10"/>
      <c r="CM337" s="10"/>
      <c r="CN337" s="10"/>
      <c r="CO337" s="10"/>
      <c r="CP337" s="10"/>
      <c r="CQ337" s="10"/>
      <c r="CR337" s="10"/>
      <c r="CS337" s="10"/>
      <c r="CT337" s="10"/>
      <c r="CU337" s="10"/>
      <c r="CV337" s="10"/>
      <c r="CW337" s="10"/>
      <c r="CX337" s="10"/>
      <c r="CY337" s="10"/>
      <c r="CZ337" s="10"/>
      <c r="DA337" s="10"/>
      <c r="DB337" s="10"/>
      <c r="DC337" s="10"/>
      <c r="DD337" s="10"/>
      <c r="DE337" s="10"/>
      <c r="DF337" s="10"/>
      <c r="DG337" s="10"/>
      <c r="DH337" s="10"/>
      <c r="DI337" s="10"/>
      <c r="DJ337" s="10"/>
      <c r="DK337" s="10"/>
      <c r="DL337" s="10"/>
      <c r="DM337" s="10"/>
      <c r="DN337" s="10"/>
      <c r="DO337" s="10"/>
      <c r="DP337" s="10"/>
      <c r="DQ337" s="10"/>
      <c r="DR337" s="10"/>
    </row>
    <row r="338" spans="1:122" x14ac:dyDescent="0.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0"/>
      <c r="BC338" s="10"/>
      <c r="BD338" s="10"/>
      <c r="BE338" s="10"/>
      <c r="BF338" s="10"/>
      <c r="BG338" s="10"/>
      <c r="BH338" s="10"/>
      <c r="BI338" s="10"/>
      <c r="BJ338" s="10"/>
      <c r="BK338" s="10"/>
      <c r="BL338" s="10"/>
      <c r="BM338" s="10"/>
      <c r="BN338" s="10"/>
      <c r="BO338" s="10"/>
      <c r="BP338" s="10"/>
      <c r="BQ338" s="10"/>
      <c r="BR338" s="10"/>
      <c r="BS338" s="10"/>
      <c r="BT338" s="10"/>
      <c r="BU338" s="10"/>
      <c r="BV338" s="10"/>
      <c r="BW338" s="10"/>
      <c r="BX338" s="10"/>
      <c r="BY338" s="10"/>
      <c r="BZ338" s="10"/>
      <c r="CA338" s="10"/>
      <c r="CB338" s="10"/>
      <c r="CC338" s="10"/>
      <c r="CD338" s="10"/>
      <c r="CE338" s="10"/>
      <c r="CF338" s="10"/>
      <c r="CG338" s="10"/>
      <c r="CH338" s="10"/>
      <c r="CI338" s="10"/>
      <c r="CJ338" s="10"/>
      <c r="CK338" s="10"/>
      <c r="CL338" s="10"/>
      <c r="CM338" s="10"/>
      <c r="CN338" s="10"/>
      <c r="CO338" s="10"/>
      <c r="CP338" s="10"/>
      <c r="CQ338" s="10"/>
      <c r="CR338" s="10"/>
      <c r="CS338" s="10"/>
      <c r="CT338" s="10"/>
      <c r="CU338" s="10"/>
      <c r="CV338" s="10"/>
      <c r="CW338" s="10"/>
      <c r="CX338" s="10"/>
      <c r="CY338" s="10"/>
      <c r="CZ338" s="10"/>
      <c r="DA338" s="10"/>
      <c r="DB338" s="10"/>
      <c r="DC338" s="10"/>
      <c r="DD338" s="10"/>
      <c r="DE338" s="10"/>
      <c r="DF338" s="10"/>
      <c r="DG338" s="10"/>
      <c r="DH338" s="10"/>
      <c r="DI338" s="10"/>
      <c r="DJ338" s="10"/>
      <c r="DK338" s="10"/>
      <c r="DL338" s="10"/>
      <c r="DM338" s="10"/>
      <c r="DN338" s="10"/>
      <c r="DO338" s="10"/>
      <c r="DP338" s="10"/>
      <c r="DQ338" s="10"/>
      <c r="DR338" s="10"/>
    </row>
    <row r="339" spans="1:122" x14ac:dyDescent="0.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0"/>
      <c r="BC339" s="10"/>
      <c r="BD339" s="10"/>
      <c r="BE339" s="10"/>
      <c r="BF339" s="10"/>
      <c r="BG339" s="10"/>
      <c r="BH339" s="10"/>
      <c r="BI339" s="10"/>
      <c r="BJ339" s="10"/>
      <c r="BK339" s="10"/>
      <c r="BL339" s="10"/>
      <c r="BM339" s="10"/>
      <c r="BN339" s="10"/>
      <c r="BO339" s="10"/>
      <c r="BP339" s="10"/>
      <c r="BQ339" s="10"/>
      <c r="BR339" s="10"/>
      <c r="BS339" s="10"/>
      <c r="BT339" s="10"/>
      <c r="BU339" s="10"/>
      <c r="BV339" s="10"/>
      <c r="BW339" s="10"/>
      <c r="BX339" s="10"/>
      <c r="BY339" s="10"/>
      <c r="BZ339" s="10"/>
      <c r="CA339" s="10"/>
      <c r="CB339" s="10"/>
      <c r="CC339" s="10"/>
      <c r="CD339" s="10"/>
      <c r="CE339" s="10"/>
      <c r="CF339" s="10"/>
      <c r="CG339" s="10"/>
      <c r="CH339" s="10"/>
      <c r="CI339" s="10"/>
      <c r="CJ339" s="10"/>
      <c r="CK339" s="10"/>
      <c r="CL339" s="10"/>
      <c r="CM339" s="10"/>
      <c r="CN339" s="10"/>
      <c r="CO339" s="10"/>
      <c r="CP339" s="10"/>
      <c r="CQ339" s="10"/>
      <c r="CR339" s="10"/>
      <c r="CS339" s="10"/>
      <c r="CT339" s="10"/>
      <c r="CU339" s="10"/>
      <c r="CV339" s="10"/>
      <c r="CW339" s="10"/>
      <c r="CX339" s="10"/>
      <c r="CY339" s="10"/>
      <c r="CZ339" s="10"/>
      <c r="DA339" s="10"/>
      <c r="DB339" s="10"/>
      <c r="DC339" s="10"/>
      <c r="DD339" s="10"/>
      <c r="DE339" s="10"/>
      <c r="DF339" s="10"/>
      <c r="DG339" s="10"/>
      <c r="DH339" s="10"/>
      <c r="DI339" s="10"/>
      <c r="DJ339" s="10"/>
      <c r="DK339" s="10"/>
      <c r="DL339" s="10"/>
      <c r="DM339" s="10"/>
      <c r="DN339" s="10"/>
      <c r="DO339" s="10"/>
      <c r="DP339" s="10"/>
      <c r="DQ339" s="10"/>
      <c r="DR339" s="10"/>
    </row>
    <row r="340" spans="1:122" x14ac:dyDescent="0.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0"/>
      <c r="BC340" s="10"/>
      <c r="BD340" s="10"/>
      <c r="BE340" s="10"/>
      <c r="BF340" s="10"/>
      <c r="BG340" s="10"/>
      <c r="BH340" s="10"/>
      <c r="BI340" s="10"/>
      <c r="BJ340" s="10"/>
      <c r="BK340" s="10"/>
      <c r="BL340" s="10"/>
      <c r="BM340" s="10"/>
      <c r="BN340" s="10"/>
      <c r="BO340" s="10"/>
      <c r="BP340" s="10"/>
      <c r="BQ340" s="10"/>
      <c r="BR340" s="10"/>
      <c r="BS340" s="10"/>
      <c r="BT340" s="10"/>
      <c r="BU340" s="10"/>
      <c r="BV340" s="10"/>
      <c r="BW340" s="10"/>
      <c r="BX340" s="10"/>
      <c r="BY340" s="10"/>
      <c r="BZ340" s="10"/>
      <c r="CA340" s="10"/>
      <c r="CB340" s="10"/>
      <c r="CC340" s="10"/>
      <c r="CD340" s="10"/>
      <c r="CE340" s="10"/>
      <c r="CF340" s="10"/>
      <c r="CG340" s="10"/>
      <c r="CH340" s="10"/>
      <c r="CI340" s="10"/>
      <c r="CJ340" s="10"/>
      <c r="CK340" s="10"/>
      <c r="CL340" s="10"/>
      <c r="CM340" s="10"/>
      <c r="CN340" s="10"/>
      <c r="CO340" s="10"/>
      <c r="CP340" s="10"/>
      <c r="CQ340" s="10"/>
      <c r="CR340" s="10"/>
      <c r="CS340" s="10"/>
      <c r="CT340" s="10"/>
      <c r="CU340" s="10"/>
      <c r="CV340" s="10"/>
      <c r="CW340" s="10"/>
      <c r="CX340" s="10"/>
      <c r="CY340" s="10"/>
      <c r="CZ340" s="10"/>
      <c r="DA340" s="10"/>
      <c r="DB340" s="10"/>
      <c r="DC340" s="10"/>
      <c r="DD340" s="10"/>
      <c r="DE340" s="10"/>
      <c r="DF340" s="10"/>
      <c r="DG340" s="10"/>
      <c r="DH340" s="10"/>
      <c r="DI340" s="10"/>
      <c r="DJ340" s="10"/>
      <c r="DK340" s="10"/>
      <c r="DL340" s="10"/>
      <c r="DM340" s="10"/>
      <c r="DN340" s="10"/>
      <c r="DO340" s="10"/>
      <c r="DP340" s="10"/>
      <c r="DQ340" s="10"/>
      <c r="DR340" s="10"/>
    </row>
    <row r="341" spans="1:122" x14ac:dyDescent="0.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0"/>
      <c r="BC341" s="10"/>
      <c r="BD341" s="10"/>
      <c r="BE341" s="10"/>
      <c r="BF341" s="10"/>
      <c r="BG341" s="10"/>
      <c r="BH341" s="10"/>
      <c r="BI341" s="10"/>
      <c r="BJ341" s="10"/>
      <c r="BK341" s="10"/>
      <c r="BL341" s="10"/>
      <c r="BM341" s="10"/>
      <c r="BN341" s="10"/>
      <c r="BO341" s="10"/>
      <c r="BP341" s="10"/>
      <c r="BQ341" s="10"/>
      <c r="BR341" s="10"/>
      <c r="BS341" s="10"/>
      <c r="BT341" s="10"/>
      <c r="BU341" s="10"/>
      <c r="BV341" s="10"/>
      <c r="BW341" s="10"/>
      <c r="BX341" s="10"/>
      <c r="BY341" s="10"/>
      <c r="BZ341" s="10"/>
      <c r="CA341" s="10"/>
      <c r="CB341" s="10"/>
      <c r="CC341" s="10"/>
      <c r="CD341" s="10"/>
      <c r="CE341" s="10"/>
      <c r="CF341" s="10"/>
      <c r="CG341" s="10"/>
      <c r="CH341" s="10"/>
      <c r="CI341" s="10"/>
      <c r="CJ341" s="10"/>
      <c r="CK341" s="10"/>
      <c r="CL341" s="10"/>
      <c r="CM341" s="10"/>
      <c r="CN341" s="10"/>
      <c r="CO341" s="10"/>
      <c r="CP341" s="10"/>
      <c r="CQ341" s="10"/>
      <c r="CR341" s="10"/>
      <c r="CS341" s="10"/>
      <c r="CT341" s="10"/>
      <c r="CU341" s="10"/>
      <c r="CV341" s="10"/>
      <c r="CW341" s="10"/>
      <c r="CX341" s="10"/>
      <c r="CY341" s="10"/>
      <c r="CZ341" s="10"/>
      <c r="DA341" s="10"/>
      <c r="DB341" s="10"/>
      <c r="DC341" s="10"/>
      <c r="DD341" s="10"/>
      <c r="DE341" s="10"/>
      <c r="DF341" s="10"/>
      <c r="DG341" s="10"/>
      <c r="DH341" s="10"/>
      <c r="DI341" s="10"/>
      <c r="DJ341" s="10"/>
      <c r="DK341" s="10"/>
      <c r="DL341" s="10"/>
      <c r="DM341" s="10"/>
      <c r="DN341" s="10"/>
      <c r="DO341" s="10"/>
      <c r="DP341" s="10"/>
      <c r="DQ341" s="10"/>
      <c r="DR341" s="10"/>
    </row>
    <row r="342" spans="1:122" x14ac:dyDescent="0.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0"/>
      <c r="BC342" s="10"/>
      <c r="BD342" s="10"/>
      <c r="BE342" s="10"/>
      <c r="BF342" s="10"/>
      <c r="BG342" s="10"/>
      <c r="BH342" s="10"/>
      <c r="BI342" s="10"/>
      <c r="BJ342" s="10"/>
      <c r="BK342" s="10"/>
      <c r="BL342" s="10"/>
      <c r="BM342" s="10"/>
      <c r="BN342" s="10"/>
      <c r="BO342" s="10"/>
      <c r="BP342" s="10"/>
      <c r="BQ342" s="10"/>
      <c r="BR342" s="10"/>
      <c r="BS342" s="10"/>
      <c r="BT342" s="10"/>
      <c r="BU342" s="10"/>
      <c r="BV342" s="10"/>
      <c r="BW342" s="10"/>
      <c r="BX342" s="10"/>
      <c r="BY342" s="10"/>
      <c r="BZ342" s="10"/>
      <c r="CA342" s="10"/>
      <c r="CB342" s="10"/>
      <c r="CC342" s="10"/>
      <c r="CD342" s="10"/>
      <c r="CE342" s="10"/>
      <c r="CF342" s="10"/>
      <c r="CG342" s="10"/>
      <c r="CH342" s="10"/>
      <c r="CI342" s="10"/>
      <c r="CJ342" s="10"/>
      <c r="CK342" s="10"/>
      <c r="CL342" s="10"/>
      <c r="CM342" s="10"/>
      <c r="CN342" s="10"/>
      <c r="CO342" s="10"/>
      <c r="CP342" s="10"/>
      <c r="CQ342" s="10"/>
      <c r="CR342" s="10"/>
      <c r="CS342" s="10"/>
      <c r="CT342" s="10"/>
      <c r="CU342" s="10"/>
      <c r="CV342" s="10"/>
      <c r="CW342" s="10"/>
      <c r="CX342" s="10"/>
      <c r="CY342" s="10"/>
      <c r="CZ342" s="10"/>
      <c r="DA342" s="10"/>
      <c r="DB342" s="10"/>
      <c r="DC342" s="10"/>
      <c r="DD342" s="10"/>
      <c r="DE342" s="10"/>
      <c r="DF342" s="10"/>
      <c r="DG342" s="10"/>
      <c r="DH342" s="10"/>
      <c r="DI342" s="10"/>
      <c r="DJ342" s="10"/>
      <c r="DK342" s="10"/>
      <c r="DL342" s="10"/>
      <c r="DM342" s="10"/>
      <c r="DN342" s="10"/>
      <c r="DO342" s="10"/>
      <c r="DP342" s="10"/>
      <c r="DQ342" s="10"/>
      <c r="DR342" s="10"/>
    </row>
    <row r="343" spans="1:122" x14ac:dyDescent="0.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0"/>
      <c r="BC343" s="10"/>
      <c r="BD343" s="10"/>
      <c r="BE343" s="10"/>
      <c r="BF343" s="10"/>
      <c r="BG343" s="10"/>
      <c r="BH343" s="10"/>
      <c r="BI343" s="10"/>
      <c r="BJ343" s="10"/>
      <c r="BK343" s="10"/>
      <c r="BL343" s="10"/>
      <c r="BM343" s="10"/>
      <c r="BN343" s="10"/>
      <c r="BO343" s="10"/>
      <c r="BP343" s="10"/>
      <c r="BQ343" s="10"/>
      <c r="BR343" s="10"/>
      <c r="BS343" s="10"/>
      <c r="BT343" s="10"/>
      <c r="BU343" s="10"/>
      <c r="BV343" s="10"/>
      <c r="BW343" s="10"/>
      <c r="BX343" s="10"/>
      <c r="BY343" s="10"/>
      <c r="BZ343" s="10"/>
      <c r="CA343" s="10"/>
      <c r="CB343" s="10"/>
      <c r="CC343" s="10"/>
      <c r="CD343" s="10"/>
      <c r="CE343" s="10"/>
      <c r="CF343" s="10"/>
      <c r="CG343" s="10"/>
      <c r="CH343" s="10"/>
      <c r="CI343" s="10"/>
      <c r="CJ343" s="10"/>
      <c r="CK343" s="10"/>
      <c r="CL343" s="10"/>
      <c r="CM343" s="10"/>
      <c r="CN343" s="10"/>
      <c r="CO343" s="10"/>
      <c r="CP343" s="10"/>
      <c r="CQ343" s="10"/>
      <c r="CR343" s="10"/>
      <c r="CS343" s="10"/>
      <c r="CT343" s="10"/>
      <c r="CU343" s="10"/>
      <c r="CV343" s="10"/>
      <c r="CW343" s="10"/>
      <c r="CX343" s="10"/>
      <c r="CY343" s="10"/>
      <c r="CZ343" s="10"/>
      <c r="DA343" s="10"/>
      <c r="DB343" s="10"/>
      <c r="DC343" s="10"/>
      <c r="DD343" s="10"/>
      <c r="DE343" s="10"/>
      <c r="DF343" s="10"/>
      <c r="DG343" s="10"/>
      <c r="DH343" s="10"/>
      <c r="DI343" s="10"/>
      <c r="DJ343" s="10"/>
      <c r="DK343" s="10"/>
      <c r="DL343" s="10"/>
      <c r="DM343" s="10"/>
      <c r="DN343" s="10"/>
      <c r="DO343" s="10"/>
      <c r="DP343" s="10"/>
      <c r="DQ343" s="10"/>
      <c r="DR343" s="10"/>
    </row>
    <row r="344" spans="1:122" x14ac:dyDescent="0.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0"/>
      <c r="BC344" s="10"/>
      <c r="BD344" s="10"/>
      <c r="BE344" s="10"/>
      <c r="BF344" s="10"/>
      <c r="BG344" s="10"/>
      <c r="BH344" s="10"/>
      <c r="BI344" s="10"/>
      <c r="BJ344" s="10"/>
      <c r="BK344" s="10"/>
      <c r="BL344" s="10"/>
      <c r="BM344" s="10"/>
      <c r="BN344" s="10"/>
      <c r="BO344" s="10"/>
      <c r="BP344" s="10"/>
      <c r="BQ344" s="10"/>
      <c r="BR344" s="10"/>
      <c r="BS344" s="10"/>
      <c r="BT344" s="10"/>
      <c r="BU344" s="10"/>
      <c r="BV344" s="10"/>
      <c r="BW344" s="10"/>
      <c r="BX344" s="10"/>
      <c r="BY344" s="10"/>
      <c r="BZ344" s="10"/>
      <c r="CA344" s="10"/>
      <c r="CB344" s="10"/>
      <c r="CC344" s="10"/>
      <c r="CD344" s="10"/>
      <c r="CE344" s="10"/>
      <c r="CF344" s="10"/>
      <c r="CG344" s="10"/>
      <c r="CH344" s="10"/>
      <c r="CI344" s="10"/>
      <c r="CJ344" s="10"/>
      <c r="CK344" s="10"/>
      <c r="CL344" s="10"/>
      <c r="CM344" s="10"/>
      <c r="CN344" s="10"/>
      <c r="CO344" s="10"/>
      <c r="CP344" s="10"/>
      <c r="CQ344" s="10"/>
      <c r="CR344" s="10"/>
      <c r="CS344" s="10"/>
      <c r="CT344" s="10"/>
      <c r="CU344" s="10"/>
      <c r="CV344" s="10"/>
      <c r="CW344" s="10"/>
      <c r="CX344" s="10"/>
      <c r="CY344" s="10"/>
      <c r="CZ344" s="10"/>
      <c r="DA344" s="10"/>
      <c r="DB344" s="10"/>
      <c r="DC344" s="10"/>
      <c r="DD344" s="10"/>
      <c r="DE344" s="10"/>
      <c r="DF344" s="10"/>
      <c r="DG344" s="10"/>
      <c r="DH344" s="10"/>
      <c r="DI344" s="10"/>
      <c r="DJ344" s="10"/>
      <c r="DK344" s="10"/>
      <c r="DL344" s="10"/>
      <c r="DM344" s="10"/>
      <c r="DN344" s="10"/>
      <c r="DO344" s="10"/>
      <c r="DP344" s="10"/>
      <c r="DQ344" s="10"/>
      <c r="DR344" s="10"/>
    </row>
    <row r="345" spans="1:122" x14ac:dyDescent="0.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0"/>
      <c r="BC345" s="10"/>
      <c r="BD345" s="10"/>
      <c r="BE345" s="10"/>
      <c r="BF345" s="10"/>
      <c r="BG345" s="10"/>
      <c r="BH345" s="10"/>
      <c r="BI345" s="10"/>
      <c r="BJ345" s="10"/>
      <c r="BK345" s="10"/>
      <c r="BL345" s="10"/>
      <c r="BM345" s="10"/>
      <c r="BN345" s="10"/>
      <c r="BO345" s="10"/>
      <c r="BP345" s="10"/>
      <c r="BQ345" s="10"/>
      <c r="BR345" s="10"/>
      <c r="BS345" s="10"/>
      <c r="BT345" s="10"/>
      <c r="BU345" s="10"/>
      <c r="BV345" s="10"/>
      <c r="BW345" s="10"/>
      <c r="BX345" s="10"/>
      <c r="BY345" s="10"/>
      <c r="BZ345" s="10"/>
      <c r="CA345" s="10"/>
      <c r="CB345" s="10"/>
      <c r="CC345" s="10"/>
      <c r="CD345" s="10"/>
      <c r="CE345" s="10"/>
      <c r="CF345" s="10"/>
      <c r="CG345" s="10"/>
      <c r="CH345" s="10"/>
      <c r="CI345" s="10"/>
      <c r="CJ345" s="10"/>
      <c r="CK345" s="10"/>
      <c r="CL345" s="10"/>
      <c r="CM345" s="10"/>
      <c r="CN345" s="10"/>
      <c r="CO345" s="10"/>
      <c r="CP345" s="10"/>
      <c r="CQ345" s="10"/>
      <c r="CR345" s="10"/>
      <c r="CS345" s="10"/>
      <c r="CT345" s="10"/>
      <c r="CU345" s="10"/>
      <c r="CV345" s="10"/>
      <c r="CW345" s="10"/>
      <c r="CX345" s="10"/>
      <c r="CY345" s="10"/>
      <c r="CZ345" s="10"/>
      <c r="DA345" s="10"/>
      <c r="DB345" s="10"/>
      <c r="DC345" s="10"/>
      <c r="DD345" s="10"/>
      <c r="DE345" s="10"/>
      <c r="DF345" s="10"/>
      <c r="DG345" s="10"/>
      <c r="DH345" s="10"/>
      <c r="DI345" s="10"/>
      <c r="DJ345" s="10"/>
      <c r="DK345" s="10"/>
      <c r="DL345" s="10"/>
      <c r="DM345" s="10"/>
      <c r="DN345" s="10"/>
      <c r="DO345" s="10"/>
      <c r="DP345" s="10"/>
      <c r="DQ345" s="10"/>
      <c r="DR345" s="10"/>
    </row>
    <row r="346" spans="1:122" x14ac:dyDescent="0.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0"/>
      <c r="BC346" s="10"/>
      <c r="BD346" s="10"/>
      <c r="BE346" s="10"/>
      <c r="BF346" s="10"/>
      <c r="BG346" s="10"/>
      <c r="BH346" s="10"/>
      <c r="BI346" s="10"/>
      <c r="BJ346" s="10"/>
      <c r="BK346" s="10"/>
      <c r="BL346" s="10"/>
      <c r="BM346" s="10"/>
      <c r="BN346" s="10"/>
      <c r="BO346" s="10"/>
      <c r="BP346" s="10"/>
      <c r="BQ346" s="10"/>
      <c r="BR346" s="10"/>
      <c r="BS346" s="10"/>
      <c r="BT346" s="10"/>
      <c r="BU346" s="10"/>
      <c r="BV346" s="10"/>
      <c r="BW346" s="10"/>
      <c r="BX346" s="10"/>
      <c r="BY346" s="10"/>
      <c r="BZ346" s="10"/>
      <c r="CA346" s="10"/>
      <c r="CB346" s="10"/>
      <c r="CC346" s="10"/>
      <c r="CD346" s="10"/>
      <c r="CE346" s="10"/>
      <c r="CF346" s="10"/>
      <c r="CG346" s="10"/>
      <c r="CH346" s="10"/>
      <c r="CI346" s="10"/>
      <c r="CJ346" s="10"/>
      <c r="CK346" s="10"/>
      <c r="CL346" s="10"/>
      <c r="CM346" s="10"/>
      <c r="CN346" s="10"/>
      <c r="CO346" s="10"/>
      <c r="CP346" s="10"/>
      <c r="CQ346" s="10"/>
      <c r="CR346" s="10"/>
      <c r="CS346" s="10"/>
      <c r="CT346" s="10"/>
      <c r="CU346" s="10"/>
      <c r="CV346" s="10"/>
      <c r="CW346" s="10"/>
      <c r="CX346" s="10"/>
      <c r="CY346" s="10"/>
      <c r="CZ346" s="10"/>
      <c r="DA346" s="10"/>
      <c r="DB346" s="10"/>
      <c r="DC346" s="10"/>
      <c r="DD346" s="10"/>
      <c r="DE346" s="10"/>
      <c r="DF346" s="10"/>
      <c r="DG346" s="10"/>
      <c r="DH346" s="10"/>
      <c r="DI346" s="10"/>
      <c r="DJ346" s="10"/>
      <c r="DK346" s="10"/>
      <c r="DL346" s="10"/>
      <c r="DM346" s="10"/>
      <c r="DN346" s="10"/>
      <c r="DO346" s="10"/>
      <c r="DP346" s="10"/>
      <c r="DQ346" s="10"/>
      <c r="DR346" s="10"/>
    </row>
    <row r="347" spans="1:122" x14ac:dyDescent="0.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0"/>
      <c r="BC347" s="10"/>
      <c r="BD347" s="10"/>
      <c r="BE347" s="10"/>
      <c r="BF347" s="10"/>
      <c r="BG347" s="10"/>
      <c r="BH347" s="10"/>
      <c r="BI347" s="10"/>
      <c r="BJ347" s="10"/>
      <c r="BK347" s="10"/>
      <c r="BL347" s="10"/>
      <c r="BM347" s="10"/>
      <c r="BN347" s="10"/>
      <c r="BO347" s="10"/>
      <c r="BP347" s="10"/>
      <c r="BQ347" s="10"/>
      <c r="BR347" s="10"/>
      <c r="BS347" s="10"/>
      <c r="BT347" s="10"/>
      <c r="BU347" s="10"/>
      <c r="BV347" s="10"/>
      <c r="BW347" s="10"/>
      <c r="BX347" s="10"/>
      <c r="BY347" s="10"/>
      <c r="BZ347" s="10"/>
      <c r="CA347" s="10"/>
      <c r="CB347" s="10"/>
      <c r="CC347" s="10"/>
      <c r="CD347" s="10"/>
      <c r="CE347" s="10"/>
      <c r="CF347" s="10"/>
      <c r="CG347" s="10"/>
      <c r="CH347" s="10"/>
      <c r="CI347" s="10"/>
      <c r="CJ347" s="10"/>
      <c r="CK347" s="10"/>
      <c r="CL347" s="10"/>
      <c r="CM347" s="10"/>
      <c r="CN347" s="10"/>
      <c r="CO347" s="10"/>
      <c r="CP347" s="10"/>
      <c r="CQ347" s="10"/>
      <c r="CR347" s="10"/>
      <c r="CS347" s="10"/>
      <c r="CT347" s="10"/>
      <c r="CU347" s="10"/>
      <c r="CV347" s="10"/>
      <c r="CW347" s="10"/>
      <c r="CX347" s="10"/>
      <c r="CY347" s="10"/>
      <c r="CZ347" s="10"/>
      <c r="DA347" s="10"/>
      <c r="DB347" s="10"/>
      <c r="DC347" s="10"/>
      <c r="DD347" s="10"/>
      <c r="DE347" s="10"/>
      <c r="DF347" s="10"/>
      <c r="DG347" s="10"/>
      <c r="DH347" s="10"/>
      <c r="DI347" s="10"/>
      <c r="DJ347" s="10"/>
      <c r="DK347" s="10"/>
      <c r="DL347" s="10"/>
      <c r="DM347" s="10"/>
      <c r="DN347" s="10"/>
      <c r="DO347" s="10"/>
      <c r="DP347" s="10"/>
      <c r="DQ347" s="10"/>
      <c r="DR347" s="10"/>
    </row>
    <row r="348" spans="1:122" x14ac:dyDescent="0.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0"/>
      <c r="BC348" s="10"/>
      <c r="BD348" s="10"/>
      <c r="BE348" s="10"/>
      <c r="BF348" s="10"/>
      <c r="BG348" s="10"/>
      <c r="BH348" s="10"/>
      <c r="BI348" s="10"/>
      <c r="BJ348" s="10"/>
      <c r="BK348" s="10"/>
      <c r="BL348" s="10"/>
      <c r="BM348" s="10"/>
      <c r="BN348" s="10"/>
      <c r="BO348" s="10"/>
      <c r="BP348" s="10"/>
      <c r="BQ348" s="10"/>
      <c r="BR348" s="10"/>
      <c r="BS348" s="10"/>
      <c r="BT348" s="10"/>
      <c r="BU348" s="10"/>
      <c r="BV348" s="10"/>
      <c r="BW348" s="10"/>
      <c r="BX348" s="10"/>
      <c r="BY348" s="10"/>
      <c r="BZ348" s="10"/>
      <c r="CA348" s="10"/>
      <c r="CB348" s="10"/>
      <c r="CC348" s="10"/>
      <c r="CD348" s="10"/>
      <c r="CE348" s="10"/>
      <c r="CF348" s="10"/>
      <c r="CG348" s="10"/>
      <c r="CH348" s="10"/>
      <c r="CI348" s="10"/>
      <c r="CJ348" s="10"/>
      <c r="CK348" s="10"/>
      <c r="CL348" s="10"/>
      <c r="CM348" s="10"/>
      <c r="CN348" s="10"/>
      <c r="CO348" s="10"/>
      <c r="CP348" s="10"/>
      <c r="CQ348" s="10"/>
      <c r="CR348" s="10"/>
      <c r="CS348" s="10"/>
      <c r="CT348" s="10"/>
      <c r="CU348" s="10"/>
      <c r="CV348" s="10"/>
      <c r="CW348" s="10"/>
      <c r="CX348" s="10"/>
      <c r="CY348" s="10"/>
      <c r="CZ348" s="10"/>
      <c r="DA348" s="10"/>
      <c r="DB348" s="10"/>
      <c r="DC348" s="10"/>
      <c r="DD348" s="10"/>
      <c r="DE348" s="10"/>
      <c r="DF348" s="10"/>
      <c r="DG348" s="10"/>
      <c r="DH348" s="10"/>
      <c r="DI348" s="10"/>
      <c r="DJ348" s="10"/>
      <c r="DK348" s="10"/>
      <c r="DL348" s="10"/>
      <c r="DM348" s="10"/>
      <c r="DN348" s="10"/>
      <c r="DO348" s="10"/>
      <c r="DP348" s="10"/>
      <c r="DQ348" s="10"/>
      <c r="DR348" s="10"/>
    </row>
    <row r="349" spans="1:122" x14ac:dyDescent="0.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0"/>
      <c r="BC349" s="10"/>
      <c r="BD349" s="10"/>
      <c r="BE349" s="10"/>
      <c r="BF349" s="10"/>
      <c r="BG349" s="10"/>
      <c r="BH349" s="10"/>
      <c r="BI349" s="10"/>
      <c r="BJ349" s="10"/>
      <c r="BK349" s="10"/>
      <c r="BL349" s="10"/>
      <c r="BM349" s="10"/>
      <c r="BN349" s="10"/>
      <c r="BO349" s="10"/>
      <c r="BP349" s="10"/>
      <c r="BQ349" s="10"/>
      <c r="BR349" s="10"/>
      <c r="BS349" s="10"/>
      <c r="BT349" s="10"/>
      <c r="BU349" s="10"/>
      <c r="BV349" s="10"/>
      <c r="BW349" s="10"/>
      <c r="BX349" s="10"/>
      <c r="BY349" s="10"/>
      <c r="BZ349" s="10"/>
      <c r="CA349" s="10"/>
      <c r="CB349" s="10"/>
      <c r="CC349" s="10"/>
      <c r="CD349" s="10"/>
      <c r="CE349" s="10"/>
      <c r="CF349" s="10"/>
      <c r="CG349" s="10"/>
      <c r="CH349" s="10"/>
      <c r="CI349" s="10"/>
      <c r="CJ349" s="10"/>
      <c r="CK349" s="10"/>
      <c r="CL349" s="10"/>
      <c r="CM349" s="10"/>
      <c r="CN349" s="10"/>
      <c r="CO349" s="10"/>
      <c r="CP349" s="10"/>
      <c r="CQ349" s="10"/>
      <c r="CR349" s="10"/>
      <c r="CS349" s="10"/>
      <c r="CT349" s="10"/>
      <c r="CU349" s="10"/>
      <c r="CV349" s="10"/>
      <c r="CW349" s="10"/>
      <c r="CX349" s="10"/>
      <c r="CY349" s="10"/>
      <c r="CZ349" s="10"/>
      <c r="DA349" s="10"/>
      <c r="DB349" s="10"/>
      <c r="DC349" s="10"/>
      <c r="DD349" s="10"/>
      <c r="DE349" s="10"/>
      <c r="DF349" s="10"/>
      <c r="DG349" s="10"/>
      <c r="DH349" s="10"/>
      <c r="DI349" s="10"/>
      <c r="DJ349" s="10"/>
      <c r="DK349" s="10"/>
      <c r="DL349" s="10"/>
      <c r="DM349" s="10"/>
      <c r="DN349" s="10"/>
      <c r="DO349" s="10"/>
      <c r="DP349" s="10"/>
      <c r="DQ349" s="10"/>
      <c r="DR349" s="10"/>
    </row>
    <row r="350" spans="1:122" x14ac:dyDescent="0.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0"/>
      <c r="BC350" s="10"/>
      <c r="BD350" s="10"/>
      <c r="BE350" s="10"/>
      <c r="BF350" s="10"/>
      <c r="BG350" s="10"/>
      <c r="BH350" s="10"/>
      <c r="BI350" s="10"/>
      <c r="BJ350" s="10"/>
      <c r="BK350" s="10"/>
      <c r="BL350" s="10"/>
      <c r="BM350" s="10"/>
      <c r="BN350" s="10"/>
      <c r="BO350" s="10"/>
      <c r="BP350" s="10"/>
      <c r="BQ350" s="10"/>
      <c r="BR350" s="10"/>
      <c r="BS350" s="10"/>
      <c r="BT350" s="10"/>
      <c r="BU350" s="10"/>
      <c r="BV350" s="10"/>
      <c r="BW350" s="10"/>
      <c r="BX350" s="10"/>
      <c r="BY350" s="10"/>
      <c r="BZ350" s="10"/>
      <c r="CA350" s="10"/>
      <c r="CB350" s="10"/>
      <c r="CC350" s="10"/>
      <c r="CD350" s="10"/>
      <c r="CE350" s="10"/>
      <c r="CF350" s="10"/>
      <c r="CG350" s="10"/>
      <c r="CH350" s="10"/>
      <c r="CI350" s="10"/>
      <c r="CJ350" s="10"/>
      <c r="CK350" s="10"/>
      <c r="CL350" s="10"/>
      <c r="CM350" s="10"/>
      <c r="CN350" s="10"/>
      <c r="CO350" s="10"/>
      <c r="CP350" s="10"/>
      <c r="CQ350" s="10"/>
      <c r="CR350" s="10"/>
      <c r="CS350" s="10"/>
      <c r="CT350" s="10"/>
      <c r="CU350" s="10"/>
      <c r="CV350" s="10"/>
      <c r="CW350" s="10"/>
      <c r="CX350" s="10"/>
      <c r="CY350" s="10"/>
      <c r="CZ350" s="10"/>
      <c r="DA350" s="10"/>
      <c r="DB350" s="10"/>
      <c r="DC350" s="10"/>
      <c r="DD350" s="10"/>
      <c r="DE350" s="10"/>
      <c r="DF350" s="10"/>
      <c r="DG350" s="10"/>
      <c r="DH350" s="10"/>
      <c r="DI350" s="10"/>
      <c r="DJ350" s="10"/>
      <c r="DK350" s="10"/>
      <c r="DL350" s="10"/>
      <c r="DM350" s="10"/>
      <c r="DN350" s="10"/>
      <c r="DO350" s="10"/>
      <c r="DP350" s="10"/>
      <c r="DQ350" s="10"/>
      <c r="DR350" s="10"/>
    </row>
    <row r="351" spans="1:122" x14ac:dyDescent="0.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0"/>
      <c r="BC351" s="10"/>
      <c r="BD351" s="10"/>
      <c r="BE351" s="10"/>
      <c r="BF351" s="10"/>
      <c r="BG351" s="10"/>
      <c r="BH351" s="10"/>
      <c r="BI351" s="10"/>
      <c r="BJ351" s="10"/>
      <c r="BK351" s="10"/>
      <c r="BL351" s="10"/>
      <c r="BM351" s="10"/>
      <c r="BN351" s="10"/>
      <c r="BO351" s="10"/>
      <c r="BP351" s="10"/>
      <c r="BQ351" s="10"/>
      <c r="BR351" s="10"/>
      <c r="BS351" s="10"/>
      <c r="BT351" s="10"/>
      <c r="BU351" s="10"/>
      <c r="BV351" s="10"/>
      <c r="BW351" s="10"/>
      <c r="BX351" s="10"/>
      <c r="BY351" s="10"/>
      <c r="BZ351" s="10"/>
      <c r="CA351" s="10"/>
      <c r="CB351" s="10"/>
      <c r="CC351" s="10"/>
      <c r="CD351" s="10"/>
      <c r="CE351" s="10"/>
      <c r="CF351" s="10"/>
      <c r="CG351" s="10"/>
      <c r="CH351" s="10"/>
      <c r="CI351" s="10"/>
      <c r="CJ351" s="10"/>
      <c r="CK351" s="10"/>
      <c r="CL351" s="10"/>
      <c r="CM351" s="10"/>
      <c r="CN351" s="10"/>
      <c r="CO351" s="10"/>
      <c r="CP351" s="10"/>
      <c r="CQ351" s="10"/>
      <c r="CR351" s="10"/>
      <c r="CS351" s="10"/>
      <c r="CT351" s="10"/>
      <c r="CU351" s="10"/>
      <c r="CV351" s="10"/>
      <c r="CW351" s="10"/>
      <c r="CX351" s="10"/>
      <c r="CY351" s="10"/>
      <c r="CZ351" s="10"/>
      <c r="DA351" s="10"/>
      <c r="DB351" s="10"/>
      <c r="DC351" s="10"/>
      <c r="DD351" s="10"/>
      <c r="DE351" s="10"/>
      <c r="DF351" s="10"/>
      <c r="DG351" s="10"/>
      <c r="DH351" s="10"/>
      <c r="DI351" s="10"/>
      <c r="DJ351" s="10"/>
      <c r="DK351" s="10"/>
      <c r="DL351" s="10"/>
      <c r="DM351" s="10"/>
      <c r="DN351" s="10"/>
      <c r="DO351" s="10"/>
      <c r="DP351" s="10"/>
      <c r="DQ351" s="10"/>
      <c r="DR351" s="10"/>
    </row>
    <row r="352" spans="1:122" x14ac:dyDescent="0.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0"/>
      <c r="BC352" s="10"/>
      <c r="BD352" s="10"/>
      <c r="BE352" s="10"/>
      <c r="BF352" s="10"/>
      <c r="BG352" s="10"/>
      <c r="BH352" s="10"/>
      <c r="BI352" s="10"/>
      <c r="BJ352" s="10"/>
      <c r="BK352" s="10"/>
      <c r="BL352" s="10"/>
      <c r="BM352" s="10"/>
      <c r="BN352" s="10"/>
      <c r="BO352" s="10"/>
      <c r="BP352" s="10"/>
      <c r="BQ352" s="10"/>
      <c r="BR352" s="10"/>
      <c r="BS352" s="10"/>
      <c r="BT352" s="10"/>
      <c r="BU352" s="10"/>
      <c r="BV352" s="10"/>
      <c r="BW352" s="10"/>
      <c r="BX352" s="10"/>
      <c r="BY352" s="10"/>
      <c r="BZ352" s="10"/>
      <c r="CA352" s="10"/>
      <c r="CB352" s="10"/>
      <c r="CC352" s="10"/>
      <c r="CD352" s="10"/>
      <c r="CE352" s="10"/>
      <c r="CF352" s="10"/>
      <c r="CG352" s="10"/>
      <c r="CH352" s="10"/>
      <c r="CI352" s="10"/>
      <c r="CJ352" s="10"/>
      <c r="CK352" s="10"/>
      <c r="CL352" s="10"/>
      <c r="CM352" s="10"/>
      <c r="CN352" s="10"/>
      <c r="CO352" s="10"/>
      <c r="CP352" s="10"/>
      <c r="CQ352" s="10"/>
      <c r="CR352" s="10"/>
      <c r="CS352" s="10"/>
      <c r="CT352" s="10"/>
      <c r="CU352" s="10"/>
      <c r="CV352" s="10"/>
      <c r="CW352" s="10"/>
      <c r="CX352" s="10"/>
      <c r="CY352" s="10"/>
      <c r="CZ352" s="10"/>
      <c r="DA352" s="10"/>
      <c r="DB352" s="10"/>
      <c r="DC352" s="10"/>
      <c r="DD352" s="10"/>
      <c r="DE352" s="10"/>
      <c r="DF352" s="10"/>
      <c r="DG352" s="10"/>
      <c r="DH352" s="10"/>
      <c r="DI352" s="10"/>
      <c r="DJ352" s="10"/>
      <c r="DK352" s="10"/>
      <c r="DL352" s="10"/>
      <c r="DM352" s="10"/>
      <c r="DN352" s="10"/>
      <c r="DO352" s="10"/>
      <c r="DP352" s="10"/>
      <c r="DQ352" s="10"/>
      <c r="DR352" s="10"/>
    </row>
    <row r="353" spans="1:122" x14ac:dyDescent="0.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0"/>
      <c r="BC353" s="10"/>
      <c r="BD353" s="10"/>
      <c r="BE353" s="10"/>
      <c r="BF353" s="10"/>
      <c r="BG353" s="10"/>
      <c r="BH353" s="10"/>
      <c r="BI353" s="10"/>
      <c r="BJ353" s="10"/>
      <c r="BK353" s="10"/>
      <c r="BL353" s="10"/>
      <c r="BM353" s="10"/>
      <c r="BN353" s="10"/>
      <c r="BO353" s="10"/>
      <c r="BP353" s="10"/>
      <c r="BQ353" s="10"/>
      <c r="BR353" s="10"/>
      <c r="BS353" s="10"/>
      <c r="BT353" s="10"/>
      <c r="BU353" s="10"/>
      <c r="BV353" s="10"/>
      <c r="BW353" s="10"/>
      <c r="BX353" s="10"/>
      <c r="BY353" s="10"/>
      <c r="BZ353" s="10"/>
      <c r="CA353" s="10"/>
      <c r="CB353" s="10"/>
      <c r="CC353" s="10"/>
      <c r="CD353" s="10"/>
      <c r="CE353" s="10"/>
      <c r="CF353" s="10"/>
      <c r="CG353" s="10"/>
      <c r="CH353" s="10"/>
      <c r="CI353" s="10"/>
      <c r="CJ353" s="10"/>
      <c r="CK353" s="10"/>
      <c r="CL353" s="10"/>
      <c r="CM353" s="10"/>
      <c r="CN353" s="10"/>
      <c r="CO353" s="10"/>
      <c r="CP353" s="10"/>
      <c r="CQ353" s="10"/>
      <c r="CR353" s="10"/>
      <c r="CS353" s="10"/>
      <c r="CT353" s="10"/>
      <c r="CU353" s="10"/>
      <c r="CV353" s="10"/>
      <c r="CW353" s="10"/>
      <c r="CX353" s="10"/>
      <c r="CY353" s="10"/>
      <c r="CZ353" s="10"/>
      <c r="DA353" s="10"/>
      <c r="DB353" s="10"/>
      <c r="DC353" s="10"/>
      <c r="DD353" s="10"/>
      <c r="DE353" s="10"/>
      <c r="DF353" s="10"/>
      <c r="DG353" s="10"/>
      <c r="DH353" s="10"/>
      <c r="DI353" s="10"/>
      <c r="DJ353" s="10"/>
      <c r="DK353" s="10"/>
      <c r="DL353" s="10"/>
      <c r="DM353" s="10"/>
      <c r="DN353" s="10"/>
      <c r="DO353" s="10"/>
      <c r="DP353" s="10"/>
      <c r="DQ353" s="10"/>
      <c r="DR353" s="10"/>
    </row>
    <row r="354" spans="1:122" x14ac:dyDescent="0.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0"/>
      <c r="BC354" s="10"/>
      <c r="BD354" s="10"/>
      <c r="BE354" s="10"/>
      <c r="BF354" s="10"/>
      <c r="BG354" s="10"/>
      <c r="BH354" s="10"/>
      <c r="BI354" s="10"/>
      <c r="BJ354" s="10"/>
      <c r="BK354" s="10"/>
      <c r="BL354" s="10"/>
      <c r="BM354" s="10"/>
      <c r="BN354" s="10"/>
      <c r="BO354" s="10"/>
      <c r="BP354" s="10"/>
      <c r="BQ354" s="10"/>
      <c r="BR354" s="10"/>
      <c r="BS354" s="10"/>
      <c r="BT354" s="10"/>
      <c r="BU354" s="10"/>
      <c r="BV354" s="10"/>
      <c r="BW354" s="10"/>
      <c r="BX354" s="10"/>
      <c r="BY354" s="10"/>
      <c r="BZ354" s="10"/>
      <c r="CA354" s="10"/>
      <c r="CB354" s="10"/>
      <c r="CC354" s="10"/>
      <c r="CD354" s="10"/>
      <c r="CE354" s="10"/>
      <c r="CF354" s="10"/>
      <c r="CG354" s="10"/>
      <c r="CH354" s="10"/>
      <c r="CI354" s="10"/>
      <c r="CJ354" s="10"/>
      <c r="CK354" s="10"/>
      <c r="CL354" s="10"/>
      <c r="CM354" s="10"/>
      <c r="CN354" s="10"/>
      <c r="CO354" s="10"/>
      <c r="CP354" s="10"/>
      <c r="CQ354" s="10"/>
      <c r="CR354" s="10"/>
      <c r="CS354" s="10"/>
      <c r="CT354" s="10"/>
      <c r="CU354" s="10"/>
      <c r="CV354" s="10"/>
      <c r="CW354" s="10"/>
      <c r="CX354" s="10"/>
      <c r="CY354" s="10"/>
      <c r="CZ354" s="10"/>
      <c r="DA354" s="10"/>
      <c r="DB354" s="10"/>
      <c r="DC354" s="10"/>
      <c r="DD354" s="10"/>
      <c r="DE354" s="10"/>
      <c r="DF354" s="10"/>
      <c r="DG354" s="10"/>
      <c r="DH354" s="10"/>
      <c r="DI354" s="10"/>
      <c r="DJ354" s="10"/>
      <c r="DK354" s="10"/>
      <c r="DL354" s="10"/>
      <c r="DM354" s="10"/>
      <c r="DN354" s="10"/>
      <c r="DO354" s="10"/>
      <c r="DP354" s="10"/>
      <c r="DQ354" s="10"/>
      <c r="DR354" s="10"/>
    </row>
    <row r="355" spans="1:122" x14ac:dyDescent="0.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0"/>
      <c r="BC355" s="10"/>
      <c r="BD355" s="10"/>
      <c r="BE355" s="10"/>
      <c r="BF355" s="10"/>
      <c r="BG355" s="10"/>
      <c r="BH355" s="10"/>
      <c r="BI355" s="10"/>
      <c r="BJ355" s="10"/>
      <c r="BK355" s="10"/>
      <c r="BL355" s="10"/>
      <c r="BM355" s="10"/>
      <c r="BN355" s="10"/>
      <c r="BO355" s="10"/>
      <c r="BP355" s="10"/>
      <c r="BQ355" s="10"/>
      <c r="BR355" s="10"/>
      <c r="BS355" s="10"/>
      <c r="BT355" s="10"/>
      <c r="BU355" s="10"/>
      <c r="BV355" s="10"/>
      <c r="BW355" s="10"/>
      <c r="BX355" s="10"/>
      <c r="BY355" s="10"/>
      <c r="BZ355" s="10"/>
      <c r="CA355" s="10"/>
      <c r="CB355" s="10"/>
      <c r="CC355" s="10"/>
      <c r="CD355" s="10"/>
      <c r="CE355" s="10"/>
      <c r="CF355" s="10"/>
      <c r="CG355" s="10"/>
      <c r="CH355" s="10"/>
      <c r="CI355" s="10"/>
      <c r="CJ355" s="10"/>
      <c r="CK355" s="10"/>
      <c r="CL355" s="10"/>
      <c r="CM355" s="10"/>
      <c r="CN355" s="10"/>
      <c r="CO355" s="10"/>
      <c r="CP355" s="10"/>
      <c r="CQ355" s="10"/>
      <c r="CR355" s="10"/>
      <c r="CS355" s="10"/>
      <c r="CT355" s="10"/>
      <c r="CU355" s="10"/>
      <c r="CV355" s="10"/>
      <c r="CW355" s="10"/>
      <c r="CX355" s="10"/>
      <c r="CY355" s="10"/>
      <c r="CZ355" s="10"/>
      <c r="DA355" s="10"/>
      <c r="DB355" s="10"/>
      <c r="DC355" s="10"/>
      <c r="DD355" s="10"/>
      <c r="DE355" s="10"/>
      <c r="DF355" s="10"/>
      <c r="DG355" s="10"/>
      <c r="DH355" s="10"/>
      <c r="DI355" s="10"/>
      <c r="DJ355" s="10"/>
      <c r="DK355" s="10"/>
      <c r="DL355" s="10"/>
      <c r="DM355" s="10"/>
      <c r="DN355" s="10"/>
      <c r="DO355" s="10"/>
      <c r="DP355" s="10"/>
      <c r="DQ355" s="10"/>
      <c r="DR355" s="10"/>
    </row>
    <row r="356" spans="1:122" x14ac:dyDescent="0.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0"/>
      <c r="BC356" s="10"/>
      <c r="BD356" s="10"/>
      <c r="BE356" s="10"/>
      <c r="BF356" s="10"/>
      <c r="BG356" s="10"/>
      <c r="BH356" s="10"/>
      <c r="BI356" s="10"/>
      <c r="BJ356" s="10"/>
      <c r="BK356" s="10"/>
      <c r="BL356" s="10"/>
      <c r="BM356" s="10"/>
      <c r="BN356" s="10"/>
      <c r="BO356" s="10"/>
      <c r="BP356" s="10"/>
      <c r="BQ356" s="10"/>
      <c r="BR356" s="10"/>
      <c r="BS356" s="10"/>
      <c r="BT356" s="10"/>
      <c r="BU356" s="10"/>
      <c r="BV356" s="10"/>
      <c r="BW356" s="10"/>
      <c r="BX356" s="10"/>
      <c r="BY356" s="10"/>
      <c r="BZ356" s="10"/>
      <c r="CA356" s="10"/>
      <c r="CB356" s="10"/>
      <c r="CC356" s="10"/>
      <c r="CD356" s="10"/>
      <c r="CE356" s="10"/>
      <c r="CF356" s="10"/>
      <c r="CG356" s="10"/>
      <c r="CH356" s="10"/>
      <c r="CI356" s="10"/>
      <c r="CJ356" s="10"/>
      <c r="CK356" s="10"/>
      <c r="CL356" s="10"/>
      <c r="CM356" s="10"/>
      <c r="CN356" s="10"/>
      <c r="CO356" s="10"/>
      <c r="CP356" s="10"/>
      <c r="CQ356" s="10"/>
      <c r="CR356" s="10"/>
      <c r="CS356" s="10"/>
      <c r="CT356" s="10"/>
      <c r="CU356" s="10"/>
      <c r="CV356" s="10"/>
      <c r="CW356" s="10"/>
      <c r="CX356" s="10"/>
      <c r="CY356" s="10"/>
      <c r="CZ356" s="10"/>
      <c r="DA356" s="10"/>
      <c r="DB356" s="10"/>
      <c r="DC356" s="10"/>
      <c r="DD356" s="10"/>
      <c r="DE356" s="10"/>
      <c r="DF356" s="10"/>
      <c r="DG356" s="10"/>
      <c r="DH356" s="10"/>
      <c r="DI356" s="10"/>
      <c r="DJ356" s="10"/>
      <c r="DK356" s="10"/>
      <c r="DL356" s="10"/>
      <c r="DM356" s="10"/>
      <c r="DN356" s="10"/>
      <c r="DO356" s="10"/>
      <c r="DP356" s="10"/>
      <c r="DQ356" s="10"/>
      <c r="DR356" s="10"/>
    </row>
    <row r="357" spans="1:122" x14ac:dyDescent="0.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0"/>
      <c r="BC357" s="10"/>
      <c r="BD357" s="10"/>
      <c r="BE357" s="10"/>
      <c r="BF357" s="10"/>
      <c r="BG357" s="10"/>
      <c r="BH357" s="10"/>
      <c r="BI357" s="10"/>
      <c r="BJ357" s="10"/>
      <c r="BK357" s="10"/>
      <c r="BL357" s="10"/>
      <c r="BM357" s="10"/>
      <c r="BN357" s="10"/>
      <c r="BO357" s="10"/>
      <c r="BP357" s="10"/>
      <c r="BQ357" s="10"/>
      <c r="BR357" s="10"/>
      <c r="BS357" s="10"/>
      <c r="BT357" s="10"/>
      <c r="BU357" s="10"/>
      <c r="BV357" s="10"/>
      <c r="BW357" s="10"/>
      <c r="BX357" s="10"/>
      <c r="BY357" s="10"/>
      <c r="BZ357" s="10"/>
      <c r="CA357" s="10"/>
      <c r="CB357" s="10"/>
      <c r="CC357" s="10"/>
      <c r="CD357" s="10"/>
      <c r="CE357" s="10"/>
      <c r="CF357" s="10"/>
      <c r="CG357" s="10"/>
      <c r="CH357" s="10"/>
      <c r="CI357" s="10"/>
      <c r="CJ357" s="10"/>
      <c r="CK357" s="10"/>
      <c r="CL357" s="10"/>
      <c r="CM357" s="10"/>
      <c r="CN357" s="10"/>
      <c r="CO357" s="10"/>
      <c r="CP357" s="10"/>
      <c r="CQ357" s="10"/>
      <c r="CR357" s="10"/>
      <c r="CS357" s="10"/>
      <c r="CT357" s="10"/>
      <c r="CU357" s="10"/>
      <c r="CV357" s="10"/>
      <c r="CW357" s="10"/>
      <c r="CX357" s="10"/>
      <c r="CY357" s="10"/>
      <c r="CZ357" s="10"/>
      <c r="DA357" s="10"/>
      <c r="DB357" s="10"/>
      <c r="DC357" s="10"/>
      <c r="DD357" s="10"/>
      <c r="DE357" s="10"/>
      <c r="DF357" s="10"/>
      <c r="DG357" s="10"/>
      <c r="DH357" s="10"/>
      <c r="DI357" s="10"/>
      <c r="DJ357" s="10"/>
      <c r="DK357" s="10"/>
      <c r="DL357" s="10"/>
      <c r="DM357" s="10"/>
      <c r="DN357" s="10"/>
      <c r="DO357" s="10"/>
      <c r="DP357" s="10"/>
      <c r="DQ357" s="10"/>
      <c r="DR357" s="10"/>
    </row>
    <row r="358" spans="1:122" x14ac:dyDescent="0.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0"/>
      <c r="BC358" s="10"/>
      <c r="BD358" s="10"/>
      <c r="BE358" s="10"/>
      <c r="BF358" s="10"/>
      <c r="BG358" s="10"/>
      <c r="BH358" s="10"/>
      <c r="BI358" s="10"/>
      <c r="BJ358" s="10"/>
      <c r="BK358" s="10"/>
      <c r="BL358" s="10"/>
      <c r="BM358" s="10"/>
      <c r="BN358" s="10"/>
      <c r="BO358" s="10"/>
      <c r="BP358" s="10"/>
      <c r="BQ358" s="10"/>
      <c r="BR358" s="10"/>
      <c r="BS358" s="10"/>
      <c r="BT358" s="10"/>
      <c r="BU358" s="10"/>
      <c r="BV358" s="10"/>
      <c r="BW358" s="10"/>
      <c r="BX358" s="10"/>
      <c r="BY358" s="10"/>
      <c r="BZ358" s="10"/>
      <c r="CA358" s="10"/>
      <c r="CB358" s="10"/>
      <c r="CC358" s="10"/>
      <c r="CD358" s="10"/>
      <c r="CE358" s="10"/>
      <c r="CF358" s="10"/>
      <c r="CG358" s="10"/>
      <c r="CH358" s="10"/>
      <c r="CI358" s="10"/>
      <c r="CJ358" s="10"/>
      <c r="CK358" s="10"/>
      <c r="CL358" s="10"/>
      <c r="CM358" s="10"/>
      <c r="CN358" s="10"/>
      <c r="CO358" s="10"/>
      <c r="CP358" s="10"/>
      <c r="CQ358" s="10"/>
      <c r="CR358" s="10"/>
      <c r="CS358" s="10"/>
      <c r="CT358" s="10"/>
      <c r="CU358" s="10"/>
      <c r="CV358" s="10"/>
      <c r="CW358" s="10"/>
      <c r="CX358" s="10"/>
      <c r="CY358" s="10"/>
      <c r="CZ358" s="10"/>
      <c r="DA358" s="10"/>
      <c r="DB358" s="10"/>
      <c r="DC358" s="10"/>
      <c r="DD358" s="10"/>
      <c r="DE358" s="10"/>
      <c r="DF358" s="10"/>
      <c r="DG358" s="10"/>
      <c r="DH358" s="10"/>
      <c r="DI358" s="10"/>
      <c r="DJ358" s="10"/>
      <c r="DK358" s="10"/>
      <c r="DL358" s="10"/>
      <c r="DM358" s="10"/>
      <c r="DN358" s="10"/>
      <c r="DO358" s="10"/>
      <c r="DP358" s="10"/>
      <c r="DQ358" s="10"/>
      <c r="DR358" s="10"/>
    </row>
    <row r="359" spans="1:122" x14ac:dyDescent="0.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0"/>
      <c r="BC359" s="10"/>
      <c r="BD359" s="10"/>
      <c r="BE359" s="10"/>
      <c r="BF359" s="10"/>
      <c r="BG359" s="10"/>
      <c r="BH359" s="10"/>
      <c r="BI359" s="10"/>
      <c r="BJ359" s="10"/>
      <c r="BK359" s="10"/>
      <c r="BL359" s="10"/>
      <c r="BM359" s="10"/>
      <c r="BN359" s="10"/>
      <c r="BO359" s="10"/>
      <c r="BP359" s="10"/>
      <c r="BQ359" s="10"/>
      <c r="BR359" s="10"/>
      <c r="BS359" s="10"/>
      <c r="BT359" s="10"/>
      <c r="BU359" s="10"/>
      <c r="BV359" s="10"/>
      <c r="BW359" s="10"/>
      <c r="BX359" s="10"/>
      <c r="BY359" s="10"/>
      <c r="BZ359" s="10"/>
      <c r="CA359" s="10"/>
      <c r="CB359" s="10"/>
      <c r="CC359" s="10"/>
      <c r="CD359" s="10"/>
      <c r="CE359" s="10"/>
      <c r="CF359" s="10"/>
      <c r="CG359" s="10"/>
      <c r="CH359" s="10"/>
      <c r="CI359" s="10"/>
      <c r="CJ359" s="10"/>
      <c r="CK359" s="10"/>
      <c r="CL359" s="10"/>
      <c r="CM359" s="10"/>
      <c r="CN359" s="10"/>
      <c r="CO359" s="10"/>
      <c r="CP359" s="10"/>
      <c r="CQ359" s="10"/>
      <c r="CR359" s="10"/>
      <c r="CS359" s="10"/>
      <c r="CT359" s="10"/>
      <c r="CU359" s="10"/>
      <c r="CV359" s="10"/>
      <c r="CW359" s="10"/>
      <c r="CX359" s="10"/>
      <c r="CY359" s="10"/>
      <c r="CZ359" s="10"/>
      <c r="DA359" s="10"/>
      <c r="DB359" s="10"/>
      <c r="DC359" s="10"/>
      <c r="DD359" s="10"/>
      <c r="DE359" s="10"/>
      <c r="DF359" s="10"/>
      <c r="DG359" s="10"/>
      <c r="DH359" s="10"/>
      <c r="DI359" s="10"/>
      <c r="DJ359" s="10"/>
      <c r="DK359" s="10"/>
      <c r="DL359" s="10"/>
      <c r="DM359" s="10"/>
      <c r="DN359" s="10"/>
      <c r="DO359" s="10"/>
      <c r="DP359" s="10"/>
      <c r="DQ359" s="10"/>
      <c r="DR359" s="10"/>
    </row>
    <row r="360" spans="1:122" x14ac:dyDescent="0.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0"/>
      <c r="BC360" s="10"/>
      <c r="BD360" s="10"/>
      <c r="BE360" s="10"/>
      <c r="BF360" s="10"/>
      <c r="BG360" s="10"/>
      <c r="BH360" s="10"/>
      <c r="BI360" s="10"/>
      <c r="BJ360" s="10"/>
      <c r="BK360" s="10"/>
      <c r="BL360" s="10"/>
      <c r="BM360" s="10"/>
      <c r="BN360" s="10"/>
      <c r="BO360" s="10"/>
      <c r="BP360" s="10"/>
      <c r="BQ360" s="10"/>
      <c r="BR360" s="10"/>
      <c r="BS360" s="10"/>
      <c r="BT360" s="10"/>
      <c r="BU360" s="10"/>
      <c r="BV360" s="10"/>
      <c r="BW360" s="10"/>
      <c r="BX360" s="10"/>
      <c r="BY360" s="10"/>
      <c r="BZ360" s="10"/>
      <c r="CA360" s="10"/>
      <c r="CB360" s="10"/>
      <c r="CC360" s="10"/>
      <c r="CD360" s="10"/>
      <c r="CE360" s="10"/>
      <c r="CF360" s="10"/>
      <c r="CG360" s="10"/>
      <c r="CH360" s="10"/>
      <c r="CI360" s="10"/>
      <c r="CJ360" s="10"/>
      <c r="CK360" s="10"/>
      <c r="CL360" s="10"/>
      <c r="CM360" s="10"/>
      <c r="CN360" s="10"/>
      <c r="CO360" s="10"/>
      <c r="CP360" s="10"/>
      <c r="CQ360" s="10"/>
      <c r="CR360" s="10"/>
      <c r="CS360" s="10"/>
      <c r="CT360" s="10"/>
      <c r="CU360" s="10"/>
      <c r="CV360" s="10"/>
      <c r="CW360" s="10"/>
      <c r="CX360" s="10"/>
      <c r="CY360" s="10"/>
      <c r="CZ360" s="10"/>
      <c r="DA360" s="10"/>
      <c r="DB360" s="10"/>
      <c r="DC360" s="10"/>
      <c r="DD360" s="10"/>
      <c r="DE360" s="10"/>
      <c r="DF360" s="10"/>
      <c r="DG360" s="10"/>
      <c r="DH360" s="10"/>
      <c r="DI360" s="10"/>
      <c r="DJ360" s="10"/>
      <c r="DK360" s="10"/>
      <c r="DL360" s="10"/>
      <c r="DM360" s="10"/>
      <c r="DN360" s="10"/>
      <c r="DO360" s="10"/>
      <c r="DP360" s="10"/>
      <c r="DQ360" s="10"/>
      <c r="DR360" s="10"/>
    </row>
    <row r="361" spans="1:122" x14ac:dyDescent="0.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0"/>
      <c r="BC361" s="10"/>
      <c r="BD361" s="10"/>
      <c r="BE361" s="10"/>
      <c r="BF361" s="10"/>
      <c r="BG361" s="10"/>
      <c r="BH361" s="10"/>
      <c r="BI361" s="10"/>
      <c r="BJ361" s="10"/>
      <c r="BK361" s="10"/>
      <c r="BL361" s="10"/>
      <c r="BM361" s="10"/>
      <c r="BN361" s="10"/>
      <c r="BO361" s="10"/>
      <c r="BP361" s="10"/>
      <c r="BQ361" s="10"/>
      <c r="BR361" s="10"/>
      <c r="BS361" s="10"/>
      <c r="BT361" s="10"/>
      <c r="BU361" s="10"/>
      <c r="BV361" s="10"/>
      <c r="BW361" s="10"/>
      <c r="BX361" s="10"/>
      <c r="BY361" s="10"/>
      <c r="BZ361" s="10"/>
      <c r="CA361" s="10"/>
      <c r="CB361" s="10"/>
      <c r="CC361" s="10"/>
      <c r="CD361" s="10"/>
      <c r="CE361" s="10"/>
      <c r="CF361" s="10"/>
      <c r="CG361" s="10"/>
      <c r="CH361" s="10"/>
      <c r="CI361" s="10"/>
      <c r="CJ361" s="10"/>
      <c r="CK361" s="10"/>
      <c r="CL361" s="10"/>
      <c r="CM361" s="10"/>
      <c r="CN361" s="10"/>
      <c r="CO361" s="10"/>
      <c r="CP361" s="10"/>
      <c r="CQ361" s="10"/>
      <c r="CR361" s="10"/>
      <c r="CS361" s="10"/>
      <c r="CT361" s="10"/>
      <c r="CU361" s="10"/>
      <c r="CV361" s="10"/>
      <c r="CW361" s="10"/>
      <c r="CX361" s="10"/>
      <c r="CY361" s="10"/>
      <c r="CZ361" s="10"/>
      <c r="DA361" s="10"/>
      <c r="DB361" s="10"/>
      <c r="DC361" s="10"/>
      <c r="DD361" s="10"/>
      <c r="DE361" s="10"/>
      <c r="DF361" s="10"/>
      <c r="DG361" s="10"/>
      <c r="DH361" s="10"/>
      <c r="DI361" s="10"/>
      <c r="DJ361" s="10"/>
      <c r="DK361" s="10"/>
      <c r="DL361" s="10"/>
      <c r="DM361" s="10"/>
      <c r="DN361" s="10"/>
      <c r="DO361" s="10"/>
      <c r="DP361" s="10"/>
      <c r="DQ361" s="10"/>
      <c r="DR361" s="10"/>
    </row>
    <row r="362" spans="1:122" x14ac:dyDescent="0.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0"/>
      <c r="BC362" s="10"/>
      <c r="BD362" s="10"/>
      <c r="BE362" s="10"/>
      <c r="BF362" s="10"/>
      <c r="BG362" s="10"/>
      <c r="BH362" s="10"/>
      <c r="BI362" s="10"/>
      <c r="BJ362" s="10"/>
      <c r="BK362" s="10"/>
      <c r="BL362" s="10"/>
      <c r="BM362" s="10"/>
      <c r="BN362" s="10"/>
      <c r="BO362" s="10"/>
      <c r="BP362" s="10"/>
      <c r="BQ362" s="10"/>
      <c r="BR362" s="10"/>
      <c r="BS362" s="10"/>
      <c r="BT362" s="10"/>
      <c r="BU362" s="10"/>
      <c r="BV362" s="10"/>
      <c r="BW362" s="10"/>
      <c r="BX362" s="10"/>
      <c r="BY362" s="10"/>
      <c r="BZ362" s="10"/>
      <c r="CA362" s="10"/>
      <c r="CB362" s="10"/>
      <c r="CC362" s="10"/>
      <c r="CD362" s="10"/>
      <c r="CE362" s="10"/>
      <c r="CF362" s="10"/>
      <c r="CG362" s="10"/>
      <c r="CH362" s="10"/>
      <c r="CI362" s="10"/>
      <c r="CJ362" s="10"/>
      <c r="CK362" s="10"/>
      <c r="CL362" s="10"/>
      <c r="CM362" s="10"/>
      <c r="CN362" s="10"/>
      <c r="CO362" s="10"/>
      <c r="CP362" s="10"/>
      <c r="CQ362" s="10"/>
      <c r="CR362" s="10"/>
      <c r="CS362" s="10"/>
      <c r="CT362" s="10"/>
      <c r="CU362" s="10"/>
      <c r="CV362" s="10"/>
      <c r="CW362" s="10"/>
      <c r="CX362" s="10"/>
      <c r="CY362" s="10"/>
      <c r="CZ362" s="10"/>
      <c r="DA362" s="10"/>
      <c r="DB362" s="10"/>
      <c r="DC362" s="10"/>
      <c r="DD362" s="10"/>
      <c r="DE362" s="10"/>
      <c r="DF362" s="10"/>
      <c r="DG362" s="10"/>
      <c r="DH362" s="10"/>
      <c r="DI362" s="10"/>
      <c r="DJ362" s="10"/>
      <c r="DK362" s="10"/>
      <c r="DL362" s="10"/>
      <c r="DM362" s="10"/>
      <c r="DN362" s="10"/>
      <c r="DO362" s="10"/>
      <c r="DP362" s="10"/>
      <c r="DQ362" s="10"/>
      <c r="DR362" s="10"/>
    </row>
    <row r="363" spans="1:122" x14ac:dyDescent="0.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0"/>
      <c r="BC363" s="10"/>
      <c r="BD363" s="10"/>
      <c r="BE363" s="10"/>
      <c r="BF363" s="10"/>
      <c r="BG363" s="10"/>
      <c r="BH363" s="10"/>
      <c r="BI363" s="10"/>
      <c r="BJ363" s="10"/>
      <c r="BK363" s="10"/>
      <c r="BL363" s="10"/>
      <c r="BM363" s="10"/>
      <c r="BN363" s="10"/>
      <c r="BO363" s="10"/>
      <c r="BP363" s="10"/>
      <c r="BQ363" s="10"/>
      <c r="BR363" s="10"/>
      <c r="BS363" s="10"/>
      <c r="BT363" s="10"/>
      <c r="BU363" s="10"/>
      <c r="BV363" s="10"/>
      <c r="BW363" s="10"/>
      <c r="BX363" s="10"/>
      <c r="BY363" s="10"/>
      <c r="BZ363" s="10"/>
      <c r="CA363" s="10"/>
      <c r="CB363" s="10"/>
      <c r="CC363" s="10"/>
      <c r="CD363" s="10"/>
      <c r="CE363" s="10"/>
      <c r="CF363" s="10"/>
      <c r="CG363" s="10"/>
      <c r="CH363" s="10"/>
      <c r="CI363" s="10"/>
      <c r="CJ363" s="10"/>
      <c r="CK363" s="10"/>
      <c r="CL363" s="10"/>
      <c r="CM363" s="10"/>
      <c r="CN363" s="10"/>
      <c r="CO363" s="10"/>
      <c r="CP363" s="10"/>
      <c r="CQ363" s="10"/>
      <c r="CR363" s="10"/>
      <c r="CS363" s="10"/>
      <c r="CT363" s="10"/>
      <c r="CU363" s="10"/>
      <c r="CV363" s="10"/>
      <c r="CW363" s="10"/>
      <c r="CX363" s="10"/>
      <c r="CY363" s="10"/>
      <c r="CZ363" s="10"/>
      <c r="DA363" s="10"/>
      <c r="DB363" s="10"/>
      <c r="DC363" s="10"/>
      <c r="DD363" s="10"/>
      <c r="DE363" s="10"/>
      <c r="DF363" s="10"/>
      <c r="DG363" s="10"/>
      <c r="DH363" s="10"/>
      <c r="DI363" s="10"/>
      <c r="DJ363" s="10"/>
      <c r="DK363" s="10"/>
      <c r="DL363" s="10"/>
      <c r="DM363" s="10"/>
      <c r="DN363" s="10"/>
      <c r="DO363" s="10"/>
      <c r="DP363" s="10"/>
      <c r="DQ363" s="10"/>
      <c r="DR363" s="10"/>
    </row>
    <row r="364" spans="1:122" x14ac:dyDescent="0.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0"/>
      <c r="BC364" s="10"/>
      <c r="BD364" s="10"/>
      <c r="BE364" s="10"/>
      <c r="BF364" s="10"/>
      <c r="BG364" s="10"/>
      <c r="BH364" s="10"/>
      <c r="BI364" s="10"/>
      <c r="BJ364" s="10"/>
      <c r="BK364" s="10"/>
      <c r="BL364" s="10"/>
      <c r="BM364" s="10"/>
      <c r="BN364" s="10"/>
      <c r="BO364" s="10"/>
      <c r="BP364" s="10"/>
      <c r="BQ364" s="10"/>
      <c r="BR364" s="10"/>
      <c r="BS364" s="10"/>
      <c r="BT364" s="10"/>
      <c r="BU364" s="10"/>
      <c r="BV364" s="10"/>
      <c r="BW364" s="10"/>
      <c r="BX364" s="10"/>
      <c r="BY364" s="10"/>
      <c r="BZ364" s="10"/>
      <c r="CA364" s="10"/>
      <c r="CB364" s="10"/>
      <c r="CC364" s="10"/>
      <c r="CD364" s="10"/>
      <c r="CE364" s="10"/>
      <c r="CF364" s="10"/>
      <c r="CG364" s="10"/>
      <c r="CH364" s="10"/>
      <c r="CI364" s="10"/>
      <c r="CJ364" s="10"/>
      <c r="CK364" s="10"/>
      <c r="CL364" s="10"/>
      <c r="CM364" s="10"/>
      <c r="CN364" s="10"/>
      <c r="CO364" s="10"/>
      <c r="CP364" s="10"/>
      <c r="CQ364" s="10"/>
      <c r="CR364" s="10"/>
      <c r="CS364" s="10"/>
      <c r="CT364" s="10"/>
      <c r="CU364" s="10"/>
      <c r="CV364" s="10"/>
      <c r="CW364" s="10"/>
      <c r="CX364" s="10"/>
      <c r="CY364" s="10"/>
      <c r="CZ364" s="10"/>
      <c r="DA364" s="10"/>
      <c r="DB364" s="10"/>
      <c r="DC364" s="10"/>
      <c r="DD364" s="10"/>
      <c r="DE364" s="10"/>
      <c r="DF364" s="10"/>
      <c r="DG364" s="10"/>
      <c r="DH364" s="10"/>
      <c r="DI364" s="10"/>
      <c r="DJ364" s="10"/>
      <c r="DK364" s="10"/>
      <c r="DL364" s="10"/>
      <c r="DM364" s="10"/>
      <c r="DN364" s="10"/>
      <c r="DO364" s="10"/>
      <c r="DP364" s="10"/>
      <c r="DQ364" s="10"/>
      <c r="DR364" s="10"/>
    </row>
    <row r="365" spans="1:122" x14ac:dyDescent="0.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0"/>
      <c r="BC365" s="10"/>
      <c r="BD365" s="10"/>
      <c r="BE365" s="10"/>
      <c r="BF365" s="10"/>
      <c r="BG365" s="10"/>
      <c r="BH365" s="10"/>
      <c r="BI365" s="10"/>
      <c r="BJ365" s="10"/>
      <c r="BK365" s="10"/>
      <c r="BL365" s="10"/>
      <c r="BM365" s="10"/>
      <c r="BN365" s="10"/>
      <c r="BO365" s="10"/>
      <c r="BP365" s="10"/>
      <c r="BQ365" s="10"/>
      <c r="BR365" s="10"/>
      <c r="BS365" s="10"/>
      <c r="BT365" s="10"/>
      <c r="BU365" s="10"/>
      <c r="BV365" s="10"/>
      <c r="BW365" s="10"/>
      <c r="BX365" s="10"/>
      <c r="BY365" s="10"/>
      <c r="BZ365" s="10"/>
      <c r="CA365" s="10"/>
      <c r="CB365" s="10"/>
      <c r="CC365" s="10"/>
      <c r="CD365" s="10"/>
      <c r="CE365" s="10"/>
      <c r="CF365" s="10"/>
      <c r="CG365" s="10"/>
      <c r="CH365" s="10"/>
      <c r="CI365" s="10"/>
      <c r="CJ365" s="10"/>
      <c r="CK365" s="10"/>
      <c r="CL365" s="10"/>
      <c r="CM365" s="10"/>
      <c r="CN365" s="10"/>
      <c r="CO365" s="10"/>
      <c r="CP365" s="10"/>
      <c r="CQ365" s="10"/>
      <c r="CR365" s="10"/>
      <c r="CS365" s="10"/>
      <c r="CT365" s="10"/>
      <c r="CU365" s="10"/>
      <c r="CV365" s="10"/>
      <c r="CW365" s="10"/>
      <c r="CX365" s="10"/>
      <c r="CY365" s="10"/>
      <c r="CZ365" s="10"/>
      <c r="DA365" s="10"/>
      <c r="DB365" s="10"/>
      <c r="DC365" s="10"/>
      <c r="DD365" s="10"/>
      <c r="DE365" s="10"/>
      <c r="DF365" s="10"/>
      <c r="DG365" s="10"/>
      <c r="DH365" s="10"/>
      <c r="DI365" s="10"/>
      <c r="DJ365" s="10"/>
      <c r="DK365" s="10"/>
      <c r="DL365" s="10"/>
      <c r="DM365" s="10"/>
      <c r="DN365" s="10"/>
      <c r="DO365" s="10"/>
      <c r="DP365" s="10"/>
      <c r="DQ365" s="10"/>
      <c r="DR365" s="10"/>
    </row>
    <row r="366" spans="1:122" x14ac:dyDescent="0.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0"/>
      <c r="BC366" s="10"/>
      <c r="BD366" s="10"/>
      <c r="BE366" s="10"/>
      <c r="BF366" s="10"/>
      <c r="BG366" s="10"/>
      <c r="BH366" s="10"/>
      <c r="BI366" s="10"/>
      <c r="BJ366" s="10"/>
      <c r="BK366" s="10"/>
      <c r="BL366" s="10"/>
      <c r="BM366" s="10"/>
      <c r="BN366" s="10"/>
      <c r="BO366" s="10"/>
      <c r="BP366" s="10"/>
      <c r="BQ366" s="10"/>
      <c r="BR366" s="10"/>
      <c r="BS366" s="10"/>
      <c r="BT366" s="10"/>
      <c r="BU366" s="10"/>
      <c r="BV366" s="10"/>
      <c r="BW366" s="10"/>
      <c r="BX366" s="10"/>
      <c r="BY366" s="10"/>
      <c r="BZ366" s="10"/>
      <c r="CA366" s="10"/>
      <c r="CB366" s="10"/>
      <c r="CC366" s="10"/>
      <c r="CD366" s="10"/>
      <c r="CE366" s="10"/>
      <c r="CF366" s="10"/>
      <c r="CG366" s="10"/>
      <c r="CH366" s="10"/>
      <c r="CI366" s="10"/>
      <c r="CJ366" s="10"/>
      <c r="CK366" s="10"/>
      <c r="CL366" s="10"/>
      <c r="CM366" s="10"/>
      <c r="CN366" s="10"/>
      <c r="CO366" s="10"/>
      <c r="CP366" s="10"/>
      <c r="CQ366" s="10"/>
      <c r="CR366" s="10"/>
      <c r="CS366" s="10"/>
      <c r="CT366" s="10"/>
      <c r="CU366" s="10"/>
      <c r="CV366" s="10"/>
      <c r="CW366" s="10"/>
      <c r="CX366" s="10"/>
      <c r="CY366" s="10"/>
      <c r="CZ366" s="10"/>
      <c r="DA366" s="10"/>
      <c r="DB366" s="10"/>
      <c r="DC366" s="10"/>
      <c r="DD366" s="10"/>
      <c r="DE366" s="10"/>
      <c r="DF366" s="10"/>
      <c r="DG366" s="10"/>
      <c r="DH366" s="10"/>
      <c r="DI366" s="10"/>
      <c r="DJ366" s="10"/>
      <c r="DK366" s="10"/>
      <c r="DL366" s="10"/>
      <c r="DM366" s="10"/>
      <c r="DN366" s="10"/>
      <c r="DO366" s="10"/>
      <c r="DP366" s="10"/>
      <c r="DQ366" s="10"/>
      <c r="DR366" s="10"/>
    </row>
    <row r="367" spans="1:122" x14ac:dyDescent="0.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0"/>
      <c r="BC367" s="10"/>
      <c r="BD367" s="10"/>
      <c r="BE367" s="10"/>
      <c r="BF367" s="10"/>
      <c r="BG367" s="10"/>
      <c r="BH367" s="10"/>
      <c r="BI367" s="10"/>
      <c r="BJ367" s="10"/>
      <c r="BK367" s="10"/>
      <c r="BL367" s="10"/>
      <c r="BM367" s="10"/>
      <c r="BN367" s="10"/>
      <c r="BO367" s="10"/>
      <c r="BP367" s="10"/>
      <c r="BQ367" s="10"/>
      <c r="BR367" s="10"/>
      <c r="BS367" s="10"/>
      <c r="BT367" s="10"/>
      <c r="BU367" s="10"/>
      <c r="BV367" s="10"/>
      <c r="BW367" s="10"/>
      <c r="BX367" s="10"/>
      <c r="BY367" s="10"/>
      <c r="BZ367" s="10"/>
      <c r="CA367" s="10"/>
      <c r="CB367" s="10"/>
      <c r="CC367" s="10"/>
      <c r="CD367" s="10"/>
      <c r="CE367" s="10"/>
      <c r="CF367" s="10"/>
      <c r="CG367" s="10"/>
      <c r="CH367" s="10"/>
      <c r="CI367" s="10"/>
      <c r="CJ367" s="10"/>
      <c r="CK367" s="10"/>
      <c r="CL367" s="10"/>
      <c r="CM367" s="10"/>
      <c r="CN367" s="10"/>
      <c r="CO367" s="10"/>
      <c r="CP367" s="10"/>
      <c r="CQ367" s="10"/>
      <c r="CR367" s="10"/>
      <c r="CS367" s="10"/>
      <c r="CT367" s="10"/>
      <c r="CU367" s="10"/>
      <c r="CV367" s="10"/>
      <c r="CW367" s="10"/>
      <c r="CX367" s="10"/>
      <c r="CY367" s="10"/>
      <c r="CZ367" s="10"/>
      <c r="DA367" s="10"/>
      <c r="DB367" s="10"/>
      <c r="DC367" s="10"/>
      <c r="DD367" s="10"/>
      <c r="DE367" s="10"/>
      <c r="DF367" s="10"/>
      <c r="DG367" s="10"/>
      <c r="DH367" s="10"/>
      <c r="DI367" s="10"/>
      <c r="DJ367" s="10"/>
      <c r="DK367" s="10"/>
      <c r="DL367" s="10"/>
      <c r="DM367" s="10"/>
      <c r="DN367" s="10"/>
      <c r="DO367" s="10"/>
      <c r="DP367" s="10"/>
      <c r="DQ367" s="10"/>
      <c r="DR367" s="10"/>
    </row>
    <row r="368" spans="1:122" x14ac:dyDescent="0.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0"/>
      <c r="BC368" s="10"/>
      <c r="BD368" s="10"/>
      <c r="BE368" s="10"/>
      <c r="BF368" s="10"/>
      <c r="BG368" s="10"/>
      <c r="BH368" s="10"/>
      <c r="BI368" s="10"/>
      <c r="BJ368" s="10"/>
      <c r="BK368" s="10"/>
      <c r="BL368" s="10"/>
      <c r="BM368" s="10"/>
      <c r="BN368" s="10"/>
      <c r="BO368" s="10"/>
      <c r="BP368" s="10"/>
      <c r="BQ368" s="10"/>
      <c r="BR368" s="10"/>
      <c r="BS368" s="10"/>
      <c r="BT368" s="10"/>
      <c r="BU368" s="10"/>
      <c r="BV368" s="10"/>
      <c r="BW368" s="10"/>
      <c r="BX368" s="10"/>
      <c r="BY368" s="10"/>
      <c r="BZ368" s="10"/>
      <c r="CA368" s="10"/>
      <c r="CB368" s="10"/>
      <c r="CC368" s="10"/>
      <c r="CD368" s="10"/>
      <c r="CE368" s="10"/>
      <c r="CF368" s="10"/>
      <c r="CG368" s="10"/>
      <c r="CH368" s="10"/>
      <c r="CI368" s="10"/>
      <c r="CJ368" s="10"/>
      <c r="CK368" s="10"/>
      <c r="CL368" s="10"/>
      <c r="CM368" s="10"/>
      <c r="CN368" s="10"/>
      <c r="CO368" s="10"/>
      <c r="CP368" s="10"/>
      <c r="CQ368" s="10"/>
      <c r="CR368" s="10"/>
      <c r="CS368" s="10"/>
      <c r="CT368" s="10"/>
      <c r="CU368" s="10"/>
      <c r="CV368" s="10"/>
      <c r="CW368" s="10"/>
      <c r="CX368" s="10"/>
      <c r="CY368" s="10"/>
      <c r="CZ368" s="10"/>
      <c r="DA368" s="10"/>
      <c r="DB368" s="10"/>
      <c r="DC368" s="10"/>
      <c r="DD368" s="10"/>
      <c r="DE368" s="10"/>
      <c r="DF368" s="10"/>
      <c r="DG368" s="10"/>
      <c r="DH368" s="10"/>
      <c r="DI368" s="10"/>
      <c r="DJ368" s="10"/>
      <c r="DK368" s="10"/>
      <c r="DL368" s="10"/>
      <c r="DM368" s="10"/>
      <c r="DN368" s="10"/>
      <c r="DO368" s="10"/>
      <c r="DP368" s="10"/>
      <c r="DQ368" s="10"/>
      <c r="DR368" s="10"/>
    </row>
    <row r="369" spans="1:122" x14ac:dyDescent="0.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0"/>
      <c r="BC369" s="10"/>
      <c r="BD369" s="10"/>
      <c r="BE369" s="10"/>
      <c r="BF369" s="10"/>
      <c r="BG369" s="10"/>
      <c r="BH369" s="10"/>
      <c r="BI369" s="10"/>
      <c r="BJ369" s="10"/>
      <c r="BK369" s="10"/>
      <c r="BL369" s="10"/>
      <c r="BM369" s="10"/>
      <c r="BN369" s="10"/>
      <c r="BO369" s="10"/>
      <c r="BP369" s="10"/>
      <c r="BQ369" s="10"/>
      <c r="BR369" s="10"/>
      <c r="BS369" s="10"/>
      <c r="BT369" s="10"/>
      <c r="BU369" s="10"/>
      <c r="BV369" s="10"/>
      <c r="BW369" s="10"/>
      <c r="BX369" s="10"/>
      <c r="BY369" s="10"/>
      <c r="BZ369" s="10"/>
      <c r="CA369" s="10"/>
      <c r="CB369" s="10"/>
      <c r="CC369" s="10"/>
      <c r="CD369" s="10"/>
      <c r="CE369" s="10"/>
      <c r="CF369" s="10"/>
      <c r="CG369" s="10"/>
      <c r="CH369" s="10"/>
      <c r="CI369" s="10"/>
      <c r="CJ369" s="10"/>
      <c r="CK369" s="10"/>
      <c r="CL369" s="10"/>
      <c r="CM369" s="10"/>
      <c r="CN369" s="10"/>
      <c r="CO369" s="10"/>
      <c r="CP369" s="10"/>
      <c r="CQ369" s="10"/>
      <c r="CR369" s="10"/>
      <c r="CS369" s="10"/>
      <c r="CT369" s="10"/>
      <c r="CU369" s="10"/>
      <c r="CV369" s="10"/>
      <c r="CW369" s="10"/>
      <c r="CX369" s="10"/>
      <c r="CY369" s="10"/>
      <c r="CZ369" s="10"/>
      <c r="DA369" s="10"/>
      <c r="DB369" s="10"/>
      <c r="DC369" s="10"/>
      <c r="DD369" s="10"/>
      <c r="DE369" s="10"/>
      <c r="DF369" s="10"/>
      <c r="DG369" s="10"/>
      <c r="DH369" s="10"/>
      <c r="DI369" s="10"/>
      <c r="DJ369" s="10"/>
      <c r="DK369" s="10"/>
      <c r="DL369" s="10"/>
      <c r="DM369" s="10"/>
      <c r="DN369" s="10"/>
      <c r="DO369" s="10"/>
      <c r="DP369" s="10"/>
      <c r="DQ369" s="10"/>
      <c r="DR369" s="10"/>
    </row>
    <row r="370" spans="1:122" x14ac:dyDescent="0.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0"/>
      <c r="BC370" s="10"/>
      <c r="BD370" s="10"/>
      <c r="BE370" s="10"/>
      <c r="BF370" s="10"/>
      <c r="BG370" s="10"/>
      <c r="BH370" s="10"/>
      <c r="BI370" s="10"/>
      <c r="BJ370" s="10"/>
      <c r="BK370" s="10"/>
      <c r="BL370" s="10"/>
      <c r="BM370" s="10"/>
      <c r="BN370" s="10"/>
      <c r="BO370" s="10"/>
      <c r="BP370" s="10"/>
      <c r="BQ370" s="10"/>
      <c r="BR370" s="10"/>
      <c r="BS370" s="10"/>
      <c r="BT370" s="10"/>
      <c r="BU370" s="10"/>
      <c r="BV370" s="10"/>
      <c r="BW370" s="10"/>
      <c r="BX370" s="10"/>
      <c r="BY370" s="10"/>
      <c r="BZ370" s="10"/>
      <c r="CA370" s="10"/>
      <c r="CB370" s="10"/>
      <c r="CC370" s="10"/>
      <c r="CD370" s="10"/>
      <c r="CE370" s="10"/>
      <c r="CF370" s="10"/>
      <c r="CG370" s="10"/>
      <c r="CH370" s="10"/>
      <c r="CI370" s="10"/>
      <c r="CJ370" s="10"/>
      <c r="CK370" s="10"/>
      <c r="CL370" s="10"/>
      <c r="CM370" s="10"/>
      <c r="CN370" s="10"/>
      <c r="CO370" s="10"/>
      <c r="CP370" s="10"/>
      <c r="CQ370" s="10"/>
      <c r="CR370" s="10"/>
      <c r="CS370" s="10"/>
      <c r="CT370" s="10"/>
      <c r="CU370" s="10"/>
      <c r="CV370" s="10"/>
      <c r="CW370" s="10"/>
      <c r="CX370" s="10"/>
      <c r="CY370" s="10"/>
      <c r="CZ370" s="10"/>
      <c r="DA370" s="10"/>
      <c r="DB370" s="10"/>
      <c r="DC370" s="10"/>
      <c r="DD370" s="10"/>
      <c r="DE370" s="10"/>
      <c r="DF370" s="10"/>
      <c r="DG370" s="10"/>
      <c r="DH370" s="10"/>
      <c r="DI370" s="10"/>
      <c r="DJ370" s="10"/>
      <c r="DK370" s="10"/>
      <c r="DL370" s="10"/>
      <c r="DM370" s="10"/>
      <c r="DN370" s="10"/>
      <c r="DO370" s="10"/>
      <c r="DP370" s="10"/>
      <c r="DQ370" s="10"/>
      <c r="DR370" s="10"/>
    </row>
    <row r="371" spans="1:122" x14ac:dyDescent="0.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0"/>
      <c r="BC371" s="10"/>
      <c r="BD371" s="10"/>
      <c r="BE371" s="10"/>
      <c r="BF371" s="10"/>
      <c r="BG371" s="10"/>
      <c r="BH371" s="10"/>
      <c r="BI371" s="10"/>
      <c r="BJ371" s="10"/>
      <c r="BK371" s="10"/>
      <c r="BL371" s="10"/>
      <c r="BM371" s="10"/>
      <c r="BN371" s="10"/>
      <c r="BO371" s="10"/>
      <c r="BP371" s="10"/>
      <c r="BQ371" s="10"/>
      <c r="BR371" s="10"/>
      <c r="BS371" s="10"/>
      <c r="BT371" s="10"/>
      <c r="BU371" s="10"/>
      <c r="BV371" s="10"/>
      <c r="BW371" s="10"/>
      <c r="BX371" s="10"/>
      <c r="BY371" s="10"/>
      <c r="BZ371" s="10"/>
      <c r="CA371" s="10"/>
      <c r="CB371" s="10"/>
      <c r="CC371" s="10"/>
      <c r="CD371" s="10"/>
      <c r="CE371" s="10"/>
      <c r="CF371" s="10"/>
      <c r="CG371" s="10"/>
      <c r="CH371" s="10"/>
      <c r="CI371" s="10"/>
      <c r="CJ371" s="10"/>
      <c r="CK371" s="10"/>
      <c r="CL371" s="10"/>
      <c r="CM371" s="10"/>
      <c r="CN371" s="10"/>
      <c r="CO371" s="10"/>
      <c r="CP371" s="10"/>
      <c r="CQ371" s="10"/>
      <c r="CR371" s="10"/>
      <c r="CS371" s="10"/>
      <c r="CT371" s="10"/>
      <c r="CU371" s="10"/>
      <c r="CV371" s="10"/>
      <c r="CW371" s="10"/>
      <c r="CX371" s="10"/>
      <c r="CY371" s="10"/>
      <c r="CZ371" s="10"/>
      <c r="DA371" s="10"/>
      <c r="DB371" s="10"/>
      <c r="DC371" s="10"/>
      <c r="DD371" s="10"/>
      <c r="DE371" s="10"/>
      <c r="DF371" s="10"/>
      <c r="DG371" s="10"/>
      <c r="DH371" s="10"/>
      <c r="DI371" s="10"/>
      <c r="DJ371" s="10"/>
      <c r="DK371" s="10"/>
      <c r="DL371" s="10"/>
      <c r="DM371" s="10"/>
      <c r="DN371" s="10"/>
      <c r="DO371" s="10"/>
      <c r="DP371" s="10"/>
      <c r="DQ371" s="10"/>
      <c r="DR371" s="10"/>
    </row>
    <row r="372" spans="1:122" x14ac:dyDescent="0.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0"/>
      <c r="BC372" s="10"/>
      <c r="BD372" s="10"/>
      <c r="BE372" s="10"/>
      <c r="BF372" s="10"/>
      <c r="BG372" s="10"/>
      <c r="BH372" s="10"/>
      <c r="BI372" s="10"/>
      <c r="BJ372" s="10"/>
      <c r="BK372" s="10"/>
      <c r="BL372" s="10"/>
      <c r="BM372" s="10"/>
      <c r="BN372" s="10"/>
      <c r="BO372" s="10"/>
      <c r="BP372" s="10"/>
      <c r="BQ372" s="10"/>
      <c r="BR372" s="10"/>
      <c r="BS372" s="10"/>
      <c r="BT372" s="10"/>
      <c r="BU372" s="10"/>
      <c r="BV372" s="10"/>
      <c r="BW372" s="10"/>
      <c r="BX372" s="10"/>
      <c r="BY372" s="10"/>
      <c r="BZ372" s="10"/>
      <c r="CA372" s="10"/>
      <c r="CB372" s="10"/>
      <c r="CC372" s="10"/>
      <c r="CD372" s="10"/>
      <c r="CE372" s="10"/>
      <c r="CF372" s="10"/>
      <c r="CG372" s="10"/>
      <c r="CH372" s="10"/>
      <c r="CI372" s="10"/>
      <c r="CJ372" s="10"/>
      <c r="CK372" s="10"/>
      <c r="CL372" s="10"/>
      <c r="CM372" s="10"/>
      <c r="CN372" s="10"/>
      <c r="CO372" s="10"/>
      <c r="CP372" s="10"/>
      <c r="CQ372" s="10"/>
      <c r="CR372" s="10"/>
      <c r="CS372" s="10"/>
      <c r="CT372" s="10"/>
      <c r="CU372" s="10"/>
      <c r="CV372" s="10"/>
      <c r="CW372" s="10"/>
      <c r="CX372" s="10"/>
      <c r="CY372" s="10"/>
      <c r="CZ372" s="10"/>
      <c r="DA372" s="10"/>
      <c r="DB372" s="10"/>
      <c r="DC372" s="10"/>
      <c r="DD372" s="10"/>
      <c r="DE372" s="10"/>
      <c r="DF372" s="10"/>
      <c r="DG372" s="10"/>
      <c r="DH372" s="10"/>
      <c r="DI372" s="10"/>
      <c r="DJ372" s="10"/>
      <c r="DK372" s="10"/>
      <c r="DL372" s="10"/>
      <c r="DM372" s="10"/>
      <c r="DN372" s="10"/>
      <c r="DO372" s="10"/>
      <c r="DP372" s="10"/>
      <c r="DQ372" s="10"/>
      <c r="DR372" s="10"/>
    </row>
    <row r="373" spans="1:122" x14ac:dyDescent="0.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0"/>
      <c r="BC373" s="10"/>
      <c r="BD373" s="10"/>
      <c r="BE373" s="10"/>
      <c r="BF373" s="10"/>
      <c r="BG373" s="10"/>
      <c r="BH373" s="10"/>
      <c r="BI373" s="10"/>
      <c r="BJ373" s="10"/>
      <c r="BK373" s="10"/>
      <c r="BL373" s="10"/>
      <c r="BM373" s="10"/>
      <c r="BN373" s="10"/>
      <c r="BO373" s="10"/>
      <c r="BP373" s="10"/>
      <c r="BQ373" s="10"/>
      <c r="BR373" s="10"/>
      <c r="BS373" s="10"/>
      <c r="BT373" s="10"/>
      <c r="BU373" s="10"/>
      <c r="BV373" s="10"/>
      <c r="BW373" s="10"/>
      <c r="BX373" s="10"/>
      <c r="BY373" s="10"/>
      <c r="BZ373" s="10"/>
      <c r="CA373" s="10"/>
      <c r="CB373" s="10"/>
      <c r="CC373" s="10"/>
      <c r="CD373" s="10"/>
      <c r="CE373" s="10"/>
      <c r="CF373" s="10"/>
      <c r="CG373" s="10"/>
      <c r="CH373" s="10"/>
      <c r="CI373" s="10"/>
      <c r="CJ373" s="10"/>
      <c r="CK373" s="10"/>
      <c r="CL373" s="10"/>
      <c r="CM373" s="10"/>
      <c r="CN373" s="10"/>
      <c r="CO373" s="10"/>
      <c r="CP373" s="10"/>
      <c r="CQ373" s="10"/>
      <c r="CR373" s="10"/>
      <c r="CS373" s="10"/>
      <c r="CT373" s="10"/>
      <c r="CU373" s="10"/>
      <c r="CV373" s="10"/>
      <c r="CW373" s="10"/>
      <c r="CX373" s="10"/>
      <c r="CY373" s="10"/>
      <c r="CZ373" s="10"/>
      <c r="DA373" s="10"/>
      <c r="DB373" s="10"/>
      <c r="DC373" s="10"/>
      <c r="DD373" s="10"/>
      <c r="DE373" s="10"/>
      <c r="DF373" s="10"/>
      <c r="DG373" s="10"/>
      <c r="DH373" s="10"/>
      <c r="DI373" s="10"/>
      <c r="DJ373" s="10"/>
      <c r="DK373" s="10"/>
      <c r="DL373" s="10"/>
      <c r="DM373" s="10"/>
      <c r="DN373" s="10"/>
      <c r="DO373" s="10"/>
      <c r="DP373" s="10"/>
      <c r="DQ373" s="10"/>
      <c r="DR373" s="10"/>
    </row>
    <row r="374" spans="1:122" x14ac:dyDescent="0.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0"/>
      <c r="BC374" s="10"/>
      <c r="BD374" s="10"/>
      <c r="BE374" s="10"/>
      <c r="BF374" s="10"/>
      <c r="BG374" s="10"/>
      <c r="BH374" s="10"/>
      <c r="BI374" s="10"/>
      <c r="BJ374" s="10"/>
      <c r="BK374" s="10"/>
      <c r="BL374" s="10"/>
      <c r="BM374" s="10"/>
      <c r="BN374" s="10"/>
      <c r="BO374" s="10"/>
      <c r="BP374" s="10"/>
      <c r="BQ374" s="10"/>
      <c r="BR374" s="10"/>
      <c r="BS374" s="10"/>
      <c r="BT374" s="10"/>
      <c r="BU374" s="10"/>
      <c r="BV374" s="10"/>
      <c r="BW374" s="10"/>
      <c r="BX374" s="10"/>
      <c r="BY374" s="10"/>
      <c r="BZ374" s="10"/>
      <c r="CA374" s="10"/>
      <c r="CB374" s="10"/>
      <c r="CC374" s="10"/>
      <c r="CD374" s="10"/>
      <c r="CE374" s="10"/>
      <c r="CF374" s="10"/>
      <c r="CG374" s="10"/>
      <c r="CH374" s="10"/>
      <c r="CI374" s="10"/>
      <c r="CJ374" s="10"/>
      <c r="CK374" s="10"/>
      <c r="CL374" s="10"/>
      <c r="CM374" s="10"/>
      <c r="CN374" s="10"/>
      <c r="CO374" s="10"/>
      <c r="CP374" s="10"/>
      <c r="CQ374" s="10"/>
      <c r="CR374" s="10"/>
      <c r="CS374" s="10"/>
      <c r="CT374" s="10"/>
      <c r="CU374" s="10"/>
      <c r="CV374" s="10"/>
      <c r="CW374" s="10"/>
      <c r="CX374" s="10"/>
      <c r="CY374" s="10"/>
      <c r="CZ374" s="10"/>
      <c r="DA374" s="10"/>
      <c r="DB374" s="10"/>
      <c r="DC374" s="10"/>
      <c r="DD374" s="10"/>
      <c r="DE374" s="10"/>
      <c r="DF374" s="10"/>
      <c r="DG374" s="10"/>
      <c r="DH374" s="10"/>
      <c r="DI374" s="10"/>
      <c r="DJ374" s="10"/>
      <c r="DK374" s="10"/>
      <c r="DL374" s="10"/>
      <c r="DM374" s="10"/>
      <c r="DN374" s="10"/>
      <c r="DO374" s="10"/>
      <c r="DP374" s="10"/>
      <c r="DQ374" s="10"/>
      <c r="DR374" s="10"/>
    </row>
    <row r="375" spans="1:122" x14ac:dyDescent="0.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0"/>
      <c r="BC375" s="10"/>
      <c r="BD375" s="10"/>
      <c r="BE375" s="10"/>
      <c r="BF375" s="10"/>
      <c r="BG375" s="10"/>
      <c r="BH375" s="10"/>
      <c r="BI375" s="10"/>
      <c r="BJ375" s="10"/>
      <c r="BK375" s="10"/>
      <c r="BL375" s="10"/>
      <c r="BM375" s="10"/>
      <c r="BN375" s="10"/>
      <c r="BO375" s="10"/>
      <c r="BP375" s="10"/>
      <c r="BQ375" s="10"/>
      <c r="BR375" s="10"/>
      <c r="BS375" s="10"/>
      <c r="BT375" s="10"/>
      <c r="BU375" s="10"/>
      <c r="BV375" s="10"/>
      <c r="BW375" s="10"/>
      <c r="BX375" s="10"/>
      <c r="BY375" s="10"/>
      <c r="BZ375" s="10"/>
      <c r="CA375" s="10"/>
      <c r="CB375" s="10"/>
      <c r="CC375" s="10"/>
      <c r="CD375" s="10"/>
      <c r="CE375" s="10"/>
      <c r="CF375" s="10"/>
      <c r="CG375" s="10"/>
      <c r="CH375" s="10"/>
      <c r="CI375" s="10"/>
      <c r="CJ375" s="10"/>
      <c r="CK375" s="10"/>
      <c r="CL375" s="10"/>
      <c r="CM375" s="10"/>
      <c r="CN375" s="10"/>
      <c r="CO375" s="10"/>
      <c r="CP375" s="10"/>
      <c r="CQ375" s="10"/>
      <c r="CR375" s="10"/>
      <c r="CS375" s="10"/>
      <c r="CT375" s="10"/>
      <c r="CU375" s="10"/>
      <c r="CV375" s="10"/>
      <c r="CW375" s="10"/>
      <c r="CX375" s="10"/>
      <c r="CY375" s="10"/>
      <c r="CZ375" s="10"/>
      <c r="DA375" s="10"/>
      <c r="DB375" s="10"/>
      <c r="DC375" s="10"/>
      <c r="DD375" s="10"/>
      <c r="DE375" s="10"/>
      <c r="DF375" s="10"/>
      <c r="DG375" s="10"/>
      <c r="DH375" s="10"/>
      <c r="DI375" s="10"/>
      <c r="DJ375" s="10"/>
      <c r="DK375" s="10"/>
      <c r="DL375" s="10"/>
      <c r="DM375" s="10"/>
      <c r="DN375" s="10"/>
      <c r="DO375" s="10"/>
      <c r="DP375" s="10"/>
      <c r="DQ375" s="10"/>
      <c r="DR375" s="10"/>
    </row>
    <row r="376" spans="1:122" x14ac:dyDescent="0.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0"/>
      <c r="BC376" s="10"/>
      <c r="BD376" s="10"/>
      <c r="BE376" s="10"/>
      <c r="BF376" s="10"/>
      <c r="BG376" s="10"/>
      <c r="BH376" s="10"/>
      <c r="BI376" s="10"/>
      <c r="BJ376" s="10"/>
      <c r="BK376" s="10"/>
      <c r="BL376" s="10"/>
      <c r="BM376" s="10"/>
      <c r="BN376" s="10"/>
      <c r="BO376" s="10"/>
      <c r="BP376" s="10"/>
      <c r="BQ376" s="10"/>
      <c r="BR376" s="10"/>
      <c r="BS376" s="10"/>
      <c r="BT376" s="10"/>
      <c r="BU376" s="10"/>
      <c r="BV376" s="10"/>
      <c r="BW376" s="10"/>
      <c r="BX376" s="10"/>
      <c r="BY376" s="10"/>
      <c r="BZ376" s="10"/>
      <c r="CA376" s="10"/>
      <c r="CB376" s="10"/>
      <c r="CC376" s="10"/>
      <c r="CD376" s="10"/>
      <c r="CE376" s="10"/>
      <c r="CF376" s="10"/>
      <c r="CG376" s="10"/>
      <c r="CH376" s="10"/>
      <c r="CI376" s="10"/>
      <c r="CJ376" s="10"/>
      <c r="CK376" s="10"/>
      <c r="CL376" s="10"/>
      <c r="CM376" s="10"/>
      <c r="CN376" s="10"/>
      <c r="CO376" s="10"/>
      <c r="CP376" s="10"/>
      <c r="CQ376" s="10"/>
      <c r="CR376" s="10"/>
      <c r="CS376" s="10"/>
      <c r="CT376" s="10"/>
      <c r="CU376" s="10"/>
      <c r="CV376" s="10"/>
      <c r="CW376" s="10"/>
      <c r="CX376" s="10"/>
      <c r="CY376" s="10"/>
      <c r="CZ376" s="10"/>
      <c r="DA376" s="10"/>
      <c r="DB376" s="10"/>
      <c r="DC376" s="10"/>
      <c r="DD376" s="10"/>
      <c r="DE376" s="10"/>
      <c r="DF376" s="10"/>
      <c r="DG376" s="10"/>
      <c r="DH376" s="10"/>
      <c r="DI376" s="10"/>
      <c r="DJ376" s="10"/>
      <c r="DK376" s="10"/>
      <c r="DL376" s="10"/>
      <c r="DM376" s="10"/>
      <c r="DN376" s="10"/>
      <c r="DO376" s="10"/>
      <c r="DP376" s="10"/>
      <c r="DQ376" s="10"/>
      <c r="DR376" s="10"/>
    </row>
    <row r="377" spans="1:122" x14ac:dyDescent="0.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0"/>
      <c r="BC377" s="10"/>
      <c r="BD377" s="10"/>
      <c r="BE377" s="10"/>
      <c r="BF377" s="10"/>
      <c r="BG377" s="10"/>
      <c r="BH377" s="10"/>
      <c r="BI377" s="10"/>
      <c r="BJ377" s="10"/>
      <c r="BK377" s="10"/>
      <c r="BL377" s="10"/>
      <c r="BM377" s="10"/>
      <c r="BN377" s="10"/>
      <c r="BO377" s="10"/>
      <c r="BP377" s="10"/>
      <c r="BQ377" s="10"/>
      <c r="BR377" s="10"/>
      <c r="BS377" s="10"/>
      <c r="BT377" s="10"/>
      <c r="BU377" s="10"/>
      <c r="BV377" s="10"/>
      <c r="BW377" s="10"/>
      <c r="BX377" s="10"/>
      <c r="BY377" s="10"/>
      <c r="BZ377" s="10"/>
      <c r="CA377" s="10"/>
      <c r="CB377" s="10"/>
      <c r="CC377" s="10"/>
      <c r="CD377" s="10"/>
      <c r="CE377" s="10"/>
      <c r="CF377" s="10"/>
      <c r="CG377" s="10"/>
      <c r="CH377" s="10"/>
      <c r="CI377" s="10"/>
      <c r="CJ377" s="10"/>
      <c r="CK377" s="10"/>
      <c r="CL377" s="10"/>
      <c r="CM377" s="10"/>
      <c r="CN377" s="10"/>
      <c r="CO377" s="10"/>
      <c r="CP377" s="10"/>
      <c r="CQ377" s="10"/>
      <c r="CR377" s="10"/>
      <c r="CS377" s="10"/>
      <c r="CT377" s="10"/>
      <c r="CU377" s="10"/>
      <c r="CV377" s="10"/>
      <c r="CW377" s="10"/>
      <c r="CX377" s="10"/>
      <c r="CY377" s="10"/>
      <c r="CZ377" s="10"/>
      <c r="DA377" s="10"/>
      <c r="DB377" s="10"/>
      <c r="DC377" s="10"/>
      <c r="DD377" s="10"/>
      <c r="DE377" s="10"/>
      <c r="DF377" s="10"/>
      <c r="DG377" s="10"/>
      <c r="DH377" s="10"/>
      <c r="DI377" s="10"/>
      <c r="DJ377" s="10"/>
      <c r="DK377" s="10"/>
      <c r="DL377" s="10"/>
      <c r="DM377" s="10"/>
      <c r="DN377" s="10"/>
      <c r="DO377" s="10"/>
      <c r="DP377" s="10"/>
      <c r="DQ377" s="10"/>
      <c r="DR377" s="10"/>
    </row>
    <row r="378" spans="1:122" x14ac:dyDescent="0.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0"/>
      <c r="BC378" s="10"/>
      <c r="BD378" s="10"/>
      <c r="BE378" s="10"/>
      <c r="BF378" s="10"/>
      <c r="BG378" s="10"/>
      <c r="BH378" s="10"/>
      <c r="BI378" s="10"/>
      <c r="BJ378" s="10"/>
      <c r="BK378" s="10"/>
      <c r="BL378" s="10"/>
      <c r="BM378" s="10"/>
      <c r="BN378" s="10"/>
      <c r="BO378" s="10"/>
      <c r="BP378" s="10"/>
      <c r="BQ378" s="10"/>
      <c r="BR378" s="10"/>
      <c r="BS378" s="10"/>
      <c r="BT378" s="10"/>
      <c r="BU378" s="10"/>
      <c r="BV378" s="10"/>
      <c r="BW378" s="10"/>
      <c r="BX378" s="10"/>
      <c r="BY378" s="10"/>
      <c r="BZ378" s="10"/>
      <c r="CA378" s="10"/>
      <c r="CB378" s="10"/>
      <c r="CC378" s="10"/>
      <c r="CD378" s="10"/>
      <c r="CE378" s="10"/>
      <c r="CF378" s="10"/>
      <c r="CG378" s="10"/>
      <c r="CH378" s="10"/>
      <c r="CI378" s="10"/>
      <c r="CJ378" s="10"/>
      <c r="CK378" s="10"/>
      <c r="CL378" s="10"/>
      <c r="CM378" s="10"/>
      <c r="CN378" s="10"/>
      <c r="CO378" s="10"/>
      <c r="CP378" s="10"/>
      <c r="CQ378" s="10"/>
      <c r="CR378" s="10"/>
      <c r="CS378" s="10"/>
      <c r="CT378" s="10"/>
      <c r="CU378" s="10"/>
      <c r="CV378" s="10"/>
      <c r="CW378" s="10"/>
      <c r="CX378" s="10"/>
      <c r="CY378" s="10"/>
      <c r="CZ378" s="10"/>
      <c r="DA378" s="10"/>
      <c r="DB378" s="10"/>
      <c r="DC378" s="10"/>
      <c r="DD378" s="10"/>
      <c r="DE378" s="10"/>
      <c r="DF378" s="10"/>
      <c r="DG378" s="10"/>
      <c r="DH378" s="10"/>
      <c r="DI378" s="10"/>
      <c r="DJ378" s="10"/>
      <c r="DK378" s="10"/>
      <c r="DL378" s="10"/>
      <c r="DM378" s="10"/>
      <c r="DN378" s="10"/>
      <c r="DO378" s="10"/>
      <c r="DP378" s="10"/>
      <c r="DQ378" s="10"/>
      <c r="DR378" s="10"/>
    </row>
    <row r="379" spans="1:122" x14ac:dyDescent="0.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0"/>
      <c r="BC379" s="10"/>
      <c r="BD379" s="10"/>
      <c r="BE379" s="10"/>
      <c r="BF379" s="10"/>
      <c r="BG379" s="10"/>
      <c r="BH379" s="10"/>
      <c r="BI379" s="10"/>
      <c r="BJ379" s="10"/>
      <c r="BK379" s="10"/>
      <c r="BL379" s="10"/>
      <c r="BM379" s="10"/>
      <c r="BN379" s="10"/>
      <c r="BO379" s="10"/>
      <c r="BP379" s="10"/>
      <c r="BQ379" s="10"/>
      <c r="BR379" s="10"/>
      <c r="BS379" s="10"/>
      <c r="BT379" s="10"/>
      <c r="BU379" s="10"/>
      <c r="BV379" s="10"/>
      <c r="BW379" s="10"/>
      <c r="BX379" s="10"/>
      <c r="BY379" s="10"/>
      <c r="BZ379" s="10"/>
      <c r="CA379" s="10"/>
      <c r="CB379" s="10"/>
      <c r="CC379" s="10"/>
      <c r="CD379" s="10"/>
      <c r="CE379" s="10"/>
      <c r="CF379" s="10"/>
      <c r="CG379" s="10"/>
      <c r="CH379" s="10"/>
      <c r="CI379" s="10"/>
      <c r="CJ379" s="10"/>
      <c r="CK379" s="10"/>
      <c r="CL379" s="10"/>
      <c r="CM379" s="10"/>
      <c r="CN379" s="10"/>
      <c r="CO379" s="10"/>
      <c r="CP379" s="10"/>
      <c r="CQ379" s="10"/>
      <c r="CR379" s="10"/>
      <c r="CS379" s="10"/>
      <c r="CT379" s="10"/>
      <c r="CU379" s="10"/>
      <c r="CV379" s="10"/>
      <c r="CW379" s="10"/>
      <c r="CX379" s="10"/>
      <c r="CY379" s="10"/>
      <c r="CZ379" s="10"/>
      <c r="DA379" s="10"/>
      <c r="DB379" s="10"/>
      <c r="DC379" s="10"/>
      <c r="DD379" s="10"/>
      <c r="DE379" s="10"/>
      <c r="DF379" s="10"/>
      <c r="DG379" s="10"/>
      <c r="DH379" s="10"/>
      <c r="DI379" s="10"/>
      <c r="DJ379" s="10"/>
      <c r="DK379" s="10"/>
      <c r="DL379" s="10"/>
      <c r="DM379" s="10"/>
      <c r="DN379" s="10"/>
      <c r="DO379" s="10"/>
      <c r="DP379" s="10"/>
      <c r="DQ379" s="10"/>
      <c r="DR379" s="10"/>
    </row>
    <row r="380" spans="1:122" x14ac:dyDescent="0.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0"/>
      <c r="BC380" s="10"/>
      <c r="BD380" s="10"/>
      <c r="BE380" s="10"/>
      <c r="BF380" s="10"/>
      <c r="BG380" s="10"/>
      <c r="BH380" s="10"/>
      <c r="BI380" s="10"/>
      <c r="BJ380" s="10"/>
      <c r="BK380" s="10"/>
      <c r="BL380" s="10"/>
      <c r="BM380" s="10"/>
      <c r="BN380" s="10"/>
      <c r="BO380" s="10"/>
      <c r="BP380" s="10"/>
      <c r="BQ380" s="10"/>
      <c r="BR380" s="10"/>
      <c r="BS380" s="10"/>
      <c r="BT380" s="10"/>
      <c r="BU380" s="10"/>
      <c r="BV380" s="10"/>
      <c r="BW380" s="10"/>
      <c r="BX380" s="10"/>
      <c r="BY380" s="10"/>
      <c r="BZ380" s="10"/>
      <c r="CA380" s="10"/>
      <c r="CB380" s="10"/>
      <c r="CC380" s="10"/>
      <c r="CD380" s="10"/>
      <c r="CE380" s="10"/>
      <c r="CF380" s="10"/>
      <c r="CG380" s="10"/>
      <c r="CH380" s="10"/>
      <c r="CI380" s="10"/>
      <c r="CJ380" s="10"/>
      <c r="CK380" s="10"/>
      <c r="CL380" s="10"/>
      <c r="CM380" s="10"/>
      <c r="CN380" s="10"/>
      <c r="CO380" s="10"/>
      <c r="CP380" s="10"/>
      <c r="CQ380" s="10"/>
      <c r="CR380" s="10"/>
      <c r="CS380" s="10"/>
      <c r="CT380" s="10"/>
      <c r="CU380" s="10"/>
      <c r="CV380" s="10"/>
      <c r="CW380" s="10"/>
      <c r="CX380" s="10"/>
      <c r="CY380" s="10"/>
      <c r="CZ380" s="10"/>
      <c r="DA380" s="10"/>
      <c r="DB380" s="10"/>
      <c r="DC380" s="10"/>
      <c r="DD380" s="10"/>
      <c r="DE380" s="10"/>
      <c r="DF380" s="10"/>
      <c r="DG380" s="10"/>
      <c r="DH380" s="10"/>
      <c r="DI380" s="10"/>
      <c r="DJ380" s="10"/>
      <c r="DK380" s="10"/>
      <c r="DL380" s="10"/>
      <c r="DM380" s="10"/>
      <c r="DN380" s="10"/>
      <c r="DO380" s="10"/>
      <c r="DP380" s="10"/>
      <c r="DQ380" s="10"/>
      <c r="DR380" s="10"/>
    </row>
    <row r="381" spans="1:122" x14ac:dyDescent="0.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0"/>
      <c r="BC381" s="10"/>
      <c r="BD381" s="10"/>
      <c r="BE381" s="10"/>
      <c r="BF381" s="10"/>
      <c r="BG381" s="10"/>
      <c r="BH381" s="10"/>
      <c r="BI381" s="10"/>
      <c r="BJ381" s="10"/>
      <c r="BK381" s="10"/>
      <c r="BL381" s="10"/>
      <c r="BM381" s="10"/>
      <c r="BN381" s="10"/>
      <c r="BO381" s="10"/>
      <c r="BP381" s="10"/>
      <c r="BQ381" s="10"/>
      <c r="BR381" s="10"/>
      <c r="BS381" s="10"/>
      <c r="BT381" s="10"/>
      <c r="BU381" s="10"/>
      <c r="BV381" s="10"/>
      <c r="BW381" s="10"/>
      <c r="BX381" s="10"/>
      <c r="BY381" s="10"/>
      <c r="BZ381" s="10"/>
      <c r="CA381" s="10"/>
      <c r="CB381" s="10"/>
      <c r="CC381" s="10"/>
      <c r="CD381" s="10"/>
      <c r="CE381" s="10"/>
      <c r="CF381" s="10"/>
      <c r="CG381" s="10"/>
      <c r="CH381" s="10"/>
      <c r="CI381" s="10"/>
      <c r="CJ381" s="10"/>
      <c r="CK381" s="10"/>
      <c r="CL381" s="10"/>
      <c r="CM381" s="10"/>
      <c r="CN381" s="10"/>
      <c r="CO381" s="10"/>
      <c r="CP381" s="10"/>
      <c r="CQ381" s="10"/>
      <c r="CR381" s="10"/>
      <c r="CS381" s="10"/>
      <c r="CT381" s="10"/>
      <c r="CU381" s="10"/>
      <c r="CV381" s="10"/>
      <c r="CW381" s="10"/>
      <c r="CX381" s="10"/>
      <c r="CY381" s="10"/>
      <c r="CZ381" s="10"/>
      <c r="DA381" s="10"/>
      <c r="DB381" s="10"/>
      <c r="DC381" s="10"/>
      <c r="DD381" s="10"/>
      <c r="DE381" s="10"/>
      <c r="DF381" s="10"/>
      <c r="DG381" s="10"/>
      <c r="DH381" s="10"/>
      <c r="DI381" s="10"/>
      <c r="DJ381" s="10"/>
      <c r="DK381" s="10"/>
      <c r="DL381" s="10"/>
      <c r="DM381" s="10"/>
      <c r="DN381" s="10"/>
      <c r="DO381" s="10"/>
      <c r="DP381" s="10"/>
      <c r="DQ381" s="10"/>
      <c r="DR381" s="10"/>
    </row>
    <row r="382" spans="1:122" x14ac:dyDescent="0.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0"/>
      <c r="BC382" s="10"/>
      <c r="BD382" s="10"/>
      <c r="BE382" s="10"/>
      <c r="BF382" s="10"/>
      <c r="BG382" s="10"/>
      <c r="BH382" s="10"/>
      <c r="BI382" s="10"/>
      <c r="BJ382" s="10"/>
      <c r="BK382" s="10"/>
      <c r="BL382" s="10"/>
      <c r="BM382" s="10"/>
      <c r="BN382" s="10"/>
      <c r="BO382" s="10"/>
      <c r="BP382" s="10"/>
      <c r="BQ382" s="10"/>
      <c r="BR382" s="10"/>
      <c r="BS382" s="10"/>
      <c r="BT382" s="10"/>
      <c r="BU382" s="10"/>
      <c r="BV382" s="10"/>
      <c r="BW382" s="10"/>
      <c r="BX382" s="10"/>
      <c r="BY382" s="10"/>
      <c r="BZ382" s="10"/>
      <c r="CA382" s="10"/>
      <c r="CB382" s="10"/>
      <c r="CC382" s="10"/>
      <c r="CD382" s="10"/>
      <c r="CE382" s="10"/>
      <c r="CF382" s="10"/>
      <c r="CG382" s="10"/>
      <c r="CH382" s="10"/>
      <c r="CI382" s="10"/>
      <c r="CJ382" s="10"/>
      <c r="CK382" s="10"/>
      <c r="CL382" s="10"/>
      <c r="CM382" s="10"/>
      <c r="CN382" s="10"/>
      <c r="CO382" s="10"/>
      <c r="CP382" s="10"/>
      <c r="CQ382" s="10"/>
      <c r="CR382" s="10"/>
      <c r="CS382" s="10"/>
      <c r="CT382" s="10"/>
      <c r="CU382" s="10"/>
      <c r="CV382" s="10"/>
      <c r="CW382" s="10"/>
      <c r="CX382" s="10"/>
      <c r="CY382" s="10"/>
      <c r="CZ382" s="10"/>
      <c r="DA382" s="10"/>
      <c r="DB382" s="10"/>
      <c r="DC382" s="10"/>
      <c r="DD382" s="10"/>
      <c r="DE382" s="10"/>
      <c r="DF382" s="10"/>
      <c r="DG382" s="10"/>
      <c r="DH382" s="10"/>
      <c r="DI382" s="10"/>
      <c r="DJ382" s="10"/>
      <c r="DK382" s="10"/>
      <c r="DL382" s="10"/>
      <c r="DM382" s="10"/>
      <c r="DN382" s="10"/>
      <c r="DO382" s="10"/>
      <c r="DP382" s="10"/>
      <c r="DQ382" s="10"/>
      <c r="DR382" s="10"/>
    </row>
    <row r="383" spans="1:122" x14ac:dyDescent="0.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0"/>
      <c r="BC383" s="10"/>
      <c r="BD383" s="10"/>
      <c r="BE383" s="10"/>
      <c r="BF383" s="10"/>
      <c r="BG383" s="10"/>
      <c r="BH383" s="10"/>
      <c r="BI383" s="10"/>
      <c r="BJ383" s="10"/>
      <c r="BK383" s="10"/>
      <c r="BL383" s="10"/>
      <c r="BM383" s="10"/>
      <c r="BN383" s="10"/>
      <c r="BO383" s="10"/>
      <c r="BP383" s="10"/>
      <c r="BQ383" s="10"/>
      <c r="BR383" s="10"/>
      <c r="BS383" s="10"/>
      <c r="BT383" s="10"/>
      <c r="BU383" s="10"/>
      <c r="BV383" s="10"/>
      <c r="BW383" s="10"/>
      <c r="BX383" s="10"/>
      <c r="BY383" s="10"/>
      <c r="BZ383" s="10"/>
      <c r="CA383" s="10"/>
      <c r="CB383" s="10"/>
      <c r="CC383" s="10"/>
      <c r="CD383" s="10"/>
      <c r="CE383" s="10"/>
      <c r="CF383" s="10"/>
      <c r="CG383" s="10"/>
      <c r="CH383" s="10"/>
      <c r="CI383" s="10"/>
      <c r="CJ383" s="10"/>
      <c r="CK383" s="10"/>
      <c r="CL383" s="10"/>
      <c r="CM383" s="10"/>
      <c r="CN383" s="10"/>
      <c r="CO383" s="10"/>
      <c r="CP383" s="10"/>
      <c r="CQ383" s="10"/>
      <c r="CR383" s="10"/>
      <c r="CS383" s="10"/>
      <c r="CT383" s="10"/>
      <c r="CU383" s="10"/>
      <c r="CV383" s="10"/>
      <c r="CW383" s="10"/>
      <c r="CX383" s="10"/>
      <c r="CY383" s="10"/>
      <c r="CZ383" s="10"/>
      <c r="DA383" s="10"/>
      <c r="DB383" s="10"/>
      <c r="DC383" s="10"/>
      <c r="DD383" s="10"/>
      <c r="DE383" s="10"/>
      <c r="DF383" s="10"/>
      <c r="DG383" s="10"/>
      <c r="DH383" s="10"/>
      <c r="DI383" s="10"/>
      <c r="DJ383" s="10"/>
      <c r="DK383" s="10"/>
      <c r="DL383" s="10"/>
      <c r="DM383" s="10"/>
      <c r="DN383" s="10"/>
      <c r="DO383" s="10"/>
      <c r="DP383" s="10"/>
      <c r="DQ383" s="10"/>
      <c r="DR383" s="10"/>
    </row>
    <row r="384" spans="1:122" x14ac:dyDescent="0.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0"/>
      <c r="BC384" s="10"/>
      <c r="BD384" s="10"/>
      <c r="BE384" s="10"/>
      <c r="BF384" s="10"/>
      <c r="BG384" s="10"/>
      <c r="BH384" s="10"/>
      <c r="BI384" s="10"/>
      <c r="BJ384" s="10"/>
      <c r="BK384" s="10"/>
      <c r="BL384" s="10"/>
      <c r="BM384" s="10"/>
      <c r="BN384" s="10"/>
      <c r="BO384" s="10"/>
      <c r="BP384" s="10"/>
      <c r="BQ384" s="10"/>
      <c r="BR384" s="10"/>
      <c r="BS384" s="10"/>
      <c r="BT384" s="10"/>
      <c r="BU384" s="10"/>
      <c r="BV384" s="10"/>
      <c r="BW384" s="10"/>
      <c r="BX384" s="10"/>
      <c r="BY384" s="10"/>
      <c r="BZ384" s="10"/>
      <c r="CA384" s="10"/>
      <c r="CB384" s="10"/>
      <c r="CC384" s="10"/>
      <c r="CD384" s="10"/>
      <c r="CE384" s="10"/>
      <c r="CF384" s="10"/>
      <c r="CG384" s="10"/>
      <c r="CH384" s="10"/>
      <c r="CI384" s="10"/>
      <c r="CJ384" s="10"/>
      <c r="CK384" s="10"/>
      <c r="CL384" s="10"/>
      <c r="CM384" s="10"/>
      <c r="CN384" s="10"/>
      <c r="CO384" s="10"/>
      <c r="CP384" s="10"/>
      <c r="CQ384" s="10"/>
      <c r="CR384" s="10"/>
      <c r="CS384" s="10"/>
      <c r="CT384" s="10"/>
      <c r="CU384" s="10"/>
      <c r="CV384" s="10"/>
      <c r="CW384" s="10"/>
      <c r="CX384" s="10"/>
      <c r="CY384" s="10"/>
      <c r="CZ384" s="10"/>
      <c r="DA384" s="10"/>
      <c r="DB384" s="10"/>
      <c r="DC384" s="10"/>
      <c r="DD384" s="10"/>
      <c r="DE384" s="10"/>
      <c r="DF384" s="10"/>
      <c r="DG384" s="10"/>
      <c r="DH384" s="10"/>
      <c r="DI384" s="10"/>
      <c r="DJ384" s="10"/>
      <c r="DK384" s="10"/>
      <c r="DL384" s="10"/>
      <c r="DM384" s="10"/>
      <c r="DN384" s="10"/>
      <c r="DO384" s="10"/>
      <c r="DP384" s="10"/>
      <c r="DQ384" s="10"/>
      <c r="DR384" s="10"/>
    </row>
    <row r="385" spans="1:122" x14ac:dyDescent="0.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0"/>
      <c r="BC385" s="10"/>
      <c r="BD385" s="10"/>
      <c r="BE385" s="10"/>
      <c r="BF385" s="10"/>
      <c r="BG385" s="10"/>
      <c r="BH385" s="10"/>
      <c r="BI385" s="10"/>
      <c r="BJ385" s="10"/>
      <c r="BK385" s="10"/>
      <c r="BL385" s="10"/>
      <c r="BM385" s="10"/>
      <c r="BN385" s="10"/>
      <c r="BO385" s="10"/>
      <c r="BP385" s="10"/>
      <c r="BQ385" s="10"/>
      <c r="BR385" s="10"/>
      <c r="BS385" s="10"/>
      <c r="BT385" s="10"/>
      <c r="BU385" s="10"/>
      <c r="BV385" s="10"/>
      <c r="BW385" s="10"/>
      <c r="BX385" s="10"/>
      <c r="BY385" s="10"/>
      <c r="BZ385" s="10"/>
      <c r="CA385" s="10"/>
      <c r="CB385" s="10"/>
      <c r="CC385" s="10"/>
      <c r="CD385" s="10"/>
      <c r="CE385" s="10"/>
      <c r="CF385" s="10"/>
      <c r="CG385" s="10"/>
      <c r="CH385" s="10"/>
      <c r="CI385" s="10"/>
      <c r="CJ385" s="10"/>
      <c r="CK385" s="10"/>
      <c r="CL385" s="10"/>
      <c r="CM385" s="10"/>
      <c r="CN385" s="10"/>
      <c r="CO385" s="10"/>
      <c r="CP385" s="10"/>
      <c r="CQ385" s="10"/>
      <c r="CR385" s="10"/>
      <c r="CS385" s="10"/>
      <c r="CT385" s="10"/>
      <c r="CU385" s="10"/>
      <c r="CV385" s="10"/>
      <c r="CW385" s="10"/>
      <c r="CX385" s="10"/>
      <c r="CY385" s="10"/>
      <c r="CZ385" s="10"/>
      <c r="DA385" s="10"/>
      <c r="DB385" s="10"/>
      <c r="DC385" s="10"/>
      <c r="DD385" s="10"/>
      <c r="DE385" s="10"/>
      <c r="DF385" s="10"/>
      <c r="DG385" s="10"/>
      <c r="DH385" s="10"/>
      <c r="DI385" s="10"/>
      <c r="DJ385" s="10"/>
      <c r="DK385" s="10"/>
      <c r="DL385" s="10"/>
      <c r="DM385" s="10"/>
      <c r="DN385" s="10"/>
      <c r="DO385" s="10"/>
      <c r="DP385" s="10"/>
      <c r="DQ385" s="10"/>
      <c r="DR385" s="10"/>
    </row>
    <row r="386" spans="1:122" x14ac:dyDescent="0.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0"/>
      <c r="BC386" s="10"/>
      <c r="BD386" s="10"/>
      <c r="BE386" s="10"/>
      <c r="BF386" s="10"/>
      <c r="BG386" s="10"/>
      <c r="BH386" s="10"/>
      <c r="BI386" s="10"/>
      <c r="BJ386" s="10"/>
      <c r="BK386" s="10"/>
      <c r="BL386" s="10"/>
      <c r="BM386" s="10"/>
      <c r="BN386" s="10"/>
      <c r="BO386" s="10"/>
      <c r="BP386" s="10"/>
      <c r="BQ386" s="10"/>
      <c r="BR386" s="10"/>
      <c r="BS386" s="10"/>
      <c r="BT386" s="10"/>
      <c r="BU386" s="10"/>
      <c r="BV386" s="10"/>
      <c r="BW386" s="10"/>
      <c r="BX386" s="10"/>
      <c r="BY386" s="10"/>
      <c r="BZ386" s="10"/>
      <c r="CA386" s="10"/>
      <c r="CB386" s="10"/>
      <c r="CC386" s="10"/>
      <c r="CD386" s="10"/>
      <c r="CE386" s="10"/>
      <c r="CF386" s="10"/>
      <c r="CG386" s="10"/>
      <c r="CH386" s="10"/>
      <c r="CI386" s="10"/>
      <c r="CJ386" s="10"/>
      <c r="CK386" s="10"/>
      <c r="CL386" s="10"/>
      <c r="CM386" s="10"/>
      <c r="CN386" s="10"/>
      <c r="CO386" s="10"/>
      <c r="CP386" s="10"/>
      <c r="CQ386" s="10"/>
      <c r="CR386" s="10"/>
      <c r="CS386" s="10"/>
      <c r="CT386" s="10"/>
      <c r="CU386" s="10"/>
      <c r="CV386" s="10"/>
      <c r="CW386" s="10"/>
      <c r="CX386" s="10"/>
      <c r="CY386" s="10"/>
      <c r="CZ386" s="10"/>
      <c r="DA386" s="10"/>
      <c r="DB386" s="10"/>
      <c r="DC386" s="10"/>
      <c r="DD386" s="10"/>
      <c r="DE386" s="10"/>
      <c r="DF386" s="10"/>
      <c r="DG386" s="10"/>
      <c r="DH386" s="10"/>
      <c r="DI386" s="10"/>
      <c r="DJ386" s="10"/>
      <c r="DK386" s="10"/>
      <c r="DL386" s="10"/>
      <c r="DM386" s="10"/>
      <c r="DN386" s="10"/>
      <c r="DO386" s="10"/>
      <c r="DP386" s="10"/>
      <c r="DQ386" s="10"/>
      <c r="DR386" s="10"/>
    </row>
    <row r="387" spans="1:122" x14ac:dyDescent="0.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0"/>
      <c r="BC387" s="10"/>
      <c r="BD387" s="10"/>
      <c r="BE387" s="10"/>
      <c r="BF387" s="10"/>
      <c r="BG387" s="10"/>
      <c r="BH387" s="10"/>
      <c r="BI387" s="10"/>
      <c r="BJ387" s="10"/>
      <c r="BK387" s="10"/>
      <c r="BL387" s="10"/>
      <c r="BM387" s="10"/>
      <c r="BN387" s="10"/>
      <c r="BO387" s="10"/>
      <c r="BP387" s="10"/>
      <c r="BQ387" s="10"/>
      <c r="BR387" s="10"/>
      <c r="BS387" s="10"/>
      <c r="BT387" s="10"/>
      <c r="BU387" s="10"/>
      <c r="BV387" s="10"/>
      <c r="BW387" s="10"/>
      <c r="BX387" s="10"/>
      <c r="BY387" s="10"/>
      <c r="BZ387" s="10"/>
      <c r="CA387" s="10"/>
      <c r="CB387" s="10"/>
      <c r="CC387" s="10"/>
      <c r="CD387" s="10"/>
      <c r="CE387" s="10"/>
      <c r="CF387" s="10"/>
      <c r="CG387" s="10"/>
      <c r="CH387" s="10"/>
      <c r="CI387" s="10"/>
      <c r="CJ387" s="10"/>
      <c r="CK387" s="10"/>
      <c r="CL387" s="10"/>
      <c r="CM387" s="10"/>
      <c r="CN387" s="10"/>
      <c r="CO387" s="10"/>
      <c r="CP387" s="10"/>
      <c r="CQ387" s="10"/>
      <c r="CR387" s="10"/>
      <c r="CS387" s="10"/>
      <c r="CT387" s="10"/>
      <c r="CU387" s="10"/>
      <c r="CV387" s="10"/>
      <c r="CW387" s="10"/>
      <c r="CX387" s="10"/>
      <c r="CY387" s="10"/>
      <c r="CZ387" s="10"/>
      <c r="DA387" s="10"/>
      <c r="DB387" s="10"/>
      <c r="DC387" s="10"/>
      <c r="DD387" s="10"/>
      <c r="DE387" s="10"/>
      <c r="DF387" s="10"/>
      <c r="DG387" s="10"/>
      <c r="DH387" s="10"/>
      <c r="DI387" s="10"/>
      <c r="DJ387" s="10"/>
      <c r="DK387" s="10"/>
      <c r="DL387" s="10"/>
      <c r="DM387" s="10"/>
      <c r="DN387" s="10"/>
      <c r="DO387" s="10"/>
      <c r="DP387" s="10"/>
      <c r="DQ387" s="10"/>
      <c r="DR387" s="10"/>
    </row>
    <row r="388" spans="1:122" x14ac:dyDescent="0.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0"/>
      <c r="BC388" s="10"/>
      <c r="BD388" s="10"/>
      <c r="BE388" s="10"/>
      <c r="BF388" s="10"/>
      <c r="BG388" s="10"/>
      <c r="BH388" s="10"/>
      <c r="BI388" s="10"/>
      <c r="BJ388" s="10"/>
      <c r="BK388" s="10"/>
      <c r="BL388" s="10"/>
      <c r="BM388" s="10"/>
      <c r="BN388" s="10"/>
      <c r="BO388" s="10"/>
      <c r="BP388" s="10"/>
      <c r="BQ388" s="10"/>
      <c r="BR388" s="10"/>
      <c r="BS388" s="10"/>
      <c r="BT388" s="10"/>
      <c r="BU388" s="10"/>
      <c r="BV388" s="10"/>
      <c r="BW388" s="10"/>
      <c r="BX388" s="10"/>
      <c r="BY388" s="10"/>
      <c r="BZ388" s="10"/>
      <c r="CA388" s="10"/>
      <c r="CB388" s="10"/>
      <c r="CC388" s="10"/>
      <c r="CD388" s="10"/>
      <c r="CE388" s="10"/>
      <c r="CF388" s="10"/>
      <c r="CG388" s="10"/>
      <c r="CH388" s="10"/>
      <c r="CI388" s="10"/>
      <c r="CJ388" s="10"/>
      <c r="CK388" s="10"/>
      <c r="CL388" s="10"/>
      <c r="CM388" s="10"/>
      <c r="CN388" s="10"/>
      <c r="CO388" s="10"/>
      <c r="CP388" s="10"/>
      <c r="CQ388" s="10"/>
      <c r="CR388" s="10"/>
      <c r="CS388" s="10"/>
      <c r="CT388" s="10"/>
      <c r="CU388" s="10"/>
      <c r="CV388" s="10"/>
      <c r="CW388" s="10"/>
      <c r="CX388" s="10"/>
      <c r="CY388" s="10"/>
      <c r="CZ388" s="10"/>
      <c r="DA388" s="10"/>
      <c r="DB388" s="10"/>
      <c r="DC388" s="10"/>
      <c r="DD388" s="10"/>
      <c r="DE388" s="10"/>
      <c r="DF388" s="10"/>
      <c r="DG388" s="10"/>
      <c r="DH388" s="10"/>
      <c r="DI388" s="10"/>
      <c r="DJ388" s="10"/>
      <c r="DK388" s="10"/>
      <c r="DL388" s="10"/>
      <c r="DM388" s="10"/>
      <c r="DN388" s="10"/>
      <c r="DO388" s="10"/>
      <c r="DP388" s="10"/>
      <c r="DQ388" s="10"/>
      <c r="DR388" s="10"/>
    </row>
    <row r="389" spans="1:122" x14ac:dyDescent="0.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0"/>
      <c r="BC389" s="10"/>
      <c r="BD389" s="10"/>
      <c r="BE389" s="10"/>
      <c r="BF389" s="10"/>
      <c r="BG389" s="10"/>
      <c r="BH389" s="10"/>
      <c r="BI389" s="10"/>
      <c r="BJ389" s="10"/>
      <c r="BK389" s="10"/>
      <c r="BL389" s="10"/>
      <c r="BM389" s="10"/>
      <c r="BN389" s="10"/>
      <c r="BO389" s="10"/>
      <c r="BP389" s="10"/>
      <c r="BQ389" s="10"/>
      <c r="BR389" s="10"/>
      <c r="BS389" s="10"/>
      <c r="BT389" s="10"/>
      <c r="BU389" s="10"/>
      <c r="BV389" s="10"/>
      <c r="BW389" s="10"/>
      <c r="BX389" s="10"/>
      <c r="BY389" s="10"/>
      <c r="BZ389" s="10"/>
      <c r="CA389" s="10"/>
      <c r="CB389" s="10"/>
      <c r="CC389" s="10"/>
      <c r="CD389" s="10"/>
      <c r="CE389" s="10"/>
      <c r="CF389" s="10"/>
      <c r="CG389" s="10"/>
      <c r="CH389" s="10"/>
      <c r="CI389" s="10"/>
      <c r="CJ389" s="10"/>
      <c r="CK389" s="10"/>
      <c r="CL389" s="10"/>
      <c r="CM389" s="10"/>
      <c r="CN389" s="10"/>
      <c r="CO389" s="10"/>
      <c r="CP389" s="10"/>
      <c r="CQ389" s="10"/>
      <c r="CR389" s="10"/>
      <c r="CS389" s="10"/>
      <c r="CT389" s="10"/>
      <c r="CU389" s="10"/>
      <c r="CV389" s="10"/>
      <c r="CW389" s="10"/>
      <c r="CX389" s="10"/>
      <c r="CY389" s="10"/>
      <c r="CZ389" s="10"/>
      <c r="DA389" s="10"/>
      <c r="DB389" s="10"/>
      <c r="DC389" s="10"/>
      <c r="DD389" s="10"/>
      <c r="DE389" s="10"/>
      <c r="DF389" s="10"/>
      <c r="DG389" s="10"/>
      <c r="DH389" s="10"/>
      <c r="DI389" s="10"/>
      <c r="DJ389" s="10"/>
      <c r="DK389" s="10"/>
      <c r="DL389" s="10"/>
      <c r="DM389" s="10"/>
      <c r="DN389" s="10"/>
      <c r="DO389" s="10"/>
      <c r="DP389" s="10"/>
      <c r="DQ389" s="10"/>
      <c r="DR389" s="10"/>
    </row>
    <row r="390" spans="1:122" x14ac:dyDescent="0.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0"/>
      <c r="BC390" s="10"/>
      <c r="BD390" s="10"/>
      <c r="BE390" s="10"/>
      <c r="BF390" s="10"/>
      <c r="BG390" s="10"/>
      <c r="BH390" s="10"/>
      <c r="BI390" s="10"/>
      <c r="BJ390" s="10"/>
      <c r="BK390" s="10"/>
      <c r="BL390" s="10"/>
      <c r="BM390" s="10"/>
      <c r="BN390" s="10"/>
      <c r="BO390" s="10"/>
      <c r="BP390" s="10"/>
      <c r="BQ390" s="10"/>
      <c r="BR390" s="10"/>
      <c r="BS390" s="10"/>
      <c r="BT390" s="10"/>
      <c r="BU390" s="10"/>
      <c r="BV390" s="10"/>
      <c r="BW390" s="10"/>
      <c r="BX390" s="10"/>
      <c r="BY390" s="10"/>
      <c r="BZ390" s="10"/>
      <c r="CA390" s="10"/>
      <c r="CB390" s="10"/>
      <c r="CC390" s="10"/>
      <c r="CD390" s="10"/>
      <c r="CE390" s="10"/>
      <c r="CF390" s="10"/>
      <c r="CG390" s="10"/>
      <c r="CH390" s="10"/>
      <c r="CI390" s="10"/>
      <c r="CJ390" s="10"/>
      <c r="CK390" s="10"/>
      <c r="CL390" s="10"/>
      <c r="CM390" s="10"/>
      <c r="CN390" s="10"/>
      <c r="CO390" s="10"/>
      <c r="CP390" s="10"/>
      <c r="CQ390" s="10"/>
      <c r="CR390" s="10"/>
      <c r="CS390" s="10"/>
      <c r="CT390" s="10"/>
      <c r="CU390" s="10"/>
      <c r="CV390" s="10"/>
      <c r="CW390" s="10"/>
      <c r="CX390" s="10"/>
      <c r="CY390" s="10"/>
      <c r="CZ390" s="10"/>
      <c r="DA390" s="10"/>
      <c r="DB390" s="10"/>
      <c r="DC390" s="10"/>
      <c r="DD390" s="10"/>
      <c r="DE390" s="10"/>
      <c r="DF390" s="10"/>
      <c r="DG390" s="10"/>
      <c r="DH390" s="10"/>
      <c r="DI390" s="10"/>
      <c r="DJ390" s="10"/>
      <c r="DK390" s="10"/>
      <c r="DL390" s="10"/>
      <c r="DM390" s="10"/>
      <c r="DN390" s="10"/>
      <c r="DO390" s="10"/>
      <c r="DP390" s="10"/>
      <c r="DQ390" s="10"/>
      <c r="DR390" s="10"/>
    </row>
    <row r="391" spans="1:122" x14ac:dyDescent="0.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0"/>
      <c r="BC391" s="10"/>
      <c r="BD391" s="10"/>
      <c r="BE391" s="10"/>
      <c r="BF391" s="10"/>
      <c r="BG391" s="10"/>
      <c r="BH391" s="10"/>
      <c r="BI391" s="10"/>
      <c r="BJ391" s="10"/>
      <c r="BK391" s="10"/>
      <c r="BL391" s="10"/>
      <c r="BM391" s="10"/>
      <c r="BN391" s="10"/>
      <c r="BO391" s="10"/>
      <c r="BP391" s="10"/>
      <c r="BQ391" s="10"/>
      <c r="BR391" s="10"/>
      <c r="BS391" s="10"/>
      <c r="BT391" s="10"/>
      <c r="BU391" s="10"/>
      <c r="BV391" s="10"/>
      <c r="BW391" s="10"/>
      <c r="BX391" s="10"/>
      <c r="BY391" s="10"/>
      <c r="BZ391" s="10"/>
      <c r="CA391" s="10"/>
      <c r="CB391" s="10"/>
      <c r="CC391" s="10"/>
      <c r="CD391" s="10"/>
      <c r="CE391" s="10"/>
      <c r="CF391" s="10"/>
      <c r="CG391" s="10"/>
      <c r="CH391" s="10"/>
      <c r="CI391" s="10"/>
      <c r="CJ391" s="10"/>
      <c r="CK391" s="10"/>
      <c r="CL391" s="10"/>
      <c r="CM391" s="10"/>
      <c r="CN391" s="10"/>
      <c r="CO391" s="10"/>
      <c r="CP391" s="10"/>
      <c r="CQ391" s="10"/>
      <c r="CR391" s="10"/>
      <c r="CS391" s="10"/>
      <c r="CT391" s="10"/>
      <c r="CU391" s="10"/>
      <c r="CV391" s="10"/>
      <c r="CW391" s="10"/>
      <c r="CX391" s="10"/>
      <c r="CY391" s="10"/>
      <c r="CZ391" s="10"/>
      <c r="DA391" s="10"/>
      <c r="DB391" s="10"/>
      <c r="DC391" s="10"/>
      <c r="DD391" s="10"/>
      <c r="DE391" s="10"/>
      <c r="DF391" s="10"/>
      <c r="DG391" s="10"/>
      <c r="DH391" s="10"/>
      <c r="DI391" s="10"/>
      <c r="DJ391" s="10"/>
      <c r="DK391" s="10"/>
      <c r="DL391" s="10"/>
      <c r="DM391" s="10"/>
      <c r="DN391" s="10"/>
      <c r="DO391" s="10"/>
      <c r="DP391" s="10"/>
      <c r="DQ391" s="10"/>
      <c r="DR391" s="10"/>
    </row>
    <row r="392" spans="1:122" x14ac:dyDescent="0.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0"/>
      <c r="BC392" s="10"/>
      <c r="BD392" s="10"/>
      <c r="BE392" s="10"/>
      <c r="BF392" s="10"/>
      <c r="BG392" s="10"/>
      <c r="BH392" s="10"/>
      <c r="BI392" s="10"/>
      <c r="BJ392" s="10"/>
      <c r="BK392" s="10"/>
      <c r="BL392" s="10"/>
      <c r="BM392" s="10"/>
      <c r="BN392" s="10"/>
      <c r="BO392" s="10"/>
      <c r="BP392" s="10"/>
      <c r="BQ392" s="10"/>
      <c r="BR392" s="10"/>
      <c r="BS392" s="10"/>
      <c r="BT392" s="10"/>
      <c r="BU392" s="10"/>
      <c r="BV392" s="10"/>
      <c r="BW392" s="10"/>
      <c r="BX392" s="10"/>
      <c r="BY392" s="10"/>
      <c r="BZ392" s="10"/>
      <c r="CA392" s="10"/>
      <c r="CB392" s="10"/>
      <c r="CC392" s="10"/>
      <c r="CD392" s="10"/>
      <c r="CE392" s="10"/>
      <c r="CF392" s="10"/>
      <c r="CG392" s="10"/>
      <c r="CH392" s="10"/>
      <c r="CI392" s="10"/>
      <c r="CJ392" s="10"/>
      <c r="CK392" s="10"/>
      <c r="CL392" s="10"/>
      <c r="CM392" s="10"/>
      <c r="CN392" s="10"/>
      <c r="CO392" s="10"/>
      <c r="CP392" s="10"/>
      <c r="CQ392" s="10"/>
      <c r="CR392" s="10"/>
      <c r="CS392" s="10"/>
      <c r="CT392" s="10"/>
      <c r="CU392" s="10"/>
      <c r="CV392" s="10"/>
      <c r="CW392" s="10"/>
      <c r="CX392" s="10"/>
      <c r="CY392" s="10"/>
      <c r="CZ392" s="10"/>
      <c r="DA392" s="10"/>
      <c r="DB392" s="10"/>
      <c r="DC392" s="10"/>
      <c r="DD392" s="10"/>
      <c r="DE392" s="10"/>
      <c r="DF392" s="10"/>
      <c r="DG392" s="10"/>
      <c r="DH392" s="10"/>
      <c r="DI392" s="10"/>
      <c r="DJ392" s="10"/>
      <c r="DK392" s="10"/>
      <c r="DL392" s="10"/>
      <c r="DM392" s="10"/>
      <c r="DN392" s="10"/>
      <c r="DO392" s="10"/>
      <c r="DP392" s="10"/>
      <c r="DQ392" s="10"/>
      <c r="DR392" s="10"/>
    </row>
    <row r="393" spans="1:122" x14ac:dyDescent="0.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0"/>
      <c r="BC393" s="10"/>
      <c r="BD393" s="10"/>
      <c r="BE393" s="10"/>
      <c r="BF393" s="10"/>
      <c r="BG393" s="10"/>
      <c r="BH393" s="10"/>
      <c r="BI393" s="10"/>
      <c r="BJ393" s="10"/>
      <c r="BK393" s="10"/>
      <c r="BL393" s="10"/>
      <c r="BM393" s="10"/>
      <c r="BN393" s="10"/>
      <c r="BO393" s="10"/>
      <c r="BP393" s="10"/>
      <c r="BQ393" s="10"/>
      <c r="BR393" s="10"/>
      <c r="BS393" s="10"/>
      <c r="BT393" s="10"/>
      <c r="BU393" s="10"/>
      <c r="BV393" s="10"/>
      <c r="BW393" s="10"/>
      <c r="BX393" s="10"/>
      <c r="BY393" s="10"/>
      <c r="BZ393" s="10"/>
      <c r="CA393" s="10"/>
      <c r="CB393" s="10"/>
      <c r="CC393" s="10"/>
      <c r="CD393" s="10"/>
      <c r="CE393" s="10"/>
      <c r="CF393" s="10"/>
      <c r="CG393" s="10"/>
      <c r="CH393" s="10"/>
      <c r="CI393" s="10"/>
      <c r="CJ393" s="10"/>
      <c r="CK393" s="10"/>
      <c r="CL393" s="10"/>
      <c r="CM393" s="10"/>
      <c r="CN393" s="10"/>
      <c r="CO393" s="10"/>
      <c r="CP393" s="10"/>
      <c r="CQ393" s="10"/>
      <c r="CR393" s="10"/>
      <c r="CS393" s="10"/>
      <c r="CT393" s="10"/>
      <c r="CU393" s="10"/>
      <c r="CV393" s="10"/>
      <c r="CW393" s="10"/>
      <c r="CX393" s="10"/>
      <c r="CY393" s="10"/>
      <c r="CZ393" s="10"/>
      <c r="DA393" s="10"/>
      <c r="DB393" s="10"/>
      <c r="DC393" s="10"/>
      <c r="DD393" s="10"/>
      <c r="DE393" s="10"/>
      <c r="DF393" s="10"/>
      <c r="DG393" s="10"/>
      <c r="DH393" s="10"/>
      <c r="DI393" s="10"/>
      <c r="DJ393" s="10"/>
      <c r="DK393" s="10"/>
      <c r="DL393" s="10"/>
      <c r="DM393" s="10"/>
      <c r="DN393" s="10"/>
      <c r="DO393" s="10"/>
      <c r="DP393" s="10"/>
      <c r="DQ393" s="10"/>
      <c r="DR393" s="10"/>
    </row>
    <row r="394" spans="1:122" x14ac:dyDescent="0.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0"/>
      <c r="BC394" s="10"/>
      <c r="BD394" s="10"/>
      <c r="BE394" s="10"/>
      <c r="BF394" s="10"/>
      <c r="BG394" s="10"/>
      <c r="BH394" s="10"/>
      <c r="BI394" s="10"/>
      <c r="BJ394" s="10"/>
      <c r="BK394" s="10"/>
      <c r="BL394" s="10"/>
      <c r="BM394" s="10"/>
      <c r="BN394" s="10"/>
      <c r="BO394" s="10"/>
      <c r="BP394" s="10"/>
      <c r="BQ394" s="10"/>
      <c r="BR394" s="10"/>
      <c r="BS394" s="10"/>
      <c r="BT394" s="10"/>
      <c r="BU394" s="10"/>
      <c r="BV394" s="10"/>
      <c r="BW394" s="10"/>
      <c r="BX394" s="10"/>
      <c r="BY394" s="10"/>
      <c r="BZ394" s="10"/>
      <c r="CA394" s="10"/>
      <c r="CB394" s="10"/>
      <c r="CC394" s="10"/>
      <c r="CD394" s="10"/>
      <c r="CE394" s="10"/>
      <c r="CF394" s="10"/>
      <c r="CG394" s="10"/>
      <c r="CH394" s="10"/>
      <c r="CI394" s="10"/>
      <c r="CJ394" s="10"/>
      <c r="CK394" s="10"/>
      <c r="CL394" s="10"/>
      <c r="CM394" s="10"/>
      <c r="CN394" s="10"/>
      <c r="CO394" s="10"/>
      <c r="CP394" s="10"/>
      <c r="CQ394" s="10"/>
      <c r="CR394" s="10"/>
      <c r="CS394" s="10"/>
      <c r="CT394" s="10"/>
      <c r="CU394" s="10"/>
      <c r="CV394" s="10"/>
      <c r="CW394" s="10"/>
      <c r="CX394" s="10"/>
      <c r="CY394" s="10"/>
      <c r="CZ394" s="10"/>
      <c r="DA394" s="10"/>
      <c r="DB394" s="10"/>
      <c r="DC394" s="10"/>
      <c r="DD394" s="10"/>
      <c r="DE394" s="10"/>
      <c r="DF394" s="10"/>
      <c r="DG394" s="10"/>
      <c r="DH394" s="10"/>
      <c r="DI394" s="10"/>
      <c r="DJ394" s="10"/>
      <c r="DK394" s="10"/>
      <c r="DL394" s="10"/>
      <c r="DM394" s="10"/>
      <c r="DN394" s="10"/>
      <c r="DO394" s="10"/>
      <c r="DP394" s="10"/>
      <c r="DQ394" s="10"/>
      <c r="DR394" s="10"/>
    </row>
    <row r="395" spans="1:122" x14ac:dyDescent="0.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0"/>
      <c r="BC395" s="10"/>
      <c r="BD395" s="10"/>
      <c r="BE395" s="10"/>
      <c r="BF395" s="10"/>
      <c r="BG395" s="10"/>
      <c r="BH395" s="10"/>
      <c r="BI395" s="10"/>
      <c r="BJ395" s="10"/>
      <c r="BK395" s="10"/>
      <c r="BL395" s="10"/>
      <c r="BM395" s="10"/>
      <c r="BN395" s="10"/>
      <c r="BO395" s="10"/>
      <c r="BP395" s="10"/>
      <c r="BQ395" s="10"/>
      <c r="BR395" s="10"/>
      <c r="BS395" s="10"/>
      <c r="BT395" s="10"/>
      <c r="BU395" s="10"/>
      <c r="BV395" s="10"/>
      <c r="BW395" s="10"/>
      <c r="BX395" s="10"/>
      <c r="BY395" s="10"/>
      <c r="BZ395" s="10"/>
      <c r="CA395" s="10"/>
      <c r="CB395" s="10"/>
      <c r="CC395" s="10"/>
      <c r="CD395" s="10"/>
      <c r="CE395" s="10"/>
      <c r="CF395" s="10"/>
      <c r="CG395" s="10"/>
      <c r="CH395" s="10"/>
      <c r="CI395" s="10"/>
      <c r="CJ395" s="10"/>
      <c r="CK395" s="10"/>
      <c r="CL395" s="10"/>
      <c r="CM395" s="10"/>
      <c r="CN395" s="10"/>
      <c r="CO395" s="10"/>
      <c r="CP395" s="10"/>
      <c r="CQ395" s="10"/>
      <c r="CR395" s="10"/>
      <c r="CS395" s="10"/>
      <c r="CT395" s="10"/>
      <c r="CU395" s="10"/>
      <c r="CV395" s="10"/>
      <c r="CW395" s="10"/>
      <c r="CX395" s="10"/>
      <c r="CY395" s="10"/>
      <c r="CZ395" s="10"/>
      <c r="DA395" s="10"/>
      <c r="DB395" s="10"/>
      <c r="DC395" s="10"/>
      <c r="DD395" s="10"/>
      <c r="DE395" s="10"/>
      <c r="DF395" s="10"/>
      <c r="DG395" s="10"/>
      <c r="DH395" s="10"/>
      <c r="DI395" s="10"/>
      <c r="DJ395" s="10"/>
      <c r="DK395" s="10"/>
      <c r="DL395" s="10"/>
      <c r="DM395" s="10"/>
      <c r="DN395" s="10"/>
      <c r="DO395" s="10"/>
      <c r="DP395" s="10"/>
      <c r="DQ395" s="10"/>
      <c r="DR395" s="10"/>
    </row>
    <row r="396" spans="1:122" x14ac:dyDescent="0.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0"/>
      <c r="BC396" s="10"/>
      <c r="BD396" s="10"/>
      <c r="BE396" s="10"/>
      <c r="BF396" s="10"/>
      <c r="BG396" s="10"/>
      <c r="BH396" s="10"/>
      <c r="BI396" s="10"/>
      <c r="BJ396" s="10"/>
      <c r="BK396" s="10"/>
      <c r="BL396" s="10"/>
      <c r="BM396" s="10"/>
      <c r="BN396" s="10"/>
      <c r="BO396" s="10"/>
      <c r="BP396" s="10"/>
      <c r="BQ396" s="10"/>
      <c r="BR396" s="10"/>
      <c r="BS396" s="10"/>
      <c r="BT396" s="10"/>
      <c r="BU396" s="10"/>
      <c r="BV396" s="10"/>
      <c r="BW396" s="10"/>
      <c r="BX396" s="10"/>
      <c r="BY396" s="10"/>
      <c r="BZ396" s="10"/>
      <c r="CA396" s="10"/>
      <c r="CB396" s="10"/>
      <c r="CC396" s="10"/>
      <c r="CD396" s="10"/>
      <c r="CE396" s="10"/>
      <c r="CF396" s="10"/>
      <c r="CG396" s="10"/>
      <c r="CH396" s="10"/>
      <c r="CI396" s="10"/>
      <c r="CJ396" s="10"/>
      <c r="CK396" s="10"/>
      <c r="CL396" s="10"/>
      <c r="CM396" s="10"/>
      <c r="CN396" s="10"/>
      <c r="CO396" s="10"/>
      <c r="CP396" s="10"/>
      <c r="CQ396" s="10"/>
      <c r="CR396" s="10"/>
      <c r="CS396" s="10"/>
      <c r="CT396" s="10"/>
      <c r="CU396" s="10"/>
      <c r="CV396" s="10"/>
      <c r="CW396" s="10"/>
      <c r="CX396" s="10"/>
      <c r="CY396" s="10"/>
      <c r="CZ396" s="10"/>
      <c r="DA396" s="10"/>
      <c r="DB396" s="10"/>
      <c r="DC396" s="10"/>
      <c r="DD396" s="10"/>
      <c r="DE396" s="10"/>
      <c r="DF396" s="10"/>
      <c r="DG396" s="10"/>
      <c r="DH396" s="10"/>
      <c r="DI396" s="10"/>
      <c r="DJ396" s="10"/>
      <c r="DK396" s="10"/>
      <c r="DL396" s="10"/>
      <c r="DM396" s="10"/>
      <c r="DN396" s="10"/>
      <c r="DO396" s="10"/>
      <c r="DP396" s="10"/>
      <c r="DQ396" s="10"/>
      <c r="DR396" s="10"/>
    </row>
    <row r="397" spans="1:122" x14ac:dyDescent="0.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0"/>
      <c r="BC397" s="10"/>
      <c r="BD397" s="10"/>
      <c r="BE397" s="10"/>
      <c r="BF397" s="10"/>
      <c r="BG397" s="10"/>
      <c r="BH397" s="10"/>
      <c r="BI397" s="10"/>
      <c r="BJ397" s="10"/>
      <c r="BK397" s="10"/>
      <c r="BL397" s="10"/>
      <c r="BM397" s="10"/>
      <c r="BN397" s="10"/>
      <c r="BO397" s="10"/>
      <c r="BP397" s="10"/>
      <c r="BQ397" s="10"/>
      <c r="BR397" s="10"/>
      <c r="BS397" s="10"/>
      <c r="BT397" s="10"/>
      <c r="BU397" s="10"/>
      <c r="BV397" s="10"/>
      <c r="BW397" s="10"/>
      <c r="BX397" s="10"/>
      <c r="BY397" s="10"/>
      <c r="BZ397" s="10"/>
      <c r="CA397" s="10"/>
      <c r="CB397" s="10"/>
      <c r="CC397" s="10"/>
      <c r="CD397" s="10"/>
      <c r="CE397" s="10"/>
      <c r="CF397" s="10"/>
      <c r="CG397" s="10"/>
      <c r="CH397" s="10"/>
      <c r="CI397" s="10"/>
      <c r="CJ397" s="10"/>
      <c r="CK397" s="10"/>
      <c r="CL397" s="10"/>
      <c r="CM397" s="10"/>
      <c r="CN397" s="10"/>
      <c r="CO397" s="10"/>
      <c r="CP397" s="10"/>
      <c r="CQ397" s="10"/>
      <c r="CR397" s="10"/>
      <c r="CS397" s="10"/>
      <c r="CT397" s="10"/>
      <c r="CU397" s="10"/>
      <c r="CV397" s="10"/>
      <c r="CW397" s="10"/>
      <c r="CX397" s="10"/>
      <c r="CY397" s="10"/>
      <c r="CZ397" s="10"/>
      <c r="DA397" s="10"/>
      <c r="DB397" s="10"/>
      <c r="DC397" s="10"/>
      <c r="DD397" s="10"/>
      <c r="DE397" s="10"/>
      <c r="DF397" s="10"/>
      <c r="DG397" s="10"/>
      <c r="DH397" s="10"/>
      <c r="DI397" s="10"/>
      <c r="DJ397" s="10"/>
      <c r="DK397" s="10"/>
      <c r="DL397" s="10"/>
      <c r="DM397" s="10"/>
      <c r="DN397" s="10"/>
      <c r="DO397" s="10"/>
      <c r="DP397" s="10"/>
      <c r="DQ397" s="10"/>
      <c r="DR397" s="10"/>
    </row>
    <row r="398" spans="1:122" x14ac:dyDescent="0.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0"/>
      <c r="BC398" s="10"/>
      <c r="BD398" s="10"/>
      <c r="BE398" s="10"/>
      <c r="BF398" s="10"/>
      <c r="BG398" s="10"/>
      <c r="BH398" s="10"/>
      <c r="BI398" s="10"/>
      <c r="BJ398" s="10"/>
      <c r="BK398" s="10"/>
      <c r="BL398" s="10"/>
      <c r="BM398" s="10"/>
      <c r="BN398" s="10"/>
      <c r="BO398" s="10"/>
      <c r="BP398" s="10"/>
      <c r="BQ398" s="10"/>
      <c r="BR398" s="10"/>
      <c r="BS398" s="10"/>
      <c r="BT398" s="10"/>
      <c r="BU398" s="10"/>
      <c r="BV398" s="10"/>
      <c r="BW398" s="10"/>
      <c r="BX398" s="10"/>
      <c r="BY398" s="10"/>
      <c r="BZ398" s="10"/>
      <c r="CA398" s="10"/>
      <c r="CB398" s="10"/>
      <c r="CC398" s="10"/>
      <c r="CD398" s="10"/>
      <c r="CE398" s="10"/>
      <c r="CF398" s="10"/>
      <c r="CG398" s="10"/>
      <c r="CH398" s="10"/>
      <c r="CI398" s="10"/>
      <c r="CJ398" s="10"/>
      <c r="CK398" s="10"/>
      <c r="CL398" s="10"/>
      <c r="CM398" s="10"/>
      <c r="CN398" s="10"/>
      <c r="CO398" s="10"/>
      <c r="CP398" s="10"/>
      <c r="CQ398" s="10"/>
      <c r="CR398" s="10"/>
      <c r="CS398" s="10"/>
      <c r="CT398" s="10"/>
      <c r="CU398" s="10"/>
      <c r="CV398" s="10"/>
      <c r="CW398" s="10"/>
      <c r="CX398" s="10"/>
      <c r="CY398" s="10"/>
      <c r="CZ398" s="10"/>
      <c r="DA398" s="10"/>
      <c r="DB398" s="10"/>
      <c r="DC398" s="10"/>
      <c r="DD398" s="10"/>
      <c r="DE398" s="10"/>
      <c r="DF398" s="10"/>
      <c r="DG398" s="10"/>
      <c r="DH398" s="10"/>
      <c r="DI398" s="10"/>
      <c r="DJ398" s="10"/>
      <c r="DK398" s="10"/>
      <c r="DL398" s="10"/>
      <c r="DM398" s="10"/>
      <c r="DN398" s="10"/>
      <c r="DO398" s="10"/>
      <c r="DP398" s="10"/>
      <c r="DQ398" s="10"/>
      <c r="DR398" s="10"/>
    </row>
    <row r="399" spans="1:122" x14ac:dyDescent="0.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0"/>
      <c r="BC399" s="10"/>
      <c r="BD399" s="10"/>
      <c r="BE399" s="10"/>
      <c r="BF399" s="10"/>
      <c r="BG399" s="10"/>
      <c r="BH399" s="10"/>
      <c r="BI399" s="10"/>
      <c r="BJ399" s="10"/>
      <c r="BK399" s="10"/>
      <c r="BL399" s="10"/>
      <c r="BM399" s="10"/>
      <c r="BN399" s="10"/>
      <c r="BO399" s="10"/>
      <c r="BP399" s="10"/>
      <c r="BQ399" s="10"/>
      <c r="BR399" s="10"/>
      <c r="BS399" s="10"/>
      <c r="BT399" s="10"/>
      <c r="BU399" s="10"/>
      <c r="BV399" s="10"/>
      <c r="BW399" s="10"/>
      <c r="BX399" s="10"/>
      <c r="BY399" s="10"/>
      <c r="BZ399" s="10"/>
      <c r="CA399" s="10"/>
      <c r="CB399" s="10"/>
      <c r="CC399" s="10"/>
      <c r="CD399" s="10"/>
      <c r="CE399" s="10"/>
      <c r="CF399" s="10"/>
      <c r="CG399" s="10"/>
      <c r="CH399" s="10"/>
      <c r="CI399" s="10"/>
      <c r="CJ399" s="10"/>
      <c r="CK399" s="10"/>
      <c r="CL399" s="10"/>
      <c r="CM399" s="10"/>
      <c r="CN399" s="10"/>
      <c r="CO399" s="10"/>
      <c r="CP399" s="10"/>
      <c r="CQ399" s="10"/>
      <c r="CR399" s="10"/>
      <c r="CS399" s="10"/>
      <c r="CT399" s="10"/>
      <c r="CU399" s="10"/>
      <c r="CV399" s="10"/>
      <c r="CW399" s="10"/>
      <c r="CX399" s="10"/>
      <c r="CY399" s="10"/>
      <c r="CZ399" s="10"/>
      <c r="DA399" s="10"/>
      <c r="DB399" s="10"/>
      <c r="DC399" s="10"/>
      <c r="DD399" s="10"/>
      <c r="DE399" s="10"/>
      <c r="DF399" s="10"/>
      <c r="DG399" s="10"/>
      <c r="DH399" s="10"/>
      <c r="DI399" s="10"/>
      <c r="DJ399" s="10"/>
      <c r="DK399" s="10"/>
      <c r="DL399" s="10"/>
      <c r="DM399" s="10"/>
      <c r="DN399" s="10"/>
      <c r="DO399" s="10"/>
      <c r="DP399" s="10"/>
      <c r="DQ399" s="10"/>
      <c r="DR399" s="10"/>
    </row>
    <row r="400" spans="1:122" x14ac:dyDescent="0.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0"/>
      <c r="BC400" s="10"/>
      <c r="BD400" s="10"/>
      <c r="BE400" s="10"/>
      <c r="BF400" s="10"/>
      <c r="BG400" s="10"/>
      <c r="BH400" s="10"/>
      <c r="BI400" s="10"/>
      <c r="BJ400" s="10"/>
      <c r="BK400" s="10"/>
      <c r="BL400" s="10"/>
      <c r="BM400" s="10"/>
      <c r="BN400" s="10"/>
      <c r="BO400" s="10"/>
      <c r="BP400" s="10"/>
      <c r="BQ400" s="10"/>
      <c r="BR400" s="10"/>
      <c r="BS400" s="10"/>
      <c r="BT400" s="10"/>
      <c r="BU400" s="10"/>
      <c r="BV400" s="10"/>
      <c r="BW400" s="10"/>
      <c r="BX400" s="10"/>
      <c r="BY400" s="10"/>
      <c r="BZ400" s="10"/>
      <c r="CA400" s="10"/>
      <c r="CB400" s="10"/>
      <c r="CC400" s="10"/>
      <c r="CD400" s="10"/>
      <c r="CE400" s="10"/>
      <c r="CF400" s="10"/>
      <c r="CG400" s="10"/>
      <c r="CH400" s="10"/>
      <c r="CI400" s="10"/>
      <c r="CJ400" s="10"/>
      <c r="CK400" s="10"/>
      <c r="CL400" s="10"/>
      <c r="CM400" s="10"/>
      <c r="CN400" s="10"/>
      <c r="CO400" s="10"/>
      <c r="CP400" s="10"/>
      <c r="CQ400" s="10"/>
      <c r="CR400" s="10"/>
      <c r="CS400" s="10"/>
      <c r="CT400" s="10"/>
      <c r="CU400" s="10"/>
      <c r="CV400" s="10"/>
      <c r="CW400" s="10"/>
      <c r="CX400" s="10"/>
      <c r="CY400" s="10"/>
      <c r="CZ400" s="10"/>
      <c r="DA400" s="10"/>
      <c r="DB400" s="10"/>
      <c r="DC400" s="10"/>
      <c r="DD400" s="10"/>
      <c r="DE400" s="10"/>
      <c r="DF400" s="10"/>
      <c r="DG400" s="10"/>
      <c r="DH400" s="10"/>
      <c r="DI400" s="10"/>
      <c r="DJ400" s="10"/>
      <c r="DK400" s="10"/>
      <c r="DL400" s="10"/>
      <c r="DM400" s="10"/>
      <c r="DN400" s="10"/>
      <c r="DO400" s="10"/>
      <c r="DP400" s="10"/>
      <c r="DQ400" s="10"/>
      <c r="DR400" s="10"/>
    </row>
    <row r="401" spans="1:122" x14ac:dyDescent="0.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0"/>
      <c r="BC401" s="10"/>
      <c r="BD401" s="10"/>
      <c r="BE401" s="10"/>
      <c r="BF401" s="10"/>
      <c r="BG401" s="10"/>
      <c r="BH401" s="10"/>
      <c r="BI401" s="10"/>
      <c r="BJ401" s="10"/>
      <c r="BK401" s="10"/>
      <c r="BL401" s="10"/>
      <c r="BM401" s="10"/>
      <c r="BN401" s="10"/>
      <c r="BO401" s="10"/>
      <c r="BP401" s="10"/>
      <c r="BQ401" s="10"/>
      <c r="BR401" s="10"/>
      <c r="BS401" s="10"/>
      <c r="BT401" s="10"/>
      <c r="BU401" s="10"/>
      <c r="BV401" s="10"/>
      <c r="BW401" s="10"/>
      <c r="BX401" s="10"/>
      <c r="BY401" s="10"/>
      <c r="BZ401" s="10"/>
      <c r="CA401" s="10"/>
      <c r="CB401" s="10"/>
      <c r="CC401" s="10"/>
      <c r="CD401" s="10"/>
      <c r="CE401" s="10"/>
      <c r="CF401" s="10"/>
      <c r="CG401" s="10"/>
      <c r="CH401" s="10"/>
      <c r="CI401" s="10"/>
      <c r="CJ401" s="10"/>
      <c r="CK401" s="10"/>
      <c r="CL401" s="10"/>
      <c r="CM401" s="10"/>
      <c r="CN401" s="10"/>
      <c r="CO401" s="10"/>
      <c r="CP401" s="10"/>
      <c r="CQ401" s="10"/>
      <c r="CR401" s="10"/>
      <c r="CS401" s="10"/>
      <c r="CT401" s="10"/>
      <c r="CU401" s="10"/>
      <c r="CV401" s="10"/>
      <c r="CW401" s="10"/>
      <c r="CX401" s="10"/>
      <c r="CY401" s="10"/>
      <c r="CZ401" s="10"/>
      <c r="DA401" s="10"/>
      <c r="DB401" s="10"/>
      <c r="DC401" s="10"/>
      <c r="DD401" s="10"/>
      <c r="DE401" s="10"/>
      <c r="DF401" s="10"/>
      <c r="DG401" s="10"/>
      <c r="DH401" s="10"/>
      <c r="DI401" s="10"/>
      <c r="DJ401" s="10"/>
      <c r="DK401" s="10"/>
      <c r="DL401" s="10"/>
      <c r="DM401" s="10"/>
      <c r="DN401" s="10"/>
      <c r="DO401" s="10"/>
      <c r="DP401" s="10"/>
      <c r="DQ401" s="10"/>
      <c r="DR401" s="10"/>
    </row>
    <row r="402" spans="1:122" x14ac:dyDescent="0.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0"/>
      <c r="BC402" s="10"/>
      <c r="BD402" s="10"/>
      <c r="BE402" s="10"/>
      <c r="BF402" s="10"/>
      <c r="BG402" s="10"/>
      <c r="BH402" s="10"/>
      <c r="BI402" s="10"/>
      <c r="BJ402" s="10"/>
      <c r="BK402" s="10"/>
      <c r="BL402" s="10"/>
      <c r="BM402" s="10"/>
      <c r="BN402" s="10"/>
      <c r="BO402" s="10"/>
      <c r="BP402" s="10"/>
      <c r="BQ402" s="10"/>
      <c r="BR402" s="10"/>
      <c r="BS402" s="10"/>
      <c r="BT402" s="10"/>
      <c r="BU402" s="10"/>
      <c r="BV402" s="10"/>
      <c r="BW402" s="10"/>
      <c r="BX402" s="10"/>
      <c r="BY402" s="10"/>
      <c r="BZ402" s="10"/>
      <c r="CA402" s="10"/>
      <c r="CB402" s="10"/>
      <c r="CC402" s="10"/>
      <c r="CD402" s="10"/>
      <c r="CE402" s="10"/>
      <c r="CF402" s="10"/>
      <c r="CG402" s="10"/>
      <c r="CH402" s="10"/>
      <c r="CI402" s="10"/>
      <c r="CJ402" s="10"/>
      <c r="CK402" s="10"/>
      <c r="CL402" s="10"/>
      <c r="CM402" s="10"/>
      <c r="CN402" s="10"/>
      <c r="CO402" s="10"/>
      <c r="CP402" s="10"/>
      <c r="CQ402" s="10"/>
      <c r="CR402" s="10"/>
      <c r="CS402" s="10"/>
      <c r="CT402" s="10"/>
      <c r="CU402" s="10"/>
      <c r="CV402" s="10"/>
      <c r="CW402" s="10"/>
      <c r="CX402" s="10"/>
      <c r="CY402" s="10"/>
      <c r="CZ402" s="10"/>
      <c r="DA402" s="10"/>
      <c r="DB402" s="10"/>
      <c r="DC402" s="10"/>
      <c r="DD402" s="10"/>
      <c r="DE402" s="10"/>
      <c r="DF402" s="10"/>
      <c r="DG402" s="10"/>
      <c r="DH402" s="10"/>
      <c r="DI402" s="10"/>
      <c r="DJ402" s="10"/>
      <c r="DK402" s="10"/>
      <c r="DL402" s="10"/>
      <c r="DM402" s="10"/>
      <c r="DN402" s="10"/>
      <c r="DO402" s="10"/>
      <c r="DP402" s="10"/>
      <c r="DQ402" s="10"/>
      <c r="DR402" s="10"/>
    </row>
    <row r="403" spans="1:122" x14ac:dyDescent="0.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0"/>
      <c r="BC403" s="10"/>
      <c r="BD403" s="10"/>
      <c r="BE403" s="10"/>
      <c r="BF403" s="10"/>
      <c r="BG403" s="10"/>
      <c r="BH403" s="10"/>
      <c r="BI403" s="10"/>
      <c r="BJ403" s="10"/>
      <c r="BK403" s="10"/>
      <c r="BL403" s="10"/>
      <c r="BM403" s="10"/>
      <c r="BN403" s="10"/>
      <c r="BO403" s="10"/>
      <c r="BP403" s="10"/>
      <c r="BQ403" s="10"/>
      <c r="BR403" s="10"/>
      <c r="BS403" s="10"/>
      <c r="BT403" s="10"/>
      <c r="BU403" s="10"/>
      <c r="BV403" s="10"/>
      <c r="BW403" s="10"/>
      <c r="BX403" s="10"/>
      <c r="BY403" s="10"/>
      <c r="BZ403" s="10"/>
      <c r="CA403" s="10"/>
      <c r="CB403" s="10"/>
      <c r="CC403" s="10"/>
      <c r="CD403" s="10"/>
      <c r="CE403" s="10"/>
      <c r="CF403" s="10"/>
      <c r="CG403" s="10"/>
      <c r="CH403" s="10"/>
      <c r="CI403" s="10"/>
      <c r="CJ403" s="10"/>
      <c r="CK403" s="10"/>
      <c r="CL403" s="10"/>
      <c r="CM403" s="10"/>
      <c r="CN403" s="10"/>
      <c r="CO403" s="10"/>
      <c r="CP403" s="10"/>
      <c r="CQ403" s="10"/>
      <c r="CR403" s="10"/>
      <c r="CS403" s="10"/>
      <c r="CT403" s="10"/>
      <c r="CU403" s="10"/>
      <c r="CV403" s="10"/>
      <c r="CW403" s="10"/>
      <c r="CX403" s="10"/>
      <c r="CY403" s="10"/>
      <c r="CZ403" s="10"/>
      <c r="DA403" s="10"/>
      <c r="DB403" s="10"/>
      <c r="DC403" s="10"/>
      <c r="DD403" s="10"/>
      <c r="DE403" s="10"/>
      <c r="DF403" s="10"/>
      <c r="DG403" s="10"/>
      <c r="DH403" s="10"/>
      <c r="DI403" s="10"/>
      <c r="DJ403" s="10"/>
      <c r="DK403" s="10"/>
      <c r="DL403" s="10"/>
      <c r="DM403" s="10"/>
      <c r="DN403" s="10"/>
      <c r="DO403" s="10"/>
      <c r="DP403" s="10"/>
      <c r="DQ403" s="10"/>
      <c r="DR403" s="10"/>
    </row>
    <row r="404" spans="1:122" x14ac:dyDescent="0.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0"/>
      <c r="BC404" s="10"/>
      <c r="BD404" s="10"/>
      <c r="BE404" s="10"/>
      <c r="BF404" s="10"/>
      <c r="BG404" s="10"/>
      <c r="BH404" s="10"/>
      <c r="BI404" s="10"/>
      <c r="BJ404" s="10"/>
      <c r="BK404" s="10"/>
      <c r="BL404" s="10"/>
      <c r="BM404" s="10"/>
      <c r="BN404" s="10"/>
      <c r="BO404" s="10"/>
      <c r="BP404" s="10"/>
      <c r="BQ404" s="10"/>
      <c r="BR404" s="10"/>
      <c r="BS404" s="10"/>
      <c r="BT404" s="10"/>
      <c r="BU404" s="10"/>
      <c r="BV404" s="10"/>
      <c r="BW404" s="10"/>
      <c r="BX404" s="10"/>
      <c r="BY404" s="10"/>
      <c r="BZ404" s="10"/>
      <c r="CA404" s="10"/>
      <c r="CB404" s="10"/>
      <c r="CC404" s="10"/>
      <c r="CD404" s="10"/>
      <c r="CE404" s="10"/>
      <c r="CF404" s="10"/>
      <c r="CG404" s="10"/>
      <c r="CH404" s="10"/>
      <c r="CI404" s="10"/>
      <c r="CJ404" s="10"/>
      <c r="CK404" s="10"/>
      <c r="CL404" s="10"/>
      <c r="CM404" s="10"/>
      <c r="CN404" s="10"/>
      <c r="CO404" s="10"/>
      <c r="CP404" s="10"/>
      <c r="CQ404" s="10"/>
      <c r="CR404" s="10"/>
      <c r="CS404" s="10"/>
      <c r="CT404" s="10"/>
      <c r="CU404" s="10"/>
      <c r="CV404" s="10"/>
      <c r="CW404" s="10"/>
      <c r="CX404" s="10"/>
      <c r="CY404" s="10"/>
      <c r="CZ404" s="10"/>
      <c r="DA404" s="10"/>
      <c r="DB404" s="10"/>
      <c r="DC404" s="10"/>
      <c r="DD404" s="10"/>
      <c r="DE404" s="10"/>
      <c r="DF404" s="10"/>
      <c r="DG404" s="10"/>
      <c r="DH404" s="10"/>
      <c r="DI404" s="10"/>
      <c r="DJ404" s="10"/>
      <c r="DK404" s="10"/>
      <c r="DL404" s="10"/>
      <c r="DM404" s="10"/>
      <c r="DN404" s="10"/>
      <c r="DO404" s="10"/>
      <c r="DP404" s="10"/>
      <c r="DQ404" s="10"/>
      <c r="DR404" s="10"/>
    </row>
    <row r="405" spans="1:122" x14ac:dyDescent="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0"/>
      <c r="BC405" s="10"/>
      <c r="BD405" s="10"/>
      <c r="BE405" s="10"/>
      <c r="BF405" s="10"/>
      <c r="BG405" s="10"/>
      <c r="BH405" s="10"/>
      <c r="BI405" s="10"/>
      <c r="BJ405" s="10"/>
      <c r="BK405" s="10"/>
      <c r="BL405" s="10"/>
      <c r="BM405" s="10"/>
      <c r="BN405" s="10"/>
      <c r="BO405" s="10"/>
      <c r="BP405" s="10"/>
      <c r="BQ405" s="10"/>
      <c r="BR405" s="10"/>
      <c r="BS405" s="10"/>
      <c r="BT405" s="10"/>
      <c r="BU405" s="10"/>
      <c r="BV405" s="10"/>
      <c r="BW405" s="10"/>
      <c r="BX405" s="10"/>
      <c r="BY405" s="10"/>
      <c r="BZ405" s="10"/>
      <c r="CA405" s="10"/>
      <c r="CB405" s="10"/>
      <c r="CC405" s="10"/>
      <c r="CD405" s="10"/>
      <c r="CE405" s="10"/>
      <c r="CF405" s="10"/>
      <c r="CG405" s="10"/>
      <c r="CH405" s="10"/>
      <c r="CI405" s="10"/>
      <c r="CJ405" s="10"/>
      <c r="CK405" s="10"/>
      <c r="CL405" s="10"/>
      <c r="CM405" s="10"/>
      <c r="CN405" s="10"/>
      <c r="CO405" s="10"/>
      <c r="CP405" s="10"/>
      <c r="CQ405" s="10"/>
      <c r="CR405" s="10"/>
      <c r="CS405" s="10"/>
      <c r="CT405" s="10"/>
      <c r="CU405" s="10"/>
      <c r="CV405" s="10"/>
      <c r="CW405" s="10"/>
      <c r="CX405" s="10"/>
      <c r="CY405" s="10"/>
      <c r="CZ405" s="10"/>
      <c r="DA405" s="10"/>
      <c r="DB405" s="10"/>
      <c r="DC405" s="10"/>
      <c r="DD405" s="10"/>
      <c r="DE405" s="10"/>
      <c r="DF405" s="10"/>
      <c r="DG405" s="10"/>
      <c r="DH405" s="10"/>
      <c r="DI405" s="10"/>
      <c r="DJ405" s="10"/>
      <c r="DK405" s="10"/>
      <c r="DL405" s="10"/>
      <c r="DM405" s="10"/>
      <c r="DN405" s="10"/>
      <c r="DO405" s="10"/>
      <c r="DP405" s="10"/>
      <c r="DQ405" s="10"/>
      <c r="DR405" s="10"/>
    </row>
    <row r="406" spans="1:122" x14ac:dyDescent="0.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0"/>
      <c r="BC406" s="10"/>
      <c r="BD406" s="10"/>
      <c r="BE406" s="10"/>
      <c r="BF406" s="10"/>
      <c r="BG406" s="10"/>
      <c r="BH406" s="10"/>
      <c r="BI406" s="10"/>
      <c r="BJ406" s="10"/>
      <c r="BK406" s="10"/>
      <c r="BL406" s="10"/>
      <c r="BM406" s="10"/>
      <c r="BN406" s="10"/>
      <c r="BO406" s="10"/>
      <c r="BP406" s="10"/>
      <c r="BQ406" s="10"/>
      <c r="BR406" s="10"/>
      <c r="BS406" s="10"/>
      <c r="BT406" s="10"/>
      <c r="BU406" s="10"/>
      <c r="BV406" s="10"/>
      <c r="BW406" s="10"/>
      <c r="BX406" s="10"/>
      <c r="BY406" s="10"/>
      <c r="BZ406" s="10"/>
      <c r="CA406" s="10"/>
      <c r="CB406" s="10"/>
      <c r="CC406" s="10"/>
      <c r="CD406" s="10"/>
      <c r="CE406" s="10"/>
      <c r="CF406" s="10"/>
      <c r="CG406" s="10"/>
      <c r="CH406" s="10"/>
      <c r="CI406" s="10"/>
      <c r="CJ406" s="10"/>
      <c r="CK406" s="10"/>
      <c r="CL406" s="10"/>
      <c r="CM406" s="10"/>
      <c r="CN406" s="10"/>
      <c r="CO406" s="10"/>
      <c r="CP406" s="10"/>
      <c r="CQ406" s="10"/>
      <c r="CR406" s="10"/>
      <c r="CS406" s="10"/>
      <c r="CT406" s="10"/>
      <c r="CU406" s="10"/>
      <c r="CV406" s="10"/>
      <c r="CW406" s="10"/>
      <c r="CX406" s="10"/>
      <c r="CY406" s="10"/>
      <c r="CZ406" s="10"/>
      <c r="DA406" s="10"/>
      <c r="DB406" s="10"/>
      <c r="DC406" s="10"/>
      <c r="DD406" s="10"/>
      <c r="DE406" s="10"/>
      <c r="DF406" s="10"/>
      <c r="DG406" s="10"/>
      <c r="DH406" s="10"/>
      <c r="DI406" s="10"/>
      <c r="DJ406" s="10"/>
      <c r="DK406" s="10"/>
      <c r="DL406" s="10"/>
      <c r="DM406" s="10"/>
      <c r="DN406" s="10"/>
      <c r="DO406" s="10"/>
      <c r="DP406" s="10"/>
      <c r="DQ406" s="10"/>
      <c r="DR406" s="10"/>
    </row>
    <row r="407" spans="1:122" x14ac:dyDescent="0.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0"/>
      <c r="BC407" s="10"/>
      <c r="BD407" s="10"/>
      <c r="BE407" s="10"/>
      <c r="BF407" s="10"/>
      <c r="BG407" s="10"/>
      <c r="BH407" s="10"/>
      <c r="BI407" s="10"/>
      <c r="BJ407" s="10"/>
      <c r="BK407" s="10"/>
      <c r="BL407" s="10"/>
      <c r="BM407" s="10"/>
      <c r="BN407" s="10"/>
      <c r="BO407" s="10"/>
      <c r="BP407" s="10"/>
      <c r="BQ407" s="10"/>
      <c r="BR407" s="10"/>
      <c r="BS407" s="10"/>
      <c r="BT407" s="10"/>
      <c r="BU407" s="10"/>
      <c r="BV407" s="10"/>
      <c r="BW407" s="10"/>
      <c r="BX407" s="10"/>
      <c r="BY407" s="10"/>
      <c r="BZ407" s="10"/>
      <c r="CA407" s="10"/>
      <c r="CB407" s="10"/>
      <c r="CC407" s="10"/>
      <c r="CD407" s="10"/>
      <c r="CE407" s="10"/>
      <c r="CF407" s="10"/>
      <c r="CG407" s="10"/>
      <c r="CH407" s="10"/>
      <c r="CI407" s="10"/>
      <c r="CJ407" s="10"/>
      <c r="CK407" s="10"/>
      <c r="CL407" s="10"/>
      <c r="CM407" s="10"/>
      <c r="CN407" s="10"/>
      <c r="CO407" s="10"/>
      <c r="CP407" s="10"/>
      <c r="CQ407" s="10"/>
      <c r="CR407" s="10"/>
      <c r="CS407" s="10"/>
      <c r="CT407" s="10"/>
      <c r="CU407" s="10"/>
      <c r="CV407" s="10"/>
      <c r="CW407" s="10"/>
      <c r="CX407" s="10"/>
      <c r="CY407" s="10"/>
      <c r="CZ407" s="10"/>
      <c r="DA407" s="10"/>
      <c r="DB407" s="10"/>
      <c r="DC407" s="10"/>
      <c r="DD407" s="10"/>
      <c r="DE407" s="10"/>
      <c r="DF407" s="10"/>
      <c r="DG407" s="10"/>
      <c r="DH407" s="10"/>
      <c r="DI407" s="10"/>
      <c r="DJ407" s="10"/>
      <c r="DK407" s="10"/>
      <c r="DL407" s="10"/>
      <c r="DM407" s="10"/>
      <c r="DN407" s="10"/>
      <c r="DO407" s="10"/>
      <c r="DP407" s="10"/>
      <c r="DQ407" s="10"/>
      <c r="DR407" s="10"/>
    </row>
    <row r="408" spans="1:122" x14ac:dyDescent="0.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0"/>
      <c r="BC408" s="10"/>
      <c r="BD408" s="10"/>
      <c r="BE408" s="10"/>
      <c r="BF408" s="10"/>
      <c r="BG408" s="10"/>
      <c r="BH408" s="10"/>
      <c r="BI408" s="10"/>
      <c r="BJ408" s="10"/>
      <c r="BK408" s="10"/>
      <c r="BL408" s="10"/>
      <c r="BM408" s="10"/>
      <c r="BN408" s="10"/>
      <c r="BO408" s="10"/>
      <c r="BP408" s="10"/>
      <c r="BQ408" s="10"/>
      <c r="BR408" s="10"/>
      <c r="BS408" s="10"/>
      <c r="BT408" s="10"/>
      <c r="BU408" s="10"/>
      <c r="BV408" s="10"/>
      <c r="BW408" s="10"/>
      <c r="BX408" s="10"/>
      <c r="BY408" s="10"/>
      <c r="BZ408" s="10"/>
      <c r="CA408" s="10"/>
      <c r="CB408" s="10"/>
      <c r="CC408" s="10"/>
      <c r="CD408" s="10"/>
      <c r="CE408" s="10"/>
      <c r="CF408" s="10"/>
      <c r="CG408" s="10"/>
      <c r="CH408" s="10"/>
      <c r="CI408" s="10"/>
      <c r="CJ408" s="10"/>
      <c r="CK408" s="10"/>
      <c r="CL408" s="10"/>
      <c r="CM408" s="10"/>
      <c r="CN408" s="10"/>
      <c r="CO408" s="10"/>
      <c r="CP408" s="10"/>
      <c r="CQ408" s="10"/>
      <c r="CR408" s="10"/>
      <c r="CS408" s="10"/>
      <c r="CT408" s="10"/>
      <c r="CU408" s="10"/>
      <c r="CV408" s="10"/>
      <c r="CW408" s="10"/>
      <c r="CX408" s="10"/>
      <c r="CY408" s="10"/>
      <c r="CZ408" s="10"/>
      <c r="DA408" s="10"/>
      <c r="DB408" s="10"/>
      <c r="DC408" s="10"/>
      <c r="DD408" s="10"/>
      <c r="DE408" s="10"/>
      <c r="DF408" s="10"/>
      <c r="DG408" s="10"/>
      <c r="DH408" s="10"/>
      <c r="DI408" s="10"/>
      <c r="DJ408" s="10"/>
      <c r="DK408" s="10"/>
      <c r="DL408" s="10"/>
      <c r="DM408" s="10"/>
      <c r="DN408" s="10"/>
      <c r="DO408" s="10"/>
      <c r="DP408" s="10"/>
      <c r="DQ408" s="10"/>
      <c r="DR408" s="10"/>
    </row>
    <row r="409" spans="1:122" x14ac:dyDescent="0.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0"/>
      <c r="BC409" s="10"/>
      <c r="BD409" s="10"/>
      <c r="BE409" s="10"/>
      <c r="BF409" s="10"/>
      <c r="BG409" s="10"/>
      <c r="BH409" s="10"/>
      <c r="BI409" s="10"/>
      <c r="BJ409" s="10"/>
      <c r="BK409" s="10"/>
      <c r="BL409" s="10"/>
      <c r="BM409" s="10"/>
      <c r="BN409" s="10"/>
      <c r="BO409" s="10"/>
      <c r="BP409" s="10"/>
      <c r="BQ409" s="10"/>
      <c r="BR409" s="10"/>
      <c r="BS409" s="10"/>
      <c r="BT409" s="10"/>
      <c r="BU409" s="10"/>
      <c r="BV409" s="10"/>
      <c r="BW409" s="10"/>
      <c r="BX409" s="10"/>
      <c r="BY409" s="10"/>
      <c r="BZ409" s="10"/>
      <c r="CA409" s="10"/>
      <c r="CB409" s="10"/>
      <c r="CC409" s="10"/>
      <c r="CD409" s="10"/>
      <c r="CE409" s="10"/>
      <c r="CF409" s="10"/>
      <c r="CG409" s="10"/>
      <c r="CH409" s="10"/>
      <c r="CI409" s="10"/>
      <c r="CJ409" s="10"/>
      <c r="CK409" s="10"/>
      <c r="CL409" s="10"/>
      <c r="CM409" s="10"/>
      <c r="CN409" s="10"/>
      <c r="CO409" s="10"/>
      <c r="CP409" s="10"/>
      <c r="CQ409" s="10"/>
      <c r="CR409" s="10"/>
      <c r="CS409" s="10"/>
      <c r="CT409" s="10"/>
      <c r="CU409" s="10"/>
      <c r="CV409" s="10"/>
      <c r="CW409" s="10"/>
      <c r="CX409" s="10"/>
      <c r="CY409" s="10"/>
      <c r="CZ409" s="10"/>
      <c r="DA409" s="10"/>
      <c r="DB409" s="10"/>
      <c r="DC409" s="10"/>
      <c r="DD409" s="10"/>
      <c r="DE409" s="10"/>
      <c r="DF409" s="10"/>
      <c r="DG409" s="10"/>
      <c r="DH409" s="10"/>
      <c r="DI409" s="10"/>
      <c r="DJ409" s="10"/>
      <c r="DK409" s="10"/>
      <c r="DL409" s="10"/>
      <c r="DM409" s="10"/>
      <c r="DN409" s="10"/>
      <c r="DO409" s="10"/>
      <c r="DP409" s="10"/>
      <c r="DQ409" s="10"/>
      <c r="DR409" s="10"/>
    </row>
    <row r="410" spans="1:122" x14ac:dyDescent="0.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0"/>
      <c r="BC410" s="10"/>
      <c r="BD410" s="10"/>
      <c r="BE410" s="10"/>
      <c r="BF410" s="10"/>
      <c r="BG410" s="10"/>
      <c r="BH410" s="10"/>
      <c r="BI410" s="10"/>
      <c r="BJ410" s="10"/>
      <c r="BK410" s="10"/>
      <c r="BL410" s="10"/>
      <c r="BM410" s="10"/>
      <c r="BN410" s="10"/>
      <c r="BO410" s="10"/>
      <c r="BP410" s="10"/>
      <c r="BQ410" s="10"/>
      <c r="BR410" s="10"/>
      <c r="BS410" s="10"/>
      <c r="BT410" s="10"/>
      <c r="BU410" s="10"/>
      <c r="BV410" s="10"/>
      <c r="BW410" s="10"/>
      <c r="BX410" s="10"/>
      <c r="BY410" s="10"/>
      <c r="BZ410" s="10"/>
      <c r="CA410" s="10"/>
      <c r="CB410" s="10"/>
      <c r="CC410" s="10"/>
      <c r="CD410" s="10"/>
      <c r="CE410" s="10"/>
      <c r="CF410" s="10"/>
      <c r="CG410" s="10"/>
      <c r="CH410" s="10"/>
      <c r="CI410" s="10"/>
      <c r="CJ410" s="10"/>
      <c r="CK410" s="10"/>
      <c r="CL410" s="10"/>
      <c r="CM410" s="10"/>
      <c r="CN410" s="10"/>
      <c r="CO410" s="10"/>
      <c r="CP410" s="10"/>
      <c r="CQ410" s="10"/>
      <c r="CR410" s="10"/>
      <c r="CS410" s="10"/>
      <c r="CT410" s="10"/>
      <c r="CU410" s="10"/>
      <c r="CV410" s="10"/>
      <c r="CW410" s="10"/>
      <c r="CX410" s="10"/>
      <c r="CY410" s="10"/>
      <c r="CZ410" s="10"/>
      <c r="DA410" s="10"/>
      <c r="DB410" s="10"/>
      <c r="DC410" s="10"/>
      <c r="DD410" s="10"/>
      <c r="DE410" s="10"/>
      <c r="DF410" s="10"/>
      <c r="DG410" s="10"/>
      <c r="DH410" s="10"/>
      <c r="DI410" s="10"/>
      <c r="DJ410" s="10"/>
      <c r="DK410" s="10"/>
      <c r="DL410" s="10"/>
      <c r="DM410" s="10"/>
      <c r="DN410" s="10"/>
      <c r="DO410" s="10"/>
      <c r="DP410" s="10"/>
      <c r="DQ410" s="10"/>
      <c r="DR410" s="10"/>
    </row>
    <row r="411" spans="1:122" x14ac:dyDescent="0.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0"/>
      <c r="BC411" s="10"/>
      <c r="BD411" s="10"/>
      <c r="BE411" s="10"/>
      <c r="BF411" s="10"/>
      <c r="BG411" s="10"/>
      <c r="BH411" s="10"/>
      <c r="BI411" s="10"/>
      <c r="BJ411" s="10"/>
      <c r="BK411" s="10"/>
      <c r="BL411" s="10"/>
      <c r="BM411" s="10"/>
      <c r="BN411" s="10"/>
      <c r="BO411" s="10"/>
      <c r="BP411" s="10"/>
      <c r="BQ411" s="10"/>
      <c r="BR411" s="10"/>
      <c r="BS411" s="10"/>
      <c r="BT411" s="10"/>
      <c r="BU411" s="10"/>
      <c r="BV411" s="10"/>
      <c r="BW411" s="10"/>
      <c r="BX411" s="10"/>
      <c r="BY411" s="10"/>
      <c r="BZ411" s="10"/>
      <c r="CA411" s="10"/>
      <c r="CB411" s="10"/>
      <c r="CC411" s="10"/>
      <c r="CD411" s="10"/>
      <c r="CE411" s="10"/>
      <c r="CF411" s="10"/>
      <c r="CG411" s="10"/>
      <c r="CH411" s="10"/>
      <c r="CI411" s="10"/>
      <c r="CJ411" s="10"/>
      <c r="CK411" s="10"/>
      <c r="CL411" s="10"/>
      <c r="CM411" s="10"/>
      <c r="CN411" s="10"/>
      <c r="CO411" s="10"/>
      <c r="CP411" s="10"/>
      <c r="CQ411" s="10"/>
      <c r="CR411" s="10"/>
      <c r="CS411" s="10"/>
      <c r="CT411" s="10"/>
      <c r="CU411" s="10"/>
      <c r="CV411" s="10"/>
      <c r="CW411" s="10"/>
      <c r="CX411" s="10"/>
      <c r="CY411" s="10"/>
      <c r="CZ411" s="10"/>
      <c r="DA411" s="10"/>
      <c r="DB411" s="10"/>
      <c r="DC411" s="10"/>
      <c r="DD411" s="10"/>
      <c r="DE411" s="10"/>
      <c r="DF411" s="10"/>
      <c r="DG411" s="10"/>
      <c r="DH411" s="10"/>
      <c r="DI411" s="10"/>
      <c r="DJ411" s="10"/>
      <c r="DK411" s="10"/>
      <c r="DL411" s="10"/>
      <c r="DM411" s="10"/>
      <c r="DN411" s="10"/>
      <c r="DO411" s="10"/>
      <c r="DP411" s="10"/>
      <c r="DQ411" s="10"/>
      <c r="DR411" s="10"/>
    </row>
    <row r="412" spans="1:122" x14ac:dyDescent="0.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0"/>
      <c r="BC412" s="10"/>
      <c r="BD412" s="10"/>
      <c r="BE412" s="10"/>
      <c r="BF412" s="10"/>
      <c r="BG412" s="10"/>
      <c r="BH412" s="10"/>
      <c r="BI412" s="10"/>
      <c r="BJ412" s="10"/>
      <c r="BK412" s="10"/>
      <c r="BL412" s="10"/>
      <c r="BM412" s="10"/>
      <c r="BN412" s="10"/>
      <c r="BO412" s="10"/>
      <c r="BP412" s="10"/>
      <c r="BQ412" s="10"/>
      <c r="BR412" s="10"/>
      <c r="BS412" s="10"/>
      <c r="BT412" s="10"/>
      <c r="BU412" s="10"/>
      <c r="BV412" s="10"/>
      <c r="BW412" s="10"/>
      <c r="BX412" s="10"/>
      <c r="BY412" s="10"/>
      <c r="BZ412" s="10"/>
      <c r="CA412" s="10"/>
      <c r="CB412" s="10"/>
      <c r="CC412" s="10"/>
      <c r="CD412" s="10"/>
      <c r="CE412" s="10"/>
      <c r="CF412" s="10"/>
      <c r="CG412" s="10"/>
      <c r="CH412" s="10"/>
      <c r="CI412" s="10"/>
      <c r="CJ412" s="10"/>
      <c r="CK412" s="10"/>
      <c r="CL412" s="10"/>
      <c r="CM412" s="10"/>
      <c r="CN412" s="10"/>
      <c r="CO412" s="10"/>
      <c r="CP412" s="10"/>
      <c r="CQ412" s="10"/>
      <c r="CR412" s="10"/>
      <c r="CS412" s="10"/>
      <c r="CT412" s="10"/>
      <c r="CU412" s="10"/>
      <c r="CV412" s="10"/>
      <c r="CW412" s="10"/>
      <c r="CX412" s="10"/>
      <c r="CY412" s="10"/>
      <c r="CZ412" s="10"/>
      <c r="DA412" s="10"/>
      <c r="DB412" s="10"/>
      <c r="DC412" s="10"/>
      <c r="DD412" s="10"/>
      <c r="DE412" s="10"/>
      <c r="DF412" s="10"/>
      <c r="DG412" s="10"/>
      <c r="DH412" s="10"/>
      <c r="DI412" s="10"/>
      <c r="DJ412" s="10"/>
      <c r="DK412" s="10"/>
      <c r="DL412" s="10"/>
      <c r="DM412" s="10"/>
      <c r="DN412" s="10"/>
      <c r="DO412" s="10"/>
      <c r="DP412" s="10"/>
      <c r="DQ412" s="10"/>
      <c r="DR412" s="10"/>
    </row>
    <row r="413" spans="1:122" x14ac:dyDescent="0.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0"/>
      <c r="BC413" s="10"/>
      <c r="BD413" s="10"/>
      <c r="BE413" s="10"/>
      <c r="BF413" s="10"/>
      <c r="BG413" s="10"/>
      <c r="BH413" s="10"/>
      <c r="BI413" s="10"/>
      <c r="BJ413" s="10"/>
      <c r="BK413" s="10"/>
      <c r="BL413" s="10"/>
      <c r="BM413" s="10"/>
      <c r="BN413" s="10"/>
      <c r="BO413" s="10"/>
      <c r="BP413" s="10"/>
      <c r="BQ413" s="10"/>
      <c r="BR413" s="10"/>
      <c r="BS413" s="10"/>
      <c r="BT413" s="10"/>
      <c r="BU413" s="10"/>
      <c r="BV413" s="10"/>
      <c r="BW413" s="10"/>
      <c r="BX413" s="10"/>
      <c r="BY413" s="10"/>
      <c r="BZ413" s="10"/>
      <c r="CA413" s="10"/>
      <c r="CB413" s="10"/>
      <c r="CC413" s="10"/>
      <c r="CD413" s="10"/>
      <c r="CE413" s="10"/>
      <c r="CF413" s="10"/>
      <c r="CG413" s="10"/>
      <c r="CH413" s="10"/>
      <c r="CI413" s="10"/>
      <c r="CJ413" s="10"/>
      <c r="CK413" s="10"/>
      <c r="CL413" s="10"/>
      <c r="CM413" s="10"/>
      <c r="CN413" s="10"/>
      <c r="CO413" s="10"/>
      <c r="CP413" s="10"/>
      <c r="CQ413" s="10"/>
      <c r="CR413" s="10"/>
      <c r="CS413" s="10"/>
      <c r="CT413" s="10"/>
      <c r="CU413" s="10"/>
      <c r="CV413" s="10"/>
      <c r="CW413" s="10"/>
      <c r="CX413" s="10"/>
      <c r="CY413" s="10"/>
      <c r="CZ413" s="10"/>
      <c r="DA413" s="10"/>
      <c r="DB413" s="10"/>
      <c r="DC413" s="10"/>
      <c r="DD413" s="10"/>
      <c r="DE413" s="10"/>
      <c r="DF413" s="10"/>
      <c r="DG413" s="10"/>
      <c r="DH413" s="10"/>
      <c r="DI413" s="10"/>
      <c r="DJ413" s="10"/>
      <c r="DK413" s="10"/>
      <c r="DL413" s="10"/>
      <c r="DM413" s="10"/>
      <c r="DN413" s="10"/>
      <c r="DO413" s="10"/>
      <c r="DP413" s="10"/>
      <c r="DQ413" s="10"/>
      <c r="DR413" s="10"/>
    </row>
    <row r="414" spans="1:122" x14ac:dyDescent="0.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0"/>
      <c r="BC414" s="10"/>
      <c r="BD414" s="10"/>
      <c r="BE414" s="10"/>
      <c r="BF414" s="10"/>
      <c r="BG414" s="10"/>
      <c r="BH414" s="10"/>
      <c r="BI414" s="10"/>
      <c r="BJ414" s="10"/>
      <c r="BK414" s="10"/>
      <c r="BL414" s="10"/>
      <c r="BM414" s="10"/>
      <c r="BN414" s="10"/>
      <c r="BO414" s="10"/>
      <c r="BP414" s="10"/>
      <c r="BQ414" s="10"/>
      <c r="BR414" s="10"/>
      <c r="BS414" s="10"/>
      <c r="BT414" s="10"/>
      <c r="BU414" s="10"/>
      <c r="BV414" s="10"/>
      <c r="BW414" s="10"/>
      <c r="BX414" s="10"/>
      <c r="BY414" s="10"/>
      <c r="BZ414" s="10"/>
      <c r="CA414" s="10"/>
      <c r="CB414" s="10"/>
      <c r="CC414" s="10"/>
      <c r="CD414" s="10"/>
      <c r="CE414" s="10"/>
      <c r="CF414" s="10"/>
      <c r="CG414" s="10"/>
      <c r="CH414" s="10"/>
      <c r="CI414" s="10"/>
      <c r="CJ414" s="10"/>
      <c r="CK414" s="10"/>
      <c r="CL414" s="10"/>
      <c r="CM414" s="10"/>
      <c r="CN414" s="10"/>
      <c r="CO414" s="10"/>
      <c r="CP414" s="10"/>
      <c r="CQ414" s="10"/>
      <c r="CR414" s="10"/>
      <c r="CS414" s="10"/>
      <c r="CT414" s="10"/>
      <c r="CU414" s="10"/>
      <c r="CV414" s="10"/>
      <c r="CW414" s="10"/>
      <c r="CX414" s="10"/>
      <c r="CY414" s="10"/>
      <c r="CZ414" s="10"/>
      <c r="DA414" s="10"/>
      <c r="DB414" s="10"/>
      <c r="DC414" s="10"/>
      <c r="DD414" s="10"/>
      <c r="DE414" s="10"/>
      <c r="DF414" s="10"/>
      <c r="DG414" s="10"/>
      <c r="DH414" s="10"/>
      <c r="DI414" s="10"/>
      <c r="DJ414" s="10"/>
      <c r="DK414" s="10"/>
      <c r="DL414" s="10"/>
      <c r="DM414" s="10"/>
      <c r="DN414" s="10"/>
      <c r="DO414" s="10"/>
      <c r="DP414" s="10"/>
      <c r="DQ414" s="10"/>
      <c r="DR414" s="10"/>
    </row>
    <row r="415" spans="1:122" x14ac:dyDescent="0.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0"/>
      <c r="BC415" s="10"/>
      <c r="BD415" s="10"/>
      <c r="BE415" s="10"/>
      <c r="BF415" s="10"/>
      <c r="BG415" s="10"/>
      <c r="BH415" s="10"/>
      <c r="BI415" s="10"/>
      <c r="BJ415" s="10"/>
      <c r="BK415" s="10"/>
      <c r="BL415" s="10"/>
      <c r="BM415" s="10"/>
      <c r="BN415" s="10"/>
      <c r="BO415" s="10"/>
      <c r="BP415" s="10"/>
      <c r="BQ415" s="10"/>
      <c r="BR415" s="10"/>
      <c r="BS415" s="10"/>
      <c r="BT415" s="10"/>
      <c r="BU415" s="10"/>
      <c r="BV415" s="10"/>
      <c r="BW415" s="10"/>
      <c r="BX415" s="10"/>
      <c r="BY415" s="10"/>
      <c r="BZ415" s="10"/>
      <c r="CA415" s="10"/>
      <c r="CB415" s="10"/>
      <c r="CC415" s="10"/>
      <c r="CD415" s="10"/>
      <c r="CE415" s="10"/>
      <c r="CF415" s="10"/>
      <c r="CG415" s="10"/>
      <c r="CH415" s="10"/>
      <c r="CI415" s="10"/>
      <c r="CJ415" s="10"/>
      <c r="CK415" s="10"/>
      <c r="CL415" s="10"/>
      <c r="CM415" s="10"/>
      <c r="CN415" s="10"/>
      <c r="CO415" s="10"/>
      <c r="CP415" s="10"/>
      <c r="CQ415" s="10"/>
      <c r="CR415" s="10"/>
      <c r="CS415" s="10"/>
      <c r="CT415" s="10"/>
      <c r="CU415" s="10"/>
      <c r="CV415" s="10"/>
      <c r="CW415" s="10"/>
      <c r="CX415" s="10"/>
      <c r="CY415" s="10"/>
      <c r="CZ415" s="10"/>
      <c r="DA415" s="10"/>
      <c r="DB415" s="10"/>
      <c r="DC415" s="10"/>
      <c r="DD415" s="10"/>
      <c r="DE415" s="10"/>
      <c r="DF415" s="10"/>
      <c r="DG415" s="10"/>
      <c r="DH415" s="10"/>
      <c r="DI415" s="10"/>
      <c r="DJ415" s="10"/>
      <c r="DK415" s="10"/>
      <c r="DL415" s="10"/>
      <c r="DM415" s="10"/>
      <c r="DN415" s="10"/>
      <c r="DO415" s="10"/>
      <c r="DP415" s="10"/>
      <c r="DQ415" s="10"/>
      <c r="DR415" s="10"/>
    </row>
    <row r="416" spans="1:122" x14ac:dyDescent="0.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0"/>
      <c r="BC416" s="10"/>
      <c r="BD416" s="10"/>
      <c r="BE416" s="10"/>
      <c r="BF416" s="10"/>
      <c r="BG416" s="10"/>
      <c r="BH416" s="10"/>
      <c r="BI416" s="10"/>
      <c r="BJ416" s="10"/>
      <c r="BK416" s="10"/>
      <c r="BL416" s="10"/>
      <c r="BM416" s="10"/>
      <c r="BN416" s="10"/>
      <c r="BO416" s="10"/>
      <c r="BP416" s="10"/>
      <c r="BQ416" s="10"/>
      <c r="BR416" s="10"/>
      <c r="BS416" s="10"/>
      <c r="BT416" s="10"/>
      <c r="BU416" s="10"/>
      <c r="BV416" s="10"/>
      <c r="BW416" s="10"/>
      <c r="BX416" s="10"/>
      <c r="BY416" s="10"/>
      <c r="BZ416" s="10"/>
      <c r="CA416" s="10"/>
      <c r="CB416" s="10"/>
      <c r="CC416" s="10"/>
      <c r="CD416" s="10"/>
      <c r="CE416" s="10"/>
      <c r="CF416" s="10"/>
      <c r="CG416" s="10"/>
      <c r="CH416" s="10"/>
      <c r="CI416" s="10"/>
      <c r="CJ416" s="10"/>
      <c r="CK416" s="10"/>
      <c r="CL416" s="10"/>
      <c r="CM416" s="10"/>
      <c r="CN416" s="10"/>
      <c r="CO416" s="10"/>
      <c r="CP416" s="10"/>
      <c r="CQ416" s="10"/>
      <c r="CR416" s="10"/>
      <c r="CS416" s="10"/>
      <c r="CT416" s="10"/>
      <c r="CU416" s="10"/>
      <c r="CV416" s="10"/>
      <c r="CW416" s="10"/>
      <c r="CX416" s="10"/>
      <c r="CY416" s="10"/>
      <c r="CZ416" s="10"/>
      <c r="DA416" s="10"/>
      <c r="DB416" s="10"/>
      <c r="DC416" s="10"/>
      <c r="DD416" s="10"/>
      <c r="DE416" s="10"/>
      <c r="DF416" s="10"/>
      <c r="DG416" s="10"/>
      <c r="DH416" s="10"/>
      <c r="DI416" s="10"/>
      <c r="DJ416" s="10"/>
      <c r="DK416" s="10"/>
      <c r="DL416" s="10"/>
      <c r="DM416" s="10"/>
      <c r="DN416" s="10"/>
      <c r="DO416" s="10"/>
      <c r="DP416" s="10"/>
      <c r="DQ416" s="10"/>
      <c r="DR416" s="10"/>
    </row>
    <row r="417" spans="1:122" x14ac:dyDescent="0.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0"/>
      <c r="BC417" s="10"/>
      <c r="BD417" s="10"/>
      <c r="BE417" s="10"/>
      <c r="BF417" s="10"/>
      <c r="BG417" s="10"/>
      <c r="BH417" s="10"/>
      <c r="BI417" s="10"/>
      <c r="BJ417" s="10"/>
      <c r="BK417" s="10"/>
      <c r="BL417" s="10"/>
      <c r="BM417" s="10"/>
      <c r="BN417" s="10"/>
      <c r="BO417" s="10"/>
      <c r="BP417" s="10"/>
      <c r="BQ417" s="10"/>
      <c r="BR417" s="10"/>
      <c r="BS417" s="10"/>
      <c r="BT417" s="10"/>
      <c r="BU417" s="10"/>
      <c r="BV417" s="10"/>
      <c r="BW417" s="10"/>
      <c r="BX417" s="10"/>
      <c r="BY417" s="10"/>
      <c r="BZ417" s="10"/>
      <c r="CA417" s="10"/>
      <c r="CB417" s="10"/>
      <c r="CC417" s="10"/>
      <c r="CD417" s="10"/>
      <c r="CE417" s="10"/>
      <c r="CF417" s="10"/>
      <c r="CG417" s="10"/>
      <c r="CH417" s="10"/>
      <c r="CI417" s="10"/>
      <c r="CJ417" s="10"/>
      <c r="CK417" s="10"/>
      <c r="CL417" s="10"/>
      <c r="CM417" s="10"/>
      <c r="CN417" s="10"/>
      <c r="CO417" s="10"/>
      <c r="CP417" s="10"/>
      <c r="CQ417" s="10"/>
      <c r="CR417" s="10"/>
      <c r="CS417" s="10"/>
      <c r="CT417" s="10"/>
      <c r="CU417" s="10"/>
      <c r="CV417" s="10"/>
      <c r="CW417" s="10"/>
      <c r="CX417" s="10"/>
      <c r="CY417" s="10"/>
      <c r="CZ417" s="10"/>
      <c r="DA417" s="10"/>
      <c r="DB417" s="10"/>
      <c r="DC417" s="10"/>
      <c r="DD417" s="10"/>
      <c r="DE417" s="10"/>
      <c r="DF417" s="10"/>
      <c r="DG417" s="10"/>
      <c r="DH417" s="10"/>
      <c r="DI417" s="10"/>
      <c r="DJ417" s="10"/>
      <c r="DK417" s="10"/>
      <c r="DL417" s="10"/>
      <c r="DM417" s="10"/>
      <c r="DN417" s="10"/>
      <c r="DO417" s="10"/>
      <c r="DP417" s="10"/>
      <c r="DQ417" s="10"/>
      <c r="DR417" s="10"/>
    </row>
    <row r="418" spans="1:122" x14ac:dyDescent="0.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0"/>
      <c r="BC418" s="10"/>
      <c r="BD418" s="10"/>
      <c r="BE418" s="10"/>
      <c r="BF418" s="10"/>
      <c r="BG418" s="10"/>
      <c r="BH418" s="10"/>
      <c r="BI418" s="10"/>
      <c r="BJ418" s="10"/>
      <c r="BK418" s="10"/>
      <c r="BL418" s="10"/>
      <c r="BM418" s="10"/>
      <c r="BN418" s="10"/>
      <c r="BO418" s="10"/>
      <c r="BP418" s="10"/>
      <c r="BQ418" s="10"/>
      <c r="BR418" s="10"/>
      <c r="BS418" s="10"/>
      <c r="BT418" s="10"/>
      <c r="BU418" s="10"/>
      <c r="BV418" s="10"/>
      <c r="BW418" s="10"/>
      <c r="BX418" s="10"/>
      <c r="BY418" s="10"/>
      <c r="BZ418" s="10"/>
      <c r="CA418" s="10"/>
      <c r="CB418" s="10"/>
      <c r="CC418" s="10"/>
      <c r="CD418" s="10"/>
      <c r="CE418" s="10"/>
      <c r="CF418" s="10"/>
      <c r="CG418" s="10"/>
      <c r="CH418" s="10"/>
      <c r="CI418" s="10"/>
      <c r="CJ418" s="10"/>
      <c r="CK418" s="10"/>
      <c r="CL418" s="10"/>
      <c r="CM418" s="10"/>
      <c r="CN418" s="10"/>
      <c r="CO418" s="10"/>
      <c r="CP418" s="10"/>
      <c r="CQ418" s="10"/>
      <c r="CR418" s="10"/>
      <c r="CS418" s="10"/>
      <c r="CT418" s="10"/>
      <c r="CU418" s="10"/>
      <c r="CV418" s="10"/>
      <c r="CW418" s="10"/>
      <c r="CX418" s="10"/>
      <c r="CY418" s="10"/>
      <c r="CZ418" s="10"/>
      <c r="DA418" s="10"/>
      <c r="DB418" s="10"/>
      <c r="DC418" s="10"/>
      <c r="DD418" s="10"/>
      <c r="DE418" s="10"/>
      <c r="DF418" s="10"/>
      <c r="DG418" s="10"/>
      <c r="DH418" s="10"/>
      <c r="DI418" s="10"/>
      <c r="DJ418" s="10"/>
      <c r="DK418" s="10"/>
      <c r="DL418" s="10"/>
      <c r="DM418" s="10"/>
      <c r="DN418" s="10"/>
      <c r="DO418" s="10"/>
      <c r="DP418" s="10"/>
      <c r="DQ418" s="10"/>
      <c r="DR418" s="10"/>
    </row>
    <row r="419" spans="1:122" x14ac:dyDescent="0.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0"/>
      <c r="BC419" s="10"/>
      <c r="BD419" s="10"/>
      <c r="BE419" s="10"/>
      <c r="BF419" s="10"/>
      <c r="BG419" s="10"/>
      <c r="BH419" s="10"/>
      <c r="BI419" s="10"/>
      <c r="BJ419" s="10"/>
      <c r="BK419" s="10"/>
      <c r="BL419" s="10"/>
      <c r="BM419" s="10"/>
      <c r="BN419" s="10"/>
      <c r="BO419" s="10"/>
      <c r="BP419" s="10"/>
      <c r="BQ419" s="10"/>
      <c r="BR419" s="10"/>
      <c r="BS419" s="10"/>
      <c r="BT419" s="10"/>
      <c r="BU419" s="10"/>
      <c r="BV419" s="10"/>
      <c r="BW419" s="10"/>
      <c r="BX419" s="10"/>
      <c r="BY419" s="10"/>
      <c r="BZ419" s="10"/>
      <c r="CA419" s="10"/>
      <c r="CB419" s="10"/>
      <c r="CC419" s="10"/>
      <c r="CD419" s="10"/>
      <c r="CE419" s="10"/>
      <c r="CF419" s="10"/>
      <c r="CG419" s="10"/>
      <c r="CH419" s="10"/>
      <c r="CI419" s="10"/>
      <c r="CJ419" s="10"/>
      <c r="CK419" s="10"/>
      <c r="CL419" s="10"/>
      <c r="CM419" s="10"/>
      <c r="CN419" s="10"/>
      <c r="CO419" s="10"/>
      <c r="CP419" s="10"/>
      <c r="CQ419" s="10"/>
      <c r="CR419" s="10"/>
      <c r="CS419" s="10"/>
      <c r="CT419" s="10"/>
      <c r="CU419" s="10"/>
      <c r="CV419" s="10"/>
      <c r="CW419" s="10"/>
      <c r="CX419" s="10"/>
      <c r="CY419" s="10"/>
      <c r="CZ419" s="10"/>
      <c r="DA419" s="10"/>
      <c r="DB419" s="10"/>
      <c r="DC419" s="10"/>
      <c r="DD419" s="10"/>
      <c r="DE419" s="10"/>
      <c r="DF419" s="10"/>
      <c r="DG419" s="10"/>
      <c r="DH419" s="10"/>
      <c r="DI419" s="10"/>
      <c r="DJ419" s="10"/>
      <c r="DK419" s="10"/>
      <c r="DL419" s="10"/>
      <c r="DM419" s="10"/>
      <c r="DN419" s="10"/>
      <c r="DO419" s="10"/>
      <c r="DP419" s="10"/>
      <c r="DQ419" s="10"/>
      <c r="DR419" s="10"/>
    </row>
    <row r="420" spans="1:122" x14ac:dyDescent="0.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0"/>
      <c r="BC420" s="10"/>
      <c r="BD420" s="10"/>
      <c r="BE420" s="10"/>
      <c r="BF420" s="10"/>
      <c r="BG420" s="10"/>
      <c r="BH420" s="10"/>
      <c r="BI420" s="10"/>
      <c r="BJ420" s="10"/>
      <c r="BK420" s="10"/>
      <c r="BL420" s="10"/>
      <c r="BM420" s="10"/>
      <c r="BN420" s="10"/>
      <c r="BO420" s="10"/>
      <c r="BP420" s="10"/>
      <c r="BQ420" s="10"/>
      <c r="BR420" s="10"/>
      <c r="BS420" s="10"/>
      <c r="BT420" s="10"/>
      <c r="BU420" s="10"/>
      <c r="BV420" s="10"/>
      <c r="BW420" s="10"/>
      <c r="BX420" s="10"/>
      <c r="BY420" s="10"/>
      <c r="BZ420" s="10"/>
      <c r="CA420" s="10"/>
      <c r="CB420" s="10"/>
      <c r="CC420" s="10"/>
      <c r="CD420" s="10"/>
      <c r="CE420" s="10"/>
      <c r="CF420" s="10"/>
      <c r="CG420" s="10"/>
      <c r="CH420" s="10"/>
      <c r="CI420" s="10"/>
      <c r="CJ420" s="10"/>
      <c r="CK420" s="10"/>
      <c r="CL420" s="10"/>
      <c r="CM420" s="10"/>
      <c r="CN420" s="10"/>
      <c r="CO420" s="10"/>
      <c r="CP420" s="10"/>
      <c r="CQ420" s="10"/>
      <c r="CR420" s="10"/>
      <c r="CS420" s="10"/>
      <c r="CT420" s="10"/>
      <c r="CU420" s="10"/>
      <c r="CV420" s="10"/>
      <c r="CW420" s="10"/>
      <c r="CX420" s="10"/>
      <c r="CY420" s="10"/>
      <c r="CZ420" s="10"/>
      <c r="DA420" s="10"/>
      <c r="DB420" s="10"/>
      <c r="DC420" s="10"/>
      <c r="DD420" s="10"/>
      <c r="DE420" s="10"/>
      <c r="DF420" s="10"/>
      <c r="DG420" s="10"/>
      <c r="DH420" s="10"/>
      <c r="DI420" s="10"/>
      <c r="DJ420" s="10"/>
      <c r="DK420" s="10"/>
      <c r="DL420" s="10"/>
      <c r="DM420" s="10"/>
      <c r="DN420" s="10"/>
      <c r="DO420" s="10"/>
      <c r="DP420" s="10"/>
      <c r="DQ420" s="10"/>
      <c r="DR420" s="10"/>
    </row>
    <row r="421" spans="1:122" x14ac:dyDescent="0.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0"/>
      <c r="BC421" s="10"/>
      <c r="BD421" s="10"/>
      <c r="BE421" s="10"/>
      <c r="BF421" s="10"/>
      <c r="BG421" s="10"/>
      <c r="BH421" s="10"/>
      <c r="BI421" s="10"/>
      <c r="BJ421" s="10"/>
      <c r="BK421" s="10"/>
      <c r="BL421" s="10"/>
      <c r="BM421" s="10"/>
      <c r="BN421" s="10"/>
      <c r="BO421" s="10"/>
      <c r="BP421" s="10"/>
      <c r="BQ421" s="10"/>
      <c r="BR421" s="10"/>
      <c r="BS421" s="10"/>
      <c r="BT421" s="10"/>
      <c r="BU421" s="10"/>
      <c r="BV421" s="10"/>
      <c r="BW421" s="10"/>
      <c r="BX421" s="10"/>
      <c r="BY421" s="10"/>
      <c r="BZ421" s="10"/>
      <c r="CA421" s="10"/>
      <c r="CB421" s="10"/>
      <c r="CC421" s="10"/>
      <c r="CD421" s="10"/>
      <c r="CE421" s="10"/>
      <c r="CF421" s="10"/>
      <c r="CG421" s="10"/>
      <c r="CH421" s="10"/>
      <c r="CI421" s="10"/>
      <c r="CJ421" s="10"/>
      <c r="CK421" s="10"/>
      <c r="CL421" s="10"/>
      <c r="CM421" s="10"/>
      <c r="CN421" s="10"/>
      <c r="CO421" s="10"/>
      <c r="CP421" s="10"/>
      <c r="CQ421" s="10"/>
      <c r="CR421" s="10"/>
      <c r="CS421" s="10"/>
      <c r="CT421" s="10"/>
      <c r="CU421" s="10"/>
      <c r="CV421" s="10"/>
      <c r="CW421" s="10"/>
      <c r="CX421" s="10"/>
      <c r="CY421" s="10"/>
      <c r="CZ421" s="10"/>
      <c r="DA421" s="10"/>
      <c r="DB421" s="10"/>
      <c r="DC421" s="10"/>
      <c r="DD421" s="10"/>
      <c r="DE421" s="10"/>
      <c r="DF421" s="10"/>
      <c r="DG421" s="10"/>
      <c r="DH421" s="10"/>
      <c r="DI421" s="10"/>
      <c r="DJ421" s="10"/>
      <c r="DK421" s="10"/>
      <c r="DL421" s="10"/>
      <c r="DM421" s="10"/>
      <c r="DN421" s="10"/>
      <c r="DO421" s="10"/>
      <c r="DP421" s="10"/>
      <c r="DQ421" s="10"/>
      <c r="DR421" s="10"/>
    </row>
    <row r="422" spans="1:122" x14ac:dyDescent="0.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0"/>
      <c r="BC422" s="10"/>
      <c r="BD422" s="10"/>
      <c r="BE422" s="10"/>
      <c r="BF422" s="10"/>
      <c r="BG422" s="10"/>
      <c r="BH422" s="10"/>
      <c r="BI422" s="10"/>
      <c r="BJ422" s="10"/>
      <c r="BK422" s="10"/>
      <c r="BL422" s="10"/>
      <c r="BM422" s="10"/>
      <c r="BN422" s="10"/>
      <c r="BO422" s="10"/>
      <c r="BP422" s="10"/>
      <c r="BQ422" s="10"/>
      <c r="BR422" s="10"/>
      <c r="BS422" s="10"/>
      <c r="BT422" s="10"/>
      <c r="BU422" s="10"/>
      <c r="BV422" s="10"/>
      <c r="BW422" s="10"/>
      <c r="BX422" s="10"/>
      <c r="BY422" s="10"/>
      <c r="BZ422" s="10"/>
      <c r="CA422" s="10"/>
      <c r="CB422" s="10"/>
      <c r="CC422" s="10"/>
      <c r="CD422" s="10"/>
      <c r="CE422" s="10"/>
      <c r="CF422" s="10"/>
      <c r="CG422" s="10"/>
      <c r="CH422" s="10"/>
      <c r="CI422" s="10"/>
      <c r="CJ422" s="10"/>
      <c r="CK422" s="10"/>
      <c r="CL422" s="10"/>
      <c r="CM422" s="10"/>
      <c r="CN422" s="10"/>
      <c r="CO422" s="10"/>
      <c r="CP422" s="10"/>
      <c r="CQ422" s="10"/>
      <c r="CR422" s="10"/>
      <c r="CS422" s="10"/>
      <c r="CT422" s="10"/>
      <c r="CU422" s="10"/>
      <c r="CV422" s="10"/>
      <c r="CW422" s="10"/>
      <c r="CX422" s="10"/>
      <c r="CY422" s="10"/>
      <c r="CZ422" s="10"/>
      <c r="DA422" s="10"/>
      <c r="DB422" s="10"/>
      <c r="DC422" s="10"/>
      <c r="DD422" s="10"/>
      <c r="DE422" s="10"/>
      <c r="DF422" s="10"/>
      <c r="DG422" s="10"/>
      <c r="DH422" s="10"/>
      <c r="DI422" s="10"/>
      <c r="DJ422" s="10"/>
      <c r="DK422" s="10"/>
      <c r="DL422" s="10"/>
      <c r="DM422" s="10"/>
      <c r="DN422" s="10"/>
      <c r="DO422" s="10"/>
      <c r="DP422" s="10"/>
      <c r="DQ422" s="10"/>
      <c r="DR422" s="10"/>
    </row>
    <row r="423" spans="1:122" x14ac:dyDescent="0.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0"/>
      <c r="BC423" s="10"/>
      <c r="BD423" s="10"/>
      <c r="BE423" s="10"/>
      <c r="BF423" s="10"/>
      <c r="BG423" s="10"/>
      <c r="BH423" s="10"/>
      <c r="BI423" s="10"/>
      <c r="BJ423" s="10"/>
      <c r="BK423" s="10"/>
      <c r="BL423" s="10"/>
      <c r="BM423" s="10"/>
      <c r="BN423" s="10"/>
      <c r="BO423" s="10"/>
      <c r="BP423" s="10"/>
      <c r="BQ423" s="10"/>
      <c r="BR423" s="10"/>
      <c r="BS423" s="10"/>
      <c r="BT423" s="10"/>
      <c r="BU423" s="10"/>
      <c r="BV423" s="10"/>
      <c r="BW423" s="10"/>
      <c r="BX423" s="10"/>
      <c r="BY423" s="10"/>
      <c r="BZ423" s="10"/>
      <c r="CA423" s="10"/>
      <c r="CB423" s="10"/>
      <c r="CC423" s="10"/>
      <c r="CD423" s="10"/>
      <c r="CE423" s="10"/>
      <c r="CF423" s="10"/>
      <c r="CG423" s="10"/>
      <c r="CH423" s="10"/>
      <c r="CI423" s="10"/>
      <c r="CJ423" s="10"/>
      <c r="CK423" s="10"/>
      <c r="CL423" s="10"/>
      <c r="CM423" s="10"/>
      <c r="CN423" s="10"/>
      <c r="CO423" s="10"/>
      <c r="CP423" s="10"/>
      <c r="CQ423" s="10"/>
      <c r="CR423" s="10"/>
      <c r="CS423" s="10"/>
      <c r="CT423" s="10"/>
      <c r="CU423" s="10"/>
      <c r="CV423" s="10"/>
      <c r="CW423" s="10"/>
      <c r="CX423" s="10"/>
      <c r="CY423" s="10"/>
      <c r="CZ423" s="10"/>
      <c r="DA423" s="10"/>
      <c r="DB423" s="10"/>
      <c r="DC423" s="10"/>
      <c r="DD423" s="10"/>
      <c r="DE423" s="10"/>
      <c r="DF423" s="10"/>
      <c r="DG423" s="10"/>
      <c r="DH423" s="10"/>
      <c r="DI423" s="10"/>
      <c r="DJ423" s="10"/>
      <c r="DK423" s="10"/>
      <c r="DL423" s="10"/>
      <c r="DM423" s="10"/>
      <c r="DN423" s="10"/>
      <c r="DO423" s="10"/>
      <c r="DP423" s="10"/>
      <c r="DQ423" s="10"/>
      <c r="DR423" s="10"/>
    </row>
    <row r="424" spans="1:122" x14ac:dyDescent="0.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0"/>
      <c r="BC424" s="10"/>
      <c r="BD424" s="10"/>
      <c r="BE424" s="10"/>
      <c r="BF424" s="10"/>
      <c r="BG424" s="10"/>
      <c r="BH424" s="10"/>
      <c r="BI424" s="10"/>
      <c r="BJ424" s="10"/>
      <c r="BK424" s="10"/>
      <c r="BL424" s="10"/>
      <c r="BM424" s="10"/>
      <c r="BN424" s="10"/>
      <c r="BO424" s="10"/>
      <c r="BP424" s="10"/>
      <c r="BQ424" s="10"/>
      <c r="BR424" s="10"/>
      <c r="BS424" s="10"/>
      <c r="BT424" s="10"/>
      <c r="BU424" s="10"/>
      <c r="BV424" s="10"/>
      <c r="BW424" s="10"/>
      <c r="BX424" s="10"/>
      <c r="BY424" s="10"/>
      <c r="BZ424" s="10"/>
      <c r="CA424" s="10"/>
      <c r="CB424" s="10"/>
      <c r="CC424" s="10"/>
      <c r="CD424" s="10"/>
      <c r="CE424" s="10"/>
      <c r="CF424" s="10"/>
      <c r="CG424" s="10"/>
      <c r="CH424" s="10"/>
      <c r="CI424" s="10"/>
      <c r="CJ424" s="10"/>
      <c r="CK424" s="10"/>
      <c r="CL424" s="10"/>
      <c r="CM424" s="10"/>
      <c r="CN424" s="10"/>
      <c r="CO424" s="10"/>
      <c r="CP424" s="10"/>
      <c r="CQ424" s="10"/>
      <c r="CR424" s="10"/>
      <c r="CS424" s="10"/>
      <c r="CT424" s="10"/>
      <c r="CU424" s="10"/>
      <c r="CV424" s="10"/>
      <c r="CW424" s="10"/>
      <c r="CX424" s="10"/>
      <c r="CY424" s="10"/>
      <c r="CZ424" s="10"/>
      <c r="DA424" s="10"/>
      <c r="DB424" s="10"/>
      <c r="DC424" s="10"/>
      <c r="DD424" s="10"/>
      <c r="DE424" s="10"/>
      <c r="DF424" s="10"/>
      <c r="DG424" s="10"/>
      <c r="DH424" s="10"/>
      <c r="DI424" s="10"/>
      <c r="DJ424" s="10"/>
      <c r="DK424" s="10"/>
      <c r="DL424" s="10"/>
      <c r="DM424" s="10"/>
      <c r="DN424" s="10"/>
      <c r="DO424" s="10"/>
      <c r="DP424" s="10"/>
      <c r="DQ424" s="10"/>
      <c r="DR424" s="10"/>
    </row>
    <row r="425" spans="1:122" x14ac:dyDescent="0.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0"/>
      <c r="BC425" s="10"/>
      <c r="BD425" s="10"/>
      <c r="BE425" s="10"/>
      <c r="BF425" s="10"/>
      <c r="BG425" s="10"/>
      <c r="BH425" s="10"/>
      <c r="BI425" s="10"/>
      <c r="BJ425" s="10"/>
      <c r="BK425" s="10"/>
      <c r="BL425" s="10"/>
      <c r="BM425" s="10"/>
      <c r="BN425" s="10"/>
      <c r="BO425" s="10"/>
      <c r="BP425" s="10"/>
      <c r="BQ425" s="10"/>
      <c r="BR425" s="10"/>
      <c r="BS425" s="10"/>
      <c r="BT425" s="10"/>
      <c r="BU425" s="10"/>
      <c r="BV425" s="10"/>
      <c r="BW425" s="10"/>
      <c r="BX425" s="10"/>
      <c r="BY425" s="10"/>
      <c r="BZ425" s="10"/>
      <c r="CA425" s="10"/>
      <c r="CB425" s="10"/>
      <c r="CC425" s="10"/>
      <c r="CD425" s="10"/>
      <c r="CE425" s="10"/>
      <c r="CF425" s="10"/>
      <c r="CG425" s="10"/>
      <c r="CH425" s="10"/>
      <c r="CI425" s="10"/>
      <c r="CJ425" s="10"/>
      <c r="CK425" s="10"/>
      <c r="CL425" s="10"/>
      <c r="CM425" s="10"/>
      <c r="CN425" s="10"/>
      <c r="CO425" s="10"/>
      <c r="CP425" s="10"/>
      <c r="CQ425" s="10"/>
      <c r="CR425" s="10"/>
      <c r="CS425" s="10"/>
      <c r="CT425" s="10"/>
      <c r="CU425" s="10"/>
      <c r="CV425" s="10"/>
      <c r="CW425" s="10"/>
      <c r="CX425" s="10"/>
      <c r="CY425" s="10"/>
      <c r="CZ425" s="10"/>
      <c r="DA425" s="10"/>
      <c r="DB425" s="10"/>
      <c r="DC425" s="10"/>
      <c r="DD425" s="10"/>
      <c r="DE425" s="10"/>
      <c r="DF425" s="10"/>
      <c r="DG425" s="10"/>
      <c r="DH425" s="10"/>
      <c r="DI425" s="10"/>
      <c r="DJ425" s="10"/>
      <c r="DK425" s="10"/>
      <c r="DL425" s="10"/>
      <c r="DM425" s="10"/>
      <c r="DN425" s="10"/>
      <c r="DO425" s="10"/>
      <c r="DP425" s="10"/>
      <c r="DQ425" s="10"/>
      <c r="DR425" s="10"/>
    </row>
    <row r="426" spans="1:122" x14ac:dyDescent="0.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0"/>
      <c r="BC426" s="10"/>
      <c r="BD426" s="10"/>
      <c r="BE426" s="10"/>
      <c r="BF426" s="10"/>
      <c r="BG426" s="10"/>
      <c r="BH426" s="10"/>
      <c r="BI426" s="10"/>
      <c r="BJ426" s="10"/>
      <c r="BK426" s="10"/>
      <c r="BL426" s="10"/>
      <c r="BM426" s="10"/>
      <c r="BN426" s="10"/>
      <c r="BO426" s="10"/>
      <c r="BP426" s="10"/>
      <c r="BQ426" s="10"/>
      <c r="BR426" s="10"/>
      <c r="BS426" s="10"/>
      <c r="BT426" s="10"/>
      <c r="BU426" s="10"/>
      <c r="BV426" s="10"/>
      <c r="BW426" s="10"/>
      <c r="BX426" s="10"/>
      <c r="BY426" s="10"/>
      <c r="BZ426" s="10"/>
      <c r="CA426" s="10"/>
      <c r="CB426" s="10"/>
      <c r="CC426" s="10"/>
      <c r="CD426" s="10"/>
      <c r="CE426" s="10"/>
      <c r="CF426" s="10"/>
      <c r="CG426" s="10"/>
      <c r="CH426" s="10"/>
      <c r="CI426" s="10"/>
      <c r="CJ426" s="10"/>
      <c r="CK426" s="10"/>
      <c r="CL426" s="10"/>
      <c r="CM426" s="10"/>
      <c r="CN426" s="10"/>
      <c r="CO426" s="10"/>
      <c r="CP426" s="10"/>
      <c r="CQ426" s="10"/>
      <c r="CR426" s="10"/>
      <c r="CS426" s="10"/>
      <c r="CT426" s="10"/>
      <c r="CU426" s="10"/>
      <c r="CV426" s="10"/>
      <c r="CW426" s="10"/>
      <c r="CX426" s="10"/>
      <c r="CY426" s="10"/>
      <c r="CZ426" s="10"/>
      <c r="DA426" s="10"/>
      <c r="DB426" s="10"/>
      <c r="DC426" s="10"/>
      <c r="DD426" s="10"/>
      <c r="DE426" s="10"/>
      <c r="DF426" s="10"/>
      <c r="DG426" s="10"/>
      <c r="DH426" s="10"/>
      <c r="DI426" s="10"/>
      <c r="DJ426" s="10"/>
      <c r="DK426" s="10"/>
      <c r="DL426" s="10"/>
      <c r="DM426" s="10"/>
      <c r="DN426" s="10"/>
      <c r="DO426" s="10"/>
      <c r="DP426" s="10"/>
      <c r="DQ426" s="10"/>
      <c r="DR426" s="10"/>
    </row>
    <row r="427" spans="1:122" x14ac:dyDescent="0.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0"/>
      <c r="BC427" s="10"/>
      <c r="BD427" s="10"/>
      <c r="BE427" s="10"/>
      <c r="BF427" s="10"/>
      <c r="BG427" s="10"/>
      <c r="BH427" s="10"/>
      <c r="BI427" s="10"/>
      <c r="BJ427" s="10"/>
      <c r="BK427" s="10"/>
      <c r="BL427" s="10"/>
      <c r="BM427" s="10"/>
      <c r="BN427" s="10"/>
      <c r="BO427" s="10"/>
      <c r="BP427" s="10"/>
      <c r="BQ427" s="10"/>
      <c r="BR427" s="10"/>
      <c r="BS427" s="10"/>
      <c r="BT427" s="10"/>
      <c r="BU427" s="10"/>
      <c r="BV427" s="10"/>
      <c r="BW427" s="10"/>
      <c r="BX427" s="10"/>
      <c r="BY427" s="10"/>
      <c r="BZ427" s="10"/>
      <c r="CA427" s="10"/>
      <c r="CB427" s="10"/>
      <c r="CC427" s="10"/>
      <c r="CD427" s="10"/>
      <c r="CE427" s="10"/>
      <c r="CF427" s="10"/>
      <c r="CG427" s="10"/>
      <c r="CH427" s="10"/>
      <c r="CI427" s="10"/>
      <c r="CJ427" s="10"/>
      <c r="CK427" s="10"/>
      <c r="CL427" s="10"/>
      <c r="CM427" s="10"/>
      <c r="CN427" s="10"/>
      <c r="CO427" s="10"/>
      <c r="CP427" s="10"/>
      <c r="CQ427" s="10"/>
      <c r="CR427" s="10"/>
      <c r="CS427" s="10"/>
      <c r="CT427" s="10"/>
      <c r="CU427" s="10"/>
      <c r="CV427" s="10"/>
      <c r="CW427" s="10"/>
      <c r="CX427" s="10"/>
      <c r="CY427" s="10"/>
      <c r="CZ427" s="10"/>
      <c r="DA427" s="10"/>
      <c r="DB427" s="10"/>
      <c r="DC427" s="10"/>
      <c r="DD427" s="10"/>
      <c r="DE427" s="10"/>
      <c r="DF427" s="10"/>
      <c r="DG427" s="10"/>
      <c r="DH427" s="10"/>
      <c r="DI427" s="10"/>
      <c r="DJ427" s="10"/>
      <c r="DK427" s="10"/>
      <c r="DL427" s="10"/>
      <c r="DM427" s="10"/>
      <c r="DN427" s="10"/>
      <c r="DO427" s="10"/>
      <c r="DP427" s="10"/>
      <c r="DQ427" s="10"/>
      <c r="DR427" s="10"/>
    </row>
    <row r="428" spans="1:122" x14ac:dyDescent="0.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0"/>
      <c r="BC428" s="10"/>
      <c r="BD428" s="10"/>
      <c r="BE428" s="10"/>
      <c r="BF428" s="10"/>
      <c r="BG428" s="10"/>
      <c r="BH428" s="10"/>
      <c r="BI428" s="10"/>
      <c r="BJ428" s="10"/>
      <c r="BK428" s="10"/>
      <c r="BL428" s="10"/>
      <c r="BM428" s="10"/>
      <c r="BN428" s="10"/>
      <c r="BO428" s="10"/>
      <c r="BP428" s="10"/>
      <c r="BQ428" s="10"/>
      <c r="BR428" s="10"/>
      <c r="BS428" s="10"/>
      <c r="BT428" s="10"/>
      <c r="BU428" s="10"/>
      <c r="BV428" s="10"/>
      <c r="BW428" s="10"/>
      <c r="BX428" s="10"/>
      <c r="BY428" s="10"/>
      <c r="BZ428" s="10"/>
      <c r="CA428" s="10"/>
      <c r="CB428" s="10"/>
      <c r="CC428" s="10"/>
      <c r="CD428" s="10"/>
      <c r="CE428" s="10"/>
      <c r="CF428" s="10"/>
      <c r="CG428" s="10"/>
      <c r="CH428" s="10"/>
      <c r="CI428" s="10"/>
      <c r="CJ428" s="10"/>
      <c r="CK428" s="10"/>
      <c r="CL428" s="10"/>
      <c r="CM428" s="10"/>
      <c r="CN428" s="10"/>
      <c r="CO428" s="10"/>
      <c r="CP428" s="10"/>
      <c r="CQ428" s="10"/>
      <c r="CR428" s="10"/>
      <c r="CS428" s="10"/>
      <c r="CT428" s="10"/>
      <c r="CU428" s="10"/>
      <c r="CV428" s="10"/>
      <c r="CW428" s="10"/>
      <c r="CX428" s="10"/>
      <c r="CY428" s="10"/>
      <c r="CZ428" s="10"/>
      <c r="DA428" s="10"/>
      <c r="DB428" s="10"/>
      <c r="DC428" s="10"/>
      <c r="DD428" s="10"/>
      <c r="DE428" s="10"/>
      <c r="DF428" s="10"/>
      <c r="DG428" s="10"/>
      <c r="DH428" s="10"/>
      <c r="DI428" s="10"/>
      <c r="DJ428" s="10"/>
      <c r="DK428" s="10"/>
      <c r="DL428" s="10"/>
      <c r="DM428" s="10"/>
      <c r="DN428" s="10"/>
      <c r="DO428" s="10"/>
      <c r="DP428" s="10"/>
      <c r="DQ428" s="10"/>
      <c r="DR428" s="10"/>
    </row>
    <row r="429" spans="1:122" x14ac:dyDescent="0.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0"/>
      <c r="BC429" s="10"/>
      <c r="BD429" s="10"/>
      <c r="BE429" s="10"/>
      <c r="BF429" s="10"/>
      <c r="BG429" s="10"/>
      <c r="BH429" s="10"/>
      <c r="BI429" s="10"/>
      <c r="BJ429" s="10"/>
      <c r="BK429" s="10"/>
      <c r="BL429" s="10"/>
      <c r="BM429" s="10"/>
      <c r="BN429" s="10"/>
      <c r="BO429" s="10"/>
      <c r="BP429" s="10"/>
      <c r="BQ429" s="10"/>
      <c r="BR429" s="10"/>
      <c r="BS429" s="10"/>
      <c r="BT429" s="10"/>
      <c r="BU429" s="10"/>
      <c r="BV429" s="10"/>
      <c r="BW429" s="10"/>
      <c r="BX429" s="10"/>
      <c r="BY429" s="10"/>
      <c r="BZ429" s="10"/>
      <c r="CA429" s="10"/>
      <c r="CB429" s="10"/>
      <c r="CC429" s="10"/>
      <c r="CD429" s="10"/>
      <c r="CE429" s="10"/>
      <c r="CF429" s="10"/>
      <c r="CG429" s="10"/>
      <c r="CH429" s="10"/>
      <c r="CI429" s="10"/>
      <c r="CJ429" s="10"/>
      <c r="CK429" s="10"/>
      <c r="CL429" s="10"/>
      <c r="CM429" s="10"/>
      <c r="CN429" s="10"/>
      <c r="CO429" s="10"/>
      <c r="CP429" s="10"/>
      <c r="CQ429" s="10"/>
      <c r="CR429" s="10"/>
      <c r="CS429" s="10"/>
      <c r="CT429" s="10"/>
      <c r="CU429" s="10"/>
      <c r="CV429" s="10"/>
      <c r="CW429" s="10"/>
      <c r="CX429" s="10"/>
      <c r="CY429" s="10"/>
      <c r="CZ429" s="10"/>
      <c r="DA429" s="10"/>
      <c r="DB429" s="10"/>
      <c r="DC429" s="10"/>
      <c r="DD429" s="10"/>
      <c r="DE429" s="10"/>
      <c r="DF429" s="10"/>
      <c r="DG429" s="10"/>
      <c r="DH429" s="10"/>
      <c r="DI429" s="10"/>
      <c r="DJ429" s="10"/>
      <c r="DK429" s="10"/>
      <c r="DL429" s="10"/>
      <c r="DM429" s="10"/>
      <c r="DN429" s="10"/>
      <c r="DO429" s="10"/>
      <c r="DP429" s="10"/>
      <c r="DQ429" s="10"/>
      <c r="DR429" s="10"/>
    </row>
    <row r="430" spans="1:122" x14ac:dyDescent="0.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0"/>
      <c r="BC430" s="10"/>
      <c r="BD430" s="10"/>
      <c r="BE430" s="10"/>
      <c r="BF430" s="10"/>
      <c r="BG430" s="10"/>
      <c r="BH430" s="10"/>
      <c r="BI430" s="10"/>
      <c r="BJ430" s="10"/>
      <c r="BK430" s="10"/>
      <c r="BL430" s="10"/>
      <c r="BM430" s="10"/>
      <c r="BN430" s="10"/>
      <c r="BO430" s="10"/>
      <c r="BP430" s="10"/>
      <c r="BQ430" s="10"/>
      <c r="BR430" s="10"/>
      <c r="BS430" s="10"/>
      <c r="BT430" s="10"/>
      <c r="BU430" s="10"/>
      <c r="BV430" s="10"/>
      <c r="BW430" s="10"/>
      <c r="BX430" s="10"/>
      <c r="BY430" s="10"/>
      <c r="BZ430" s="10"/>
      <c r="CA430" s="10"/>
      <c r="CB430" s="10"/>
      <c r="CC430" s="10"/>
      <c r="CD430" s="10"/>
      <c r="CE430" s="10"/>
      <c r="CF430" s="10"/>
      <c r="CG430" s="10"/>
      <c r="CH430" s="10"/>
      <c r="CI430" s="10"/>
      <c r="CJ430" s="10"/>
      <c r="CK430" s="10"/>
      <c r="CL430" s="10"/>
      <c r="CM430" s="10"/>
      <c r="CN430" s="10"/>
      <c r="CO430" s="10"/>
      <c r="CP430" s="10"/>
      <c r="CQ430" s="10"/>
      <c r="CR430" s="10"/>
      <c r="CS430" s="10"/>
      <c r="CT430" s="10"/>
      <c r="CU430" s="10"/>
      <c r="CV430" s="10"/>
      <c r="CW430" s="10"/>
      <c r="CX430" s="10"/>
      <c r="CY430" s="10"/>
      <c r="CZ430" s="10"/>
      <c r="DA430" s="10"/>
      <c r="DB430" s="10"/>
      <c r="DC430" s="10"/>
      <c r="DD430" s="10"/>
      <c r="DE430" s="10"/>
      <c r="DF430" s="10"/>
      <c r="DG430" s="10"/>
      <c r="DH430" s="10"/>
      <c r="DI430" s="10"/>
      <c r="DJ430" s="10"/>
      <c r="DK430" s="10"/>
      <c r="DL430" s="10"/>
      <c r="DM430" s="10"/>
      <c r="DN430" s="10"/>
      <c r="DO430" s="10"/>
      <c r="DP430" s="10"/>
      <c r="DQ430" s="10"/>
      <c r="DR430" s="10"/>
    </row>
    <row r="431" spans="1:122" x14ac:dyDescent="0.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0"/>
      <c r="BC431" s="10"/>
      <c r="BD431" s="10"/>
      <c r="BE431" s="10"/>
      <c r="BF431" s="10"/>
      <c r="BG431" s="10"/>
      <c r="BH431" s="10"/>
      <c r="BI431" s="10"/>
      <c r="BJ431" s="10"/>
      <c r="BK431" s="10"/>
      <c r="BL431" s="10"/>
      <c r="BM431" s="10"/>
      <c r="BN431" s="10"/>
      <c r="BO431" s="10"/>
      <c r="BP431" s="10"/>
      <c r="BQ431" s="10"/>
      <c r="BR431" s="10"/>
      <c r="BS431" s="10"/>
      <c r="BT431" s="10"/>
      <c r="BU431" s="10"/>
      <c r="BV431" s="10"/>
      <c r="BW431" s="10"/>
      <c r="BX431" s="10"/>
      <c r="BY431" s="10"/>
      <c r="BZ431" s="10"/>
      <c r="CA431" s="10"/>
      <c r="CB431" s="10"/>
      <c r="CC431" s="10"/>
      <c r="CD431" s="10"/>
      <c r="CE431" s="10"/>
      <c r="CF431" s="10"/>
      <c r="CG431" s="10"/>
      <c r="CH431" s="10"/>
      <c r="CI431" s="10"/>
      <c r="CJ431" s="10"/>
      <c r="CK431" s="10"/>
      <c r="CL431" s="10"/>
      <c r="CM431" s="10"/>
      <c r="CN431" s="10"/>
      <c r="CO431" s="10"/>
      <c r="CP431" s="10"/>
      <c r="CQ431" s="10"/>
      <c r="CR431" s="10"/>
      <c r="CS431" s="10"/>
      <c r="CT431" s="10"/>
      <c r="CU431" s="10"/>
      <c r="CV431" s="10"/>
      <c r="CW431" s="10"/>
      <c r="CX431" s="10"/>
      <c r="CY431" s="10"/>
      <c r="CZ431" s="10"/>
      <c r="DA431" s="10"/>
      <c r="DB431" s="10"/>
      <c r="DC431" s="10"/>
      <c r="DD431" s="10"/>
      <c r="DE431" s="10"/>
      <c r="DF431" s="10"/>
      <c r="DG431" s="10"/>
      <c r="DH431" s="10"/>
      <c r="DI431" s="10"/>
      <c r="DJ431" s="10"/>
      <c r="DK431" s="10"/>
      <c r="DL431" s="10"/>
      <c r="DM431" s="10"/>
      <c r="DN431" s="10"/>
      <c r="DO431" s="10"/>
      <c r="DP431" s="10"/>
      <c r="DQ431" s="10"/>
      <c r="DR431" s="10"/>
    </row>
    <row r="432" spans="1:122" x14ac:dyDescent="0.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0"/>
      <c r="BC432" s="10"/>
      <c r="BD432" s="10"/>
      <c r="BE432" s="10"/>
      <c r="BF432" s="10"/>
      <c r="BG432" s="10"/>
      <c r="BH432" s="10"/>
      <c r="BI432" s="10"/>
      <c r="BJ432" s="10"/>
      <c r="BK432" s="10"/>
      <c r="BL432" s="10"/>
      <c r="BM432" s="10"/>
      <c r="BN432" s="10"/>
      <c r="BO432" s="10"/>
      <c r="BP432" s="10"/>
      <c r="BQ432" s="10"/>
      <c r="BR432" s="10"/>
      <c r="BS432" s="10"/>
      <c r="BT432" s="10"/>
      <c r="BU432" s="10"/>
      <c r="BV432" s="10"/>
      <c r="BW432" s="10"/>
      <c r="BX432" s="10"/>
      <c r="BY432" s="10"/>
      <c r="BZ432" s="10"/>
      <c r="CA432" s="10"/>
      <c r="CB432" s="10"/>
      <c r="CC432" s="10"/>
      <c r="CD432" s="10"/>
      <c r="CE432" s="10"/>
      <c r="CF432" s="10"/>
      <c r="CG432" s="10"/>
      <c r="CH432" s="10"/>
      <c r="CI432" s="10"/>
      <c r="CJ432" s="10"/>
      <c r="CK432" s="10"/>
      <c r="CL432" s="10"/>
      <c r="CM432" s="10"/>
      <c r="CN432" s="10"/>
      <c r="CO432" s="10"/>
      <c r="CP432" s="10"/>
      <c r="CQ432" s="10"/>
      <c r="CR432" s="10"/>
      <c r="CS432" s="10"/>
      <c r="CT432" s="10"/>
      <c r="CU432" s="10"/>
      <c r="CV432" s="10"/>
      <c r="CW432" s="10"/>
      <c r="CX432" s="10"/>
      <c r="CY432" s="10"/>
      <c r="CZ432" s="10"/>
      <c r="DA432" s="10"/>
      <c r="DB432" s="10"/>
      <c r="DC432" s="10"/>
      <c r="DD432" s="10"/>
      <c r="DE432" s="10"/>
      <c r="DF432" s="10"/>
      <c r="DG432" s="10"/>
      <c r="DH432" s="10"/>
      <c r="DI432" s="10"/>
      <c r="DJ432" s="10"/>
      <c r="DK432" s="10"/>
      <c r="DL432" s="10"/>
      <c r="DM432" s="10"/>
      <c r="DN432" s="10"/>
      <c r="DO432" s="10"/>
      <c r="DP432" s="10"/>
      <c r="DQ432" s="10"/>
      <c r="DR432" s="10"/>
    </row>
    <row r="433" spans="1:122" x14ac:dyDescent="0.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0"/>
      <c r="BC433" s="10"/>
      <c r="BD433" s="10"/>
      <c r="BE433" s="10"/>
      <c r="BF433" s="10"/>
      <c r="BG433" s="10"/>
      <c r="BH433" s="10"/>
      <c r="BI433" s="10"/>
      <c r="BJ433" s="10"/>
      <c r="BK433" s="10"/>
      <c r="BL433" s="10"/>
      <c r="BM433" s="10"/>
      <c r="BN433" s="10"/>
      <c r="BO433" s="10"/>
      <c r="BP433" s="10"/>
      <c r="BQ433" s="10"/>
      <c r="BR433" s="10"/>
      <c r="BS433" s="10"/>
      <c r="BT433" s="10"/>
      <c r="BU433" s="10"/>
      <c r="BV433" s="10"/>
      <c r="BW433" s="10"/>
      <c r="BX433" s="10"/>
      <c r="BY433" s="10"/>
      <c r="BZ433" s="10"/>
      <c r="CA433" s="10"/>
      <c r="CB433" s="10"/>
      <c r="CC433" s="10"/>
      <c r="CD433" s="10"/>
      <c r="CE433" s="10"/>
      <c r="CF433" s="10"/>
      <c r="CG433" s="10"/>
      <c r="CH433" s="10"/>
      <c r="CI433" s="10"/>
      <c r="CJ433" s="10"/>
      <c r="CK433" s="10"/>
      <c r="CL433" s="10"/>
      <c r="CM433" s="10"/>
      <c r="CN433" s="10"/>
      <c r="CO433" s="10"/>
      <c r="CP433" s="10"/>
      <c r="CQ433" s="10"/>
      <c r="CR433" s="10"/>
      <c r="CS433" s="10"/>
      <c r="CT433" s="10"/>
      <c r="CU433" s="10"/>
      <c r="CV433" s="10"/>
      <c r="CW433" s="10"/>
      <c r="CX433" s="10"/>
      <c r="CY433" s="10"/>
      <c r="CZ433" s="10"/>
      <c r="DA433" s="10"/>
      <c r="DB433" s="10"/>
      <c r="DC433" s="10"/>
      <c r="DD433" s="10"/>
      <c r="DE433" s="10"/>
      <c r="DF433" s="10"/>
      <c r="DG433" s="10"/>
      <c r="DH433" s="10"/>
      <c r="DI433" s="10"/>
      <c r="DJ433" s="10"/>
      <c r="DK433" s="10"/>
      <c r="DL433" s="10"/>
      <c r="DM433" s="10"/>
      <c r="DN433" s="10"/>
      <c r="DO433" s="10"/>
      <c r="DP433" s="10"/>
      <c r="DQ433" s="10"/>
      <c r="DR433" s="10"/>
    </row>
    <row r="434" spans="1:122" x14ac:dyDescent="0.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0"/>
      <c r="BC434" s="10"/>
      <c r="BD434" s="10"/>
      <c r="BE434" s="10"/>
      <c r="BF434" s="10"/>
      <c r="BG434" s="10"/>
      <c r="BH434" s="10"/>
      <c r="BI434" s="10"/>
      <c r="BJ434" s="10"/>
      <c r="BK434" s="10"/>
      <c r="BL434" s="10"/>
      <c r="BM434" s="10"/>
      <c r="BN434" s="10"/>
      <c r="BO434" s="10"/>
      <c r="BP434" s="10"/>
      <c r="BQ434" s="10"/>
      <c r="BR434" s="10"/>
      <c r="BS434" s="10"/>
      <c r="BT434" s="10"/>
      <c r="BU434" s="10"/>
      <c r="BV434" s="10"/>
      <c r="BW434" s="10"/>
      <c r="BX434" s="10"/>
      <c r="BY434" s="10"/>
      <c r="BZ434" s="10"/>
      <c r="CA434" s="10"/>
      <c r="CB434" s="10"/>
      <c r="CC434" s="10"/>
      <c r="CD434" s="10"/>
      <c r="CE434" s="10"/>
      <c r="CF434" s="10"/>
      <c r="CG434" s="10"/>
      <c r="CH434" s="10"/>
      <c r="CI434" s="10"/>
      <c r="CJ434" s="10"/>
      <c r="CK434" s="10"/>
      <c r="CL434" s="10"/>
      <c r="CM434" s="10"/>
      <c r="CN434" s="10"/>
      <c r="CO434" s="10"/>
      <c r="CP434" s="10"/>
      <c r="CQ434" s="10"/>
      <c r="CR434" s="10"/>
      <c r="CS434" s="10"/>
      <c r="CT434" s="10"/>
      <c r="CU434" s="10"/>
      <c r="CV434" s="10"/>
      <c r="CW434" s="10"/>
      <c r="CX434" s="10"/>
      <c r="CY434" s="10"/>
      <c r="CZ434" s="10"/>
      <c r="DA434" s="10"/>
      <c r="DB434" s="10"/>
      <c r="DC434" s="10"/>
      <c r="DD434" s="10"/>
      <c r="DE434" s="10"/>
      <c r="DF434" s="10"/>
      <c r="DG434" s="10"/>
      <c r="DH434" s="10"/>
      <c r="DI434" s="10"/>
      <c r="DJ434" s="10"/>
      <c r="DK434" s="10"/>
      <c r="DL434" s="10"/>
      <c r="DM434" s="10"/>
      <c r="DN434" s="10"/>
      <c r="DO434" s="10"/>
      <c r="DP434" s="10"/>
      <c r="DQ434" s="10"/>
      <c r="DR434" s="10"/>
    </row>
    <row r="435" spans="1:122" x14ac:dyDescent="0.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0"/>
      <c r="BC435" s="10"/>
      <c r="BD435" s="10"/>
      <c r="BE435" s="10"/>
      <c r="BF435" s="10"/>
      <c r="BG435" s="10"/>
      <c r="BH435" s="10"/>
      <c r="BI435" s="10"/>
      <c r="BJ435" s="10"/>
      <c r="BK435" s="10"/>
      <c r="BL435" s="10"/>
      <c r="BM435" s="10"/>
      <c r="BN435" s="10"/>
      <c r="BO435" s="10"/>
      <c r="BP435" s="10"/>
      <c r="BQ435" s="10"/>
      <c r="BR435" s="10"/>
      <c r="BS435" s="10"/>
      <c r="BT435" s="10"/>
      <c r="BU435" s="10"/>
      <c r="BV435" s="10"/>
      <c r="BW435" s="10"/>
      <c r="BX435" s="10"/>
      <c r="BY435" s="10"/>
      <c r="BZ435" s="10"/>
      <c r="CA435" s="10"/>
      <c r="CB435" s="10"/>
      <c r="CC435" s="10"/>
      <c r="CD435" s="10"/>
      <c r="CE435" s="10"/>
      <c r="CF435" s="10"/>
      <c r="CG435" s="10"/>
      <c r="CH435" s="10"/>
      <c r="CI435" s="10"/>
      <c r="CJ435" s="10"/>
      <c r="CK435" s="10"/>
      <c r="CL435" s="10"/>
      <c r="CM435" s="10"/>
      <c r="CN435" s="10"/>
      <c r="CO435" s="10"/>
      <c r="CP435" s="10"/>
      <c r="CQ435" s="10"/>
      <c r="CR435" s="10"/>
      <c r="CS435" s="10"/>
      <c r="CT435" s="10"/>
      <c r="CU435" s="10"/>
      <c r="CV435" s="10"/>
      <c r="CW435" s="10"/>
      <c r="CX435" s="10"/>
      <c r="CY435" s="10"/>
      <c r="CZ435" s="10"/>
      <c r="DA435" s="10"/>
      <c r="DB435" s="10"/>
      <c r="DC435" s="10"/>
      <c r="DD435" s="10"/>
      <c r="DE435" s="10"/>
      <c r="DF435" s="10"/>
      <c r="DG435" s="10"/>
      <c r="DH435" s="10"/>
      <c r="DI435" s="10"/>
      <c r="DJ435" s="10"/>
      <c r="DK435" s="10"/>
      <c r="DL435" s="10"/>
      <c r="DM435" s="10"/>
      <c r="DN435" s="10"/>
      <c r="DO435" s="10"/>
      <c r="DP435" s="10"/>
      <c r="DQ435" s="10"/>
      <c r="DR435" s="10"/>
    </row>
    <row r="436" spans="1:122" x14ac:dyDescent="0.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0"/>
      <c r="BC436" s="10"/>
      <c r="BD436" s="10"/>
      <c r="BE436" s="10"/>
      <c r="BF436" s="10"/>
      <c r="BG436" s="10"/>
      <c r="BH436" s="10"/>
      <c r="BI436" s="10"/>
      <c r="BJ436" s="10"/>
      <c r="BK436" s="10"/>
      <c r="BL436" s="10"/>
      <c r="BM436" s="10"/>
      <c r="BN436" s="10"/>
      <c r="BO436" s="10"/>
      <c r="BP436" s="10"/>
      <c r="BQ436" s="10"/>
      <c r="BR436" s="10"/>
      <c r="BS436" s="10"/>
      <c r="BT436" s="10"/>
      <c r="BU436" s="10"/>
      <c r="BV436" s="10"/>
      <c r="BW436" s="10"/>
      <c r="BX436" s="10"/>
      <c r="BY436" s="10"/>
      <c r="BZ436" s="10"/>
      <c r="CA436" s="10"/>
      <c r="CB436" s="10"/>
      <c r="CC436" s="10"/>
      <c r="CD436" s="10"/>
      <c r="CE436" s="10"/>
      <c r="CF436" s="10"/>
      <c r="CG436" s="10"/>
      <c r="CH436" s="10"/>
      <c r="CI436" s="10"/>
      <c r="CJ436" s="10"/>
      <c r="CK436" s="10"/>
      <c r="CL436" s="10"/>
      <c r="CM436" s="10"/>
      <c r="CN436" s="10"/>
      <c r="CO436" s="10"/>
      <c r="CP436" s="10"/>
      <c r="CQ436" s="10"/>
      <c r="CR436" s="10"/>
      <c r="CS436" s="10"/>
      <c r="CT436" s="10"/>
      <c r="CU436" s="10"/>
      <c r="CV436" s="10"/>
      <c r="CW436" s="10"/>
      <c r="CX436" s="10"/>
      <c r="CY436" s="10"/>
      <c r="CZ436" s="10"/>
      <c r="DA436" s="10"/>
      <c r="DB436" s="10"/>
      <c r="DC436" s="10"/>
      <c r="DD436" s="10"/>
      <c r="DE436" s="10"/>
      <c r="DF436" s="10"/>
      <c r="DG436" s="10"/>
      <c r="DH436" s="10"/>
      <c r="DI436" s="10"/>
      <c r="DJ436" s="10"/>
      <c r="DK436" s="10"/>
      <c r="DL436" s="10"/>
      <c r="DM436" s="10"/>
      <c r="DN436" s="10"/>
      <c r="DO436" s="10"/>
      <c r="DP436" s="10"/>
      <c r="DQ436" s="10"/>
      <c r="DR436" s="10"/>
    </row>
    <row r="437" spans="1:122" x14ac:dyDescent="0.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0"/>
      <c r="BC437" s="10"/>
      <c r="BD437" s="10"/>
      <c r="BE437" s="10"/>
      <c r="BF437" s="10"/>
      <c r="BG437" s="10"/>
      <c r="BH437" s="10"/>
      <c r="BI437" s="10"/>
      <c r="BJ437" s="10"/>
      <c r="BK437" s="10"/>
      <c r="BL437" s="10"/>
      <c r="BM437" s="10"/>
      <c r="BN437" s="10"/>
      <c r="BO437" s="10"/>
      <c r="BP437" s="10"/>
      <c r="BQ437" s="10"/>
      <c r="BR437" s="10"/>
      <c r="BS437" s="10"/>
      <c r="BT437" s="10"/>
      <c r="BU437" s="10"/>
      <c r="BV437" s="10"/>
      <c r="BW437" s="10"/>
      <c r="BX437" s="10"/>
      <c r="BY437" s="10"/>
      <c r="BZ437" s="10"/>
      <c r="CA437" s="10"/>
      <c r="CB437" s="10"/>
      <c r="CC437" s="10"/>
      <c r="CD437" s="10"/>
      <c r="CE437" s="10"/>
      <c r="CF437" s="10"/>
      <c r="CG437" s="10"/>
      <c r="CH437" s="10"/>
      <c r="CI437" s="10"/>
      <c r="CJ437" s="10"/>
      <c r="CK437" s="10"/>
      <c r="CL437" s="10"/>
      <c r="CM437" s="10"/>
      <c r="CN437" s="10"/>
      <c r="CO437" s="10"/>
      <c r="CP437" s="10"/>
      <c r="CQ437" s="10"/>
      <c r="CR437" s="10"/>
      <c r="CS437" s="10"/>
      <c r="CT437" s="10"/>
      <c r="CU437" s="10"/>
      <c r="CV437" s="10"/>
      <c r="CW437" s="10"/>
      <c r="CX437" s="10"/>
      <c r="CY437" s="10"/>
      <c r="CZ437" s="10"/>
      <c r="DA437" s="10"/>
      <c r="DB437" s="10"/>
      <c r="DC437" s="10"/>
      <c r="DD437" s="10"/>
      <c r="DE437" s="10"/>
      <c r="DF437" s="10"/>
      <c r="DG437" s="10"/>
      <c r="DH437" s="10"/>
      <c r="DI437" s="10"/>
      <c r="DJ437" s="10"/>
      <c r="DK437" s="10"/>
      <c r="DL437" s="10"/>
      <c r="DM437" s="10"/>
      <c r="DN437" s="10"/>
      <c r="DO437" s="10"/>
      <c r="DP437" s="10"/>
      <c r="DQ437" s="10"/>
      <c r="DR437" s="10"/>
    </row>
    <row r="438" spans="1:122" x14ac:dyDescent="0.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0"/>
      <c r="BC438" s="10"/>
      <c r="BD438" s="10"/>
      <c r="BE438" s="10"/>
      <c r="BF438" s="10"/>
      <c r="BG438" s="10"/>
      <c r="BH438" s="10"/>
      <c r="BI438" s="10"/>
      <c r="BJ438" s="10"/>
      <c r="BK438" s="10"/>
      <c r="BL438" s="10"/>
      <c r="BM438" s="10"/>
      <c r="BN438" s="10"/>
      <c r="BO438" s="10"/>
      <c r="BP438" s="10"/>
      <c r="BQ438" s="10"/>
      <c r="BR438" s="10"/>
      <c r="BS438" s="10"/>
      <c r="BT438" s="10"/>
      <c r="BU438" s="10"/>
      <c r="BV438" s="10"/>
      <c r="BW438" s="10"/>
      <c r="BX438" s="10"/>
      <c r="BY438" s="10"/>
      <c r="BZ438" s="10"/>
      <c r="CA438" s="10"/>
      <c r="CB438" s="10"/>
      <c r="CC438" s="10"/>
      <c r="CD438" s="10"/>
      <c r="CE438" s="10"/>
      <c r="CF438" s="10"/>
      <c r="CG438" s="10"/>
      <c r="CH438" s="10"/>
      <c r="CI438" s="10"/>
      <c r="CJ438" s="10"/>
      <c r="CK438" s="10"/>
      <c r="CL438" s="10"/>
      <c r="CM438" s="10"/>
      <c r="CN438" s="10"/>
      <c r="CO438" s="10"/>
      <c r="CP438" s="10"/>
      <c r="CQ438" s="10"/>
      <c r="CR438" s="10"/>
      <c r="CS438" s="10"/>
      <c r="CT438" s="10"/>
      <c r="CU438" s="10"/>
      <c r="CV438" s="10"/>
      <c r="CW438" s="10"/>
      <c r="CX438" s="10"/>
      <c r="CY438" s="10"/>
      <c r="CZ438" s="10"/>
      <c r="DA438" s="10"/>
      <c r="DB438" s="10"/>
      <c r="DC438" s="10"/>
      <c r="DD438" s="10"/>
      <c r="DE438" s="10"/>
      <c r="DF438" s="10"/>
      <c r="DG438" s="10"/>
      <c r="DH438" s="10"/>
      <c r="DI438" s="10"/>
      <c r="DJ438" s="10"/>
      <c r="DK438" s="10"/>
      <c r="DL438" s="10"/>
      <c r="DM438" s="10"/>
      <c r="DN438" s="10"/>
      <c r="DO438" s="10"/>
      <c r="DP438" s="10"/>
      <c r="DQ438" s="10"/>
      <c r="DR438" s="10"/>
    </row>
    <row r="439" spans="1:122" x14ac:dyDescent="0.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0"/>
      <c r="BC439" s="10"/>
      <c r="BD439" s="10"/>
      <c r="BE439" s="10"/>
      <c r="BF439" s="10"/>
      <c r="BG439" s="10"/>
      <c r="BH439" s="10"/>
      <c r="BI439" s="10"/>
      <c r="BJ439" s="10"/>
      <c r="BK439" s="10"/>
      <c r="BL439" s="10"/>
      <c r="BM439" s="10"/>
      <c r="BN439" s="10"/>
      <c r="BO439" s="10"/>
      <c r="BP439" s="10"/>
      <c r="BQ439" s="10"/>
      <c r="BR439" s="10"/>
      <c r="BS439" s="10"/>
      <c r="BT439" s="10"/>
      <c r="BU439" s="10"/>
      <c r="BV439" s="10"/>
      <c r="BW439" s="10"/>
      <c r="BX439" s="10"/>
      <c r="BY439" s="10"/>
      <c r="BZ439" s="10"/>
      <c r="CA439" s="10"/>
      <c r="CB439" s="10"/>
      <c r="CC439" s="10"/>
      <c r="CD439" s="10"/>
      <c r="CE439" s="10"/>
      <c r="CF439" s="10"/>
      <c r="CG439" s="10"/>
      <c r="CH439" s="10"/>
      <c r="CI439" s="10"/>
      <c r="CJ439" s="10"/>
      <c r="CK439" s="10"/>
      <c r="CL439" s="10"/>
      <c r="CM439" s="10"/>
      <c r="CN439" s="10"/>
      <c r="CO439" s="10"/>
      <c r="CP439" s="10"/>
      <c r="CQ439" s="10"/>
      <c r="CR439" s="10"/>
      <c r="CS439" s="10"/>
      <c r="CT439" s="10"/>
      <c r="CU439" s="10"/>
      <c r="CV439" s="10"/>
      <c r="CW439" s="10"/>
      <c r="CX439" s="10"/>
      <c r="CY439" s="10"/>
      <c r="CZ439" s="10"/>
      <c r="DA439" s="10"/>
      <c r="DB439" s="10"/>
      <c r="DC439" s="10"/>
      <c r="DD439" s="10"/>
      <c r="DE439" s="10"/>
      <c r="DF439" s="10"/>
      <c r="DG439" s="10"/>
      <c r="DH439" s="10"/>
      <c r="DI439" s="10"/>
      <c r="DJ439" s="10"/>
      <c r="DK439" s="10"/>
      <c r="DL439" s="10"/>
      <c r="DM439" s="10"/>
      <c r="DN439" s="10"/>
      <c r="DO439" s="10"/>
      <c r="DP439" s="10"/>
      <c r="DQ439" s="10"/>
      <c r="DR439" s="10"/>
    </row>
    <row r="440" spans="1:122" x14ac:dyDescent="0.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0"/>
      <c r="BC440" s="10"/>
      <c r="BD440" s="10"/>
      <c r="BE440" s="10"/>
      <c r="BF440" s="10"/>
      <c r="BG440" s="10"/>
      <c r="BH440" s="10"/>
      <c r="BI440" s="10"/>
      <c r="BJ440" s="10"/>
      <c r="BK440" s="10"/>
      <c r="BL440" s="10"/>
      <c r="BM440" s="10"/>
      <c r="BN440" s="10"/>
      <c r="BO440" s="10"/>
      <c r="BP440" s="10"/>
      <c r="BQ440" s="10"/>
      <c r="BR440" s="10"/>
      <c r="BS440" s="10"/>
      <c r="BT440" s="10"/>
      <c r="BU440" s="10"/>
      <c r="BV440" s="10"/>
      <c r="BW440" s="10"/>
      <c r="BX440" s="10"/>
      <c r="BY440" s="10"/>
      <c r="BZ440" s="10"/>
      <c r="CA440" s="10"/>
      <c r="CB440" s="10"/>
      <c r="CC440" s="10"/>
      <c r="CD440" s="10"/>
      <c r="CE440" s="10"/>
      <c r="CF440" s="10"/>
      <c r="CG440" s="10"/>
      <c r="CH440" s="10"/>
      <c r="CI440" s="10"/>
      <c r="CJ440" s="10"/>
      <c r="CK440" s="10"/>
      <c r="CL440" s="10"/>
      <c r="CM440" s="10"/>
      <c r="CN440" s="10"/>
      <c r="CO440" s="10"/>
      <c r="CP440" s="10"/>
      <c r="CQ440" s="10"/>
      <c r="CR440" s="10"/>
      <c r="CS440" s="10"/>
      <c r="CT440" s="10"/>
      <c r="CU440" s="10"/>
      <c r="CV440" s="10"/>
      <c r="CW440" s="10"/>
      <c r="CX440" s="10"/>
      <c r="CY440" s="10"/>
      <c r="CZ440" s="10"/>
      <c r="DA440" s="10"/>
      <c r="DB440" s="10"/>
      <c r="DC440" s="10"/>
      <c r="DD440" s="10"/>
      <c r="DE440" s="10"/>
      <c r="DF440" s="10"/>
      <c r="DG440" s="10"/>
      <c r="DH440" s="10"/>
      <c r="DI440" s="10"/>
      <c r="DJ440" s="10"/>
      <c r="DK440" s="10"/>
      <c r="DL440" s="10"/>
      <c r="DM440" s="10"/>
      <c r="DN440" s="10"/>
      <c r="DO440" s="10"/>
      <c r="DP440" s="10"/>
      <c r="DQ440" s="10"/>
      <c r="DR440" s="10"/>
    </row>
    <row r="441" spans="1:122" x14ac:dyDescent="0.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0"/>
      <c r="BC441" s="10"/>
      <c r="BD441" s="10"/>
      <c r="BE441" s="10"/>
      <c r="BF441" s="10"/>
      <c r="BG441" s="10"/>
      <c r="BH441" s="10"/>
      <c r="BI441" s="10"/>
      <c r="BJ441" s="10"/>
      <c r="BK441" s="10"/>
      <c r="BL441" s="10"/>
      <c r="BM441" s="10"/>
      <c r="BN441" s="10"/>
      <c r="BO441" s="10"/>
      <c r="BP441" s="10"/>
      <c r="BQ441" s="10"/>
      <c r="BR441" s="10"/>
      <c r="BS441" s="10"/>
      <c r="BT441" s="10"/>
      <c r="BU441" s="10"/>
      <c r="BV441" s="10"/>
      <c r="BW441" s="10"/>
      <c r="BX441" s="10"/>
      <c r="BY441" s="10"/>
      <c r="BZ441" s="10"/>
      <c r="CA441" s="10"/>
      <c r="CB441" s="10"/>
      <c r="CC441" s="10"/>
      <c r="CD441" s="10"/>
      <c r="CE441" s="10"/>
      <c r="CF441" s="10"/>
      <c r="CG441" s="10"/>
      <c r="CH441" s="10"/>
      <c r="CI441" s="10"/>
      <c r="CJ441" s="10"/>
      <c r="CK441" s="10"/>
      <c r="CL441" s="10"/>
      <c r="CM441" s="10"/>
      <c r="CN441" s="10"/>
      <c r="CO441" s="10"/>
      <c r="CP441" s="10"/>
      <c r="CQ441" s="10"/>
      <c r="CR441" s="10"/>
      <c r="CS441" s="10"/>
      <c r="CT441" s="10"/>
      <c r="CU441" s="10"/>
      <c r="CV441" s="10"/>
      <c r="CW441" s="10"/>
      <c r="CX441" s="10"/>
      <c r="CY441" s="10"/>
      <c r="CZ441" s="10"/>
      <c r="DA441" s="10"/>
      <c r="DB441" s="10"/>
      <c r="DC441" s="10"/>
      <c r="DD441" s="10"/>
      <c r="DE441" s="10"/>
      <c r="DF441" s="10"/>
      <c r="DG441" s="10"/>
      <c r="DH441" s="10"/>
      <c r="DI441" s="10"/>
      <c r="DJ441" s="10"/>
      <c r="DK441" s="10"/>
      <c r="DL441" s="10"/>
      <c r="DM441" s="10"/>
      <c r="DN441" s="10"/>
      <c r="DO441" s="10"/>
      <c r="DP441" s="10"/>
      <c r="DQ441" s="10"/>
      <c r="DR441" s="10"/>
    </row>
    <row r="442" spans="1:122" x14ac:dyDescent="0.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0"/>
      <c r="BC442" s="10"/>
      <c r="BD442" s="10"/>
      <c r="BE442" s="10"/>
      <c r="BF442" s="10"/>
      <c r="BG442" s="10"/>
      <c r="BH442" s="10"/>
      <c r="BI442" s="10"/>
      <c r="BJ442" s="10"/>
      <c r="BK442" s="10"/>
      <c r="BL442" s="10"/>
      <c r="BM442" s="10"/>
      <c r="BN442" s="10"/>
      <c r="BO442" s="10"/>
      <c r="BP442" s="10"/>
      <c r="BQ442" s="10"/>
      <c r="BR442" s="10"/>
      <c r="BS442" s="10"/>
      <c r="BT442" s="10"/>
      <c r="BU442" s="10"/>
      <c r="BV442" s="10"/>
      <c r="BW442" s="10"/>
      <c r="BX442" s="10"/>
      <c r="BY442" s="10"/>
      <c r="BZ442" s="10"/>
      <c r="CA442" s="10"/>
      <c r="CB442" s="10"/>
      <c r="CC442" s="10"/>
      <c r="CD442" s="10"/>
      <c r="CE442" s="10"/>
      <c r="CF442" s="10"/>
      <c r="CG442" s="10"/>
      <c r="CH442" s="10"/>
      <c r="CI442" s="10"/>
      <c r="CJ442" s="10"/>
      <c r="CK442" s="10"/>
      <c r="CL442" s="10"/>
      <c r="CM442" s="10"/>
      <c r="CN442" s="10"/>
      <c r="CO442" s="10"/>
      <c r="CP442" s="10"/>
      <c r="CQ442" s="10"/>
      <c r="CR442" s="10"/>
      <c r="CS442" s="10"/>
      <c r="CT442" s="10"/>
      <c r="CU442" s="10"/>
      <c r="CV442" s="10"/>
      <c r="CW442" s="10"/>
      <c r="CX442" s="10"/>
      <c r="CY442" s="10"/>
      <c r="CZ442" s="10"/>
      <c r="DA442" s="10"/>
      <c r="DB442" s="10"/>
      <c r="DC442" s="10"/>
      <c r="DD442" s="10"/>
      <c r="DE442" s="10"/>
      <c r="DF442" s="10"/>
      <c r="DG442" s="10"/>
      <c r="DH442" s="10"/>
      <c r="DI442" s="10"/>
      <c r="DJ442" s="10"/>
      <c r="DK442" s="10"/>
      <c r="DL442" s="10"/>
      <c r="DM442" s="10"/>
      <c r="DN442" s="10"/>
      <c r="DO442" s="10"/>
      <c r="DP442" s="10"/>
      <c r="DQ442" s="10"/>
      <c r="DR442" s="10"/>
    </row>
    <row r="443" spans="1:122" x14ac:dyDescent="0.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0"/>
      <c r="BC443" s="10"/>
      <c r="BD443" s="10"/>
      <c r="BE443" s="10"/>
      <c r="BF443" s="10"/>
      <c r="BG443" s="10"/>
      <c r="BH443" s="10"/>
      <c r="BI443" s="10"/>
      <c r="BJ443" s="10"/>
      <c r="BK443" s="10"/>
      <c r="BL443" s="10"/>
      <c r="BM443" s="10"/>
      <c r="BN443" s="10"/>
      <c r="BO443" s="10"/>
      <c r="BP443" s="10"/>
      <c r="BQ443" s="10"/>
      <c r="BR443" s="10"/>
      <c r="BS443" s="10"/>
      <c r="BT443" s="10"/>
      <c r="BU443" s="10"/>
      <c r="BV443" s="10"/>
      <c r="BW443" s="10"/>
      <c r="BX443" s="10"/>
      <c r="BY443" s="10"/>
      <c r="BZ443" s="10"/>
      <c r="CA443" s="10"/>
      <c r="CB443" s="10"/>
      <c r="CC443" s="10"/>
      <c r="CD443" s="10"/>
      <c r="CE443" s="10"/>
      <c r="CF443" s="10"/>
      <c r="CG443" s="10"/>
      <c r="CH443" s="10"/>
      <c r="CI443" s="10"/>
      <c r="CJ443" s="10"/>
      <c r="CK443" s="10"/>
      <c r="CL443" s="10"/>
      <c r="CM443" s="10"/>
      <c r="CN443" s="10"/>
      <c r="CO443" s="10"/>
      <c r="CP443" s="10"/>
      <c r="CQ443" s="10"/>
      <c r="CR443" s="10"/>
      <c r="CS443" s="10"/>
      <c r="CT443" s="10"/>
      <c r="CU443" s="10"/>
      <c r="CV443" s="10"/>
      <c r="CW443" s="10"/>
      <c r="CX443" s="10"/>
      <c r="CY443" s="10"/>
      <c r="CZ443" s="10"/>
      <c r="DA443" s="10"/>
      <c r="DB443" s="10"/>
      <c r="DC443" s="10"/>
      <c r="DD443" s="10"/>
      <c r="DE443" s="10"/>
      <c r="DF443" s="10"/>
      <c r="DG443" s="10"/>
      <c r="DH443" s="10"/>
      <c r="DI443" s="10"/>
      <c r="DJ443" s="10"/>
      <c r="DK443" s="10"/>
      <c r="DL443" s="10"/>
      <c r="DM443" s="10"/>
      <c r="DN443" s="10"/>
      <c r="DO443" s="10"/>
      <c r="DP443" s="10"/>
      <c r="DQ443" s="10"/>
      <c r="DR443" s="10"/>
    </row>
    <row r="444" spans="1:122" x14ac:dyDescent="0.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0"/>
      <c r="BC444" s="10"/>
      <c r="BD444" s="10"/>
      <c r="BE444" s="10"/>
      <c r="BF444" s="10"/>
      <c r="BG444" s="10"/>
      <c r="BH444" s="10"/>
      <c r="BI444" s="10"/>
      <c r="BJ444" s="10"/>
      <c r="BK444" s="10"/>
      <c r="BL444" s="10"/>
      <c r="BM444" s="10"/>
      <c r="BN444" s="10"/>
      <c r="BO444" s="10"/>
      <c r="BP444" s="10"/>
      <c r="BQ444" s="10"/>
      <c r="BR444" s="10"/>
      <c r="BS444" s="10"/>
      <c r="BT444" s="10"/>
      <c r="BU444" s="10"/>
      <c r="BV444" s="10"/>
      <c r="BW444" s="10"/>
      <c r="BX444" s="10"/>
      <c r="BY444" s="10"/>
      <c r="BZ444" s="10"/>
      <c r="CA444" s="10"/>
      <c r="CB444" s="10"/>
      <c r="CC444" s="10"/>
      <c r="CD444" s="10"/>
      <c r="CE444" s="10"/>
      <c r="CF444" s="10"/>
      <c r="CG444" s="10"/>
      <c r="CH444" s="10"/>
      <c r="CI444" s="10"/>
      <c r="CJ444" s="10"/>
      <c r="CK444" s="10"/>
      <c r="CL444" s="10"/>
      <c r="CM444" s="10"/>
      <c r="CN444" s="10"/>
      <c r="CO444" s="10"/>
      <c r="CP444" s="10"/>
      <c r="CQ444" s="10"/>
      <c r="CR444" s="10"/>
      <c r="CS444" s="10"/>
      <c r="CT444" s="10"/>
      <c r="CU444" s="10"/>
      <c r="CV444" s="10"/>
      <c r="CW444" s="10"/>
      <c r="CX444" s="10"/>
      <c r="CY444" s="10"/>
      <c r="CZ444" s="10"/>
      <c r="DA444" s="10"/>
      <c r="DB444" s="10"/>
      <c r="DC444" s="10"/>
      <c r="DD444" s="10"/>
      <c r="DE444" s="10"/>
      <c r="DF444" s="10"/>
      <c r="DG444" s="10"/>
      <c r="DH444" s="10"/>
      <c r="DI444" s="10"/>
      <c r="DJ444" s="10"/>
      <c r="DK444" s="10"/>
      <c r="DL444" s="10"/>
      <c r="DM444" s="10"/>
      <c r="DN444" s="10"/>
      <c r="DO444" s="10"/>
      <c r="DP444" s="10"/>
      <c r="DQ444" s="10"/>
      <c r="DR444" s="10"/>
    </row>
    <row r="445" spans="1:122" x14ac:dyDescent="0.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0"/>
      <c r="BC445" s="10"/>
      <c r="BD445" s="10"/>
      <c r="BE445" s="10"/>
      <c r="BF445" s="10"/>
      <c r="BG445" s="10"/>
      <c r="BH445" s="10"/>
      <c r="BI445" s="10"/>
      <c r="BJ445" s="10"/>
      <c r="BK445" s="10"/>
      <c r="BL445" s="10"/>
      <c r="BM445" s="10"/>
      <c r="BN445" s="10"/>
      <c r="BO445" s="10"/>
      <c r="BP445" s="10"/>
      <c r="BQ445" s="10"/>
      <c r="BR445" s="10"/>
      <c r="BS445" s="10"/>
      <c r="BT445" s="10"/>
      <c r="BU445" s="10"/>
      <c r="BV445" s="10"/>
      <c r="BW445" s="10"/>
      <c r="BX445" s="10"/>
      <c r="BY445" s="10"/>
      <c r="BZ445" s="10"/>
      <c r="CA445" s="10"/>
      <c r="CB445" s="10"/>
      <c r="CC445" s="10"/>
      <c r="CD445" s="10"/>
      <c r="CE445" s="10"/>
      <c r="CF445" s="10"/>
      <c r="CG445" s="10"/>
      <c r="CH445" s="10"/>
      <c r="CI445" s="10"/>
      <c r="CJ445" s="10"/>
      <c r="CK445" s="10"/>
      <c r="CL445" s="10"/>
      <c r="CM445" s="10"/>
      <c r="CN445" s="10"/>
      <c r="CO445" s="10"/>
      <c r="CP445" s="10"/>
      <c r="CQ445" s="10"/>
      <c r="CR445" s="10"/>
      <c r="CS445" s="10"/>
      <c r="CT445" s="10"/>
      <c r="CU445" s="10"/>
      <c r="CV445" s="10"/>
      <c r="CW445" s="10"/>
      <c r="CX445" s="10"/>
      <c r="CY445" s="10"/>
      <c r="CZ445" s="10"/>
      <c r="DA445" s="10"/>
      <c r="DB445" s="10"/>
      <c r="DC445" s="10"/>
      <c r="DD445" s="10"/>
      <c r="DE445" s="10"/>
      <c r="DF445" s="10"/>
      <c r="DG445" s="10"/>
      <c r="DH445" s="10"/>
      <c r="DI445" s="10"/>
      <c r="DJ445" s="10"/>
      <c r="DK445" s="10"/>
      <c r="DL445" s="10"/>
      <c r="DM445" s="10"/>
      <c r="DN445" s="10"/>
      <c r="DO445" s="10"/>
      <c r="DP445" s="10"/>
      <c r="DQ445" s="10"/>
      <c r="DR445" s="10"/>
    </row>
    <row r="446" spans="1:122" x14ac:dyDescent="0.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0"/>
      <c r="BC446" s="10"/>
      <c r="BD446" s="10"/>
      <c r="BE446" s="10"/>
      <c r="BF446" s="10"/>
      <c r="BG446" s="10"/>
      <c r="BH446" s="10"/>
      <c r="BI446" s="10"/>
      <c r="BJ446" s="10"/>
      <c r="BK446" s="10"/>
      <c r="BL446" s="10"/>
      <c r="BM446" s="10"/>
      <c r="BN446" s="10"/>
      <c r="BO446" s="10"/>
      <c r="BP446" s="10"/>
      <c r="BQ446" s="10"/>
      <c r="BR446" s="10"/>
      <c r="BS446" s="10"/>
      <c r="BT446" s="10"/>
      <c r="BU446" s="10"/>
      <c r="BV446" s="10"/>
      <c r="BW446" s="10"/>
      <c r="BX446" s="10"/>
      <c r="BY446" s="10"/>
      <c r="BZ446" s="10"/>
      <c r="CA446" s="10"/>
      <c r="CB446" s="10"/>
      <c r="CC446" s="10"/>
      <c r="CD446" s="10"/>
      <c r="CE446" s="10"/>
      <c r="CF446" s="10"/>
      <c r="CG446" s="10"/>
      <c r="CH446" s="10"/>
      <c r="CI446" s="10"/>
      <c r="CJ446" s="10"/>
      <c r="CK446" s="10"/>
      <c r="CL446" s="10"/>
      <c r="CM446" s="10"/>
      <c r="CN446" s="10"/>
      <c r="CO446" s="10"/>
      <c r="CP446" s="10"/>
      <c r="CQ446" s="10"/>
      <c r="CR446" s="10"/>
      <c r="CS446" s="10"/>
      <c r="CT446" s="10"/>
      <c r="CU446" s="10"/>
      <c r="CV446" s="10"/>
      <c r="CW446" s="10"/>
      <c r="CX446" s="10"/>
      <c r="CY446" s="10"/>
      <c r="CZ446" s="10"/>
      <c r="DA446" s="10"/>
      <c r="DB446" s="10"/>
      <c r="DC446" s="10"/>
      <c r="DD446" s="10"/>
      <c r="DE446" s="10"/>
      <c r="DF446" s="10"/>
      <c r="DG446" s="10"/>
      <c r="DH446" s="10"/>
      <c r="DI446" s="10"/>
      <c r="DJ446" s="10"/>
      <c r="DK446" s="10"/>
      <c r="DL446" s="10"/>
      <c r="DM446" s="10"/>
      <c r="DN446" s="10"/>
      <c r="DO446" s="10"/>
      <c r="DP446" s="10"/>
      <c r="DQ446" s="10"/>
      <c r="DR446" s="10"/>
    </row>
    <row r="447" spans="1:122" x14ac:dyDescent="0.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0"/>
      <c r="BC447" s="10"/>
      <c r="BD447" s="10"/>
      <c r="BE447" s="10"/>
      <c r="BF447" s="10"/>
      <c r="BG447" s="10"/>
      <c r="BH447" s="10"/>
      <c r="BI447" s="10"/>
      <c r="BJ447" s="10"/>
      <c r="BK447" s="10"/>
      <c r="BL447" s="10"/>
      <c r="BM447" s="10"/>
      <c r="BN447" s="10"/>
      <c r="BO447" s="10"/>
      <c r="BP447" s="10"/>
      <c r="BQ447" s="10"/>
      <c r="BR447" s="10"/>
      <c r="BS447" s="10"/>
      <c r="BT447" s="10"/>
      <c r="BU447" s="10"/>
      <c r="BV447" s="10"/>
      <c r="BW447" s="10"/>
      <c r="BX447" s="10"/>
      <c r="BY447" s="10"/>
      <c r="BZ447" s="10"/>
      <c r="CA447" s="10"/>
      <c r="CB447" s="10"/>
      <c r="CC447" s="10"/>
      <c r="CD447" s="10"/>
      <c r="CE447" s="10"/>
      <c r="CF447" s="10"/>
      <c r="CG447" s="10"/>
      <c r="CH447" s="10"/>
      <c r="CI447" s="10"/>
      <c r="CJ447" s="10"/>
      <c r="CK447" s="10"/>
      <c r="CL447" s="10"/>
      <c r="CM447" s="10"/>
      <c r="CN447" s="10"/>
      <c r="CO447" s="10"/>
      <c r="CP447" s="10"/>
      <c r="CQ447" s="10"/>
      <c r="CR447" s="10"/>
      <c r="CS447" s="10"/>
      <c r="CT447" s="10"/>
      <c r="CU447" s="10"/>
      <c r="CV447" s="10"/>
      <c r="CW447" s="10"/>
      <c r="CX447" s="10"/>
      <c r="CY447" s="10"/>
      <c r="CZ447" s="10"/>
      <c r="DA447" s="10"/>
      <c r="DB447" s="10"/>
      <c r="DC447" s="10"/>
      <c r="DD447" s="10"/>
      <c r="DE447" s="10"/>
      <c r="DF447" s="10"/>
      <c r="DG447" s="10"/>
      <c r="DH447" s="10"/>
      <c r="DI447" s="10"/>
      <c r="DJ447" s="10"/>
      <c r="DK447" s="10"/>
      <c r="DL447" s="10"/>
      <c r="DM447" s="10"/>
      <c r="DN447" s="10"/>
      <c r="DO447" s="10"/>
      <c r="DP447" s="10"/>
      <c r="DQ447" s="10"/>
      <c r="DR447" s="10"/>
    </row>
    <row r="448" spans="1:122" x14ac:dyDescent="0.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0"/>
      <c r="BC448" s="10"/>
      <c r="BD448" s="10"/>
      <c r="BE448" s="10"/>
      <c r="BF448" s="10"/>
      <c r="BG448" s="10"/>
      <c r="BH448" s="10"/>
      <c r="BI448" s="10"/>
      <c r="BJ448" s="10"/>
      <c r="BK448" s="10"/>
      <c r="BL448" s="10"/>
      <c r="BM448" s="10"/>
      <c r="BN448" s="10"/>
      <c r="BO448" s="10"/>
      <c r="BP448" s="10"/>
      <c r="BQ448" s="10"/>
      <c r="BR448" s="10"/>
      <c r="BS448" s="10"/>
      <c r="BT448" s="10"/>
      <c r="BU448" s="10"/>
      <c r="BV448" s="10"/>
      <c r="BW448" s="10"/>
      <c r="BX448" s="10"/>
      <c r="BY448" s="10"/>
      <c r="BZ448" s="10"/>
      <c r="CA448" s="10"/>
      <c r="CB448" s="10"/>
      <c r="CC448" s="10"/>
      <c r="CD448" s="10"/>
      <c r="CE448" s="10"/>
      <c r="CF448" s="10"/>
      <c r="CG448" s="10"/>
      <c r="CH448" s="10"/>
      <c r="CI448" s="10"/>
      <c r="CJ448" s="10"/>
      <c r="CK448" s="10"/>
      <c r="CL448" s="10"/>
      <c r="CM448" s="10"/>
      <c r="CN448" s="10"/>
      <c r="CO448" s="10"/>
      <c r="CP448" s="10"/>
      <c r="CQ448" s="10"/>
      <c r="CR448" s="10"/>
      <c r="CS448" s="10"/>
      <c r="CT448" s="10"/>
      <c r="CU448" s="10"/>
      <c r="CV448" s="10"/>
      <c r="CW448" s="10"/>
      <c r="CX448" s="10"/>
      <c r="CY448" s="10"/>
      <c r="CZ448" s="10"/>
      <c r="DA448" s="10"/>
      <c r="DB448" s="10"/>
      <c r="DC448" s="10"/>
      <c r="DD448" s="10"/>
      <c r="DE448" s="10"/>
      <c r="DF448" s="10"/>
      <c r="DG448" s="10"/>
      <c r="DH448" s="10"/>
      <c r="DI448" s="10"/>
      <c r="DJ448" s="10"/>
      <c r="DK448" s="10"/>
      <c r="DL448" s="10"/>
      <c r="DM448" s="10"/>
      <c r="DN448" s="10"/>
      <c r="DO448" s="10"/>
      <c r="DP448" s="10"/>
      <c r="DQ448" s="10"/>
      <c r="DR448" s="10"/>
    </row>
    <row r="449" spans="1:122" x14ac:dyDescent="0.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0"/>
      <c r="BC449" s="10"/>
      <c r="BD449" s="10"/>
      <c r="BE449" s="10"/>
      <c r="BF449" s="10"/>
      <c r="BG449" s="10"/>
      <c r="BH449" s="10"/>
      <c r="BI449" s="10"/>
      <c r="BJ449" s="10"/>
      <c r="BK449" s="10"/>
      <c r="BL449" s="10"/>
      <c r="BM449" s="10"/>
      <c r="BN449" s="10"/>
      <c r="BO449" s="10"/>
      <c r="BP449" s="10"/>
      <c r="BQ449" s="10"/>
      <c r="BR449" s="10"/>
      <c r="BS449" s="10"/>
      <c r="BT449" s="10"/>
      <c r="BU449" s="10"/>
      <c r="BV449" s="10"/>
      <c r="BW449" s="10"/>
      <c r="BX449" s="10"/>
      <c r="BY449" s="10"/>
      <c r="BZ449" s="10"/>
      <c r="CA449" s="10"/>
      <c r="CB449" s="10"/>
      <c r="CC449" s="10"/>
      <c r="CD449" s="10"/>
      <c r="CE449" s="10"/>
      <c r="CF449" s="10"/>
      <c r="CG449" s="10"/>
      <c r="CH449" s="10"/>
      <c r="CI449" s="10"/>
      <c r="CJ449" s="10"/>
      <c r="CK449" s="10"/>
      <c r="CL449" s="10"/>
      <c r="CM449" s="10"/>
      <c r="CN449" s="10"/>
      <c r="CO449" s="10"/>
      <c r="CP449" s="10"/>
      <c r="CQ449" s="10"/>
      <c r="CR449" s="10"/>
      <c r="CS449" s="10"/>
      <c r="CT449" s="10"/>
      <c r="CU449" s="10"/>
      <c r="CV449" s="10"/>
      <c r="CW449" s="10"/>
      <c r="CX449" s="10"/>
      <c r="CY449" s="10"/>
      <c r="CZ449" s="10"/>
      <c r="DA449" s="10"/>
      <c r="DB449" s="10"/>
      <c r="DC449" s="10"/>
      <c r="DD449" s="10"/>
      <c r="DE449" s="10"/>
      <c r="DF449" s="10"/>
      <c r="DG449" s="10"/>
      <c r="DH449" s="10"/>
      <c r="DI449" s="10"/>
      <c r="DJ449" s="10"/>
      <c r="DK449" s="10"/>
      <c r="DL449" s="10"/>
      <c r="DM449" s="10"/>
      <c r="DN449" s="10"/>
      <c r="DO449" s="10"/>
      <c r="DP449" s="10"/>
      <c r="DQ449" s="10"/>
      <c r="DR449" s="10"/>
    </row>
    <row r="450" spans="1:122" x14ac:dyDescent="0.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0"/>
      <c r="BC450" s="10"/>
      <c r="BD450" s="10"/>
      <c r="BE450" s="10"/>
      <c r="BF450" s="10"/>
      <c r="BG450" s="10"/>
      <c r="BH450" s="10"/>
      <c r="BI450" s="10"/>
      <c r="BJ450" s="10"/>
      <c r="BK450" s="10"/>
      <c r="BL450" s="10"/>
      <c r="BM450" s="10"/>
      <c r="BN450" s="10"/>
      <c r="BO450" s="10"/>
      <c r="BP450" s="10"/>
      <c r="BQ450" s="10"/>
      <c r="BR450" s="10"/>
      <c r="BS450" s="10"/>
      <c r="BT450" s="10"/>
      <c r="BU450" s="10"/>
      <c r="BV450" s="10"/>
      <c r="BW450" s="10"/>
      <c r="BX450" s="10"/>
      <c r="BY450" s="10"/>
      <c r="BZ450" s="10"/>
      <c r="CA450" s="10"/>
      <c r="CB450" s="10"/>
      <c r="CC450" s="10"/>
      <c r="CD450" s="10"/>
      <c r="CE450" s="10"/>
      <c r="CF450" s="10"/>
      <c r="CG450" s="10"/>
      <c r="CH450" s="10"/>
      <c r="CI450" s="10"/>
      <c r="CJ450" s="10"/>
      <c r="CK450" s="10"/>
      <c r="CL450" s="10"/>
      <c r="CM450" s="10"/>
      <c r="CN450" s="10"/>
      <c r="CO450" s="10"/>
      <c r="CP450" s="10"/>
      <c r="CQ450" s="10"/>
      <c r="CR450" s="10"/>
      <c r="CS450" s="10"/>
      <c r="CT450" s="10"/>
      <c r="CU450" s="10"/>
      <c r="CV450" s="10"/>
      <c r="CW450" s="10"/>
      <c r="CX450" s="10"/>
      <c r="CY450" s="10"/>
      <c r="CZ450" s="10"/>
      <c r="DA450" s="10"/>
      <c r="DB450" s="10"/>
      <c r="DC450" s="10"/>
      <c r="DD450" s="10"/>
      <c r="DE450" s="10"/>
      <c r="DF450" s="10"/>
      <c r="DG450" s="10"/>
      <c r="DH450" s="10"/>
      <c r="DI450" s="10"/>
      <c r="DJ450" s="10"/>
      <c r="DK450" s="10"/>
      <c r="DL450" s="10"/>
      <c r="DM450" s="10"/>
      <c r="DN450" s="10"/>
      <c r="DO450" s="10"/>
      <c r="DP450" s="10"/>
      <c r="DQ450" s="10"/>
      <c r="DR450" s="10"/>
    </row>
    <row r="451" spans="1:122" x14ac:dyDescent="0.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0"/>
      <c r="BC451" s="10"/>
      <c r="BD451" s="10"/>
      <c r="BE451" s="10"/>
      <c r="BF451" s="10"/>
      <c r="BG451" s="10"/>
      <c r="BH451" s="10"/>
      <c r="BI451" s="10"/>
      <c r="BJ451" s="10"/>
      <c r="BK451" s="10"/>
      <c r="BL451" s="10"/>
      <c r="BM451" s="10"/>
      <c r="BN451" s="10"/>
      <c r="BO451" s="10"/>
      <c r="BP451" s="10"/>
      <c r="BQ451" s="10"/>
      <c r="BR451" s="10"/>
      <c r="BS451" s="10"/>
      <c r="BT451" s="10"/>
      <c r="BU451" s="10"/>
      <c r="BV451" s="10"/>
      <c r="BW451" s="10"/>
      <c r="BX451" s="10"/>
      <c r="BY451" s="10"/>
      <c r="BZ451" s="10"/>
      <c r="CA451" s="10"/>
      <c r="CB451" s="10"/>
      <c r="CC451" s="10"/>
      <c r="CD451" s="10"/>
      <c r="CE451" s="10"/>
      <c r="CF451" s="10"/>
      <c r="CG451" s="10"/>
      <c r="CH451" s="10"/>
      <c r="CI451" s="10"/>
      <c r="CJ451" s="10"/>
      <c r="CK451" s="10"/>
      <c r="CL451" s="10"/>
      <c r="CM451" s="10"/>
      <c r="CN451" s="10"/>
      <c r="CO451" s="10"/>
      <c r="CP451" s="10"/>
      <c r="CQ451" s="10"/>
      <c r="CR451" s="10"/>
      <c r="CS451" s="10"/>
      <c r="CT451" s="10"/>
      <c r="CU451" s="10"/>
      <c r="CV451" s="10"/>
      <c r="CW451" s="10"/>
      <c r="CX451" s="10"/>
      <c r="CY451" s="10"/>
      <c r="CZ451" s="10"/>
      <c r="DA451" s="10"/>
      <c r="DB451" s="10"/>
      <c r="DC451" s="10"/>
      <c r="DD451" s="10"/>
      <c r="DE451" s="10"/>
      <c r="DF451" s="10"/>
      <c r="DG451" s="10"/>
      <c r="DH451" s="10"/>
      <c r="DI451" s="10"/>
      <c r="DJ451" s="10"/>
      <c r="DK451" s="10"/>
      <c r="DL451" s="10"/>
      <c r="DM451" s="10"/>
      <c r="DN451" s="10"/>
      <c r="DO451" s="10"/>
      <c r="DP451" s="10"/>
      <c r="DQ451" s="10"/>
      <c r="DR451" s="10"/>
    </row>
    <row r="452" spans="1:122" x14ac:dyDescent="0.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0"/>
      <c r="BC452" s="10"/>
      <c r="BD452" s="10"/>
      <c r="BE452" s="10"/>
      <c r="BF452" s="10"/>
      <c r="BG452" s="10"/>
      <c r="BH452" s="10"/>
      <c r="BI452" s="10"/>
      <c r="BJ452" s="10"/>
      <c r="BK452" s="10"/>
      <c r="BL452" s="10"/>
      <c r="BM452" s="10"/>
      <c r="BN452" s="10"/>
      <c r="BO452" s="10"/>
      <c r="BP452" s="10"/>
      <c r="BQ452" s="10"/>
      <c r="BR452" s="10"/>
      <c r="BS452" s="10"/>
      <c r="BT452" s="10"/>
      <c r="BU452" s="10"/>
      <c r="BV452" s="10"/>
      <c r="BW452" s="10"/>
      <c r="BX452" s="10"/>
      <c r="BY452" s="10"/>
      <c r="BZ452" s="10"/>
      <c r="CA452" s="10"/>
      <c r="CB452" s="10"/>
      <c r="CC452" s="10"/>
      <c r="CD452" s="10"/>
      <c r="CE452" s="10"/>
      <c r="CF452" s="10"/>
      <c r="CG452" s="10"/>
      <c r="CH452" s="10"/>
      <c r="CI452" s="10"/>
      <c r="CJ452" s="10"/>
      <c r="CK452" s="10"/>
      <c r="CL452" s="10"/>
      <c r="CM452" s="10"/>
      <c r="CN452" s="10"/>
      <c r="CO452" s="10"/>
      <c r="CP452" s="10"/>
      <c r="CQ452" s="10"/>
      <c r="CR452" s="10"/>
      <c r="CS452" s="10"/>
      <c r="CT452" s="10"/>
      <c r="CU452" s="10"/>
      <c r="CV452" s="10"/>
      <c r="CW452" s="10"/>
      <c r="CX452" s="10"/>
      <c r="CY452" s="10"/>
      <c r="CZ452" s="10"/>
      <c r="DA452" s="10"/>
      <c r="DB452" s="10"/>
      <c r="DC452" s="10"/>
      <c r="DD452" s="10"/>
      <c r="DE452" s="10"/>
      <c r="DF452" s="10"/>
      <c r="DG452" s="10"/>
      <c r="DH452" s="10"/>
      <c r="DI452" s="10"/>
      <c r="DJ452" s="10"/>
      <c r="DK452" s="10"/>
      <c r="DL452" s="10"/>
      <c r="DM452" s="10"/>
      <c r="DN452" s="10"/>
      <c r="DO452" s="10"/>
      <c r="DP452" s="10"/>
      <c r="DQ452" s="10"/>
      <c r="DR452" s="10"/>
    </row>
    <row r="453" spans="1:122" x14ac:dyDescent="0.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0"/>
      <c r="BC453" s="10"/>
      <c r="BD453" s="10"/>
      <c r="BE453" s="10"/>
      <c r="BF453" s="10"/>
      <c r="BG453" s="10"/>
      <c r="BH453" s="10"/>
      <c r="BI453" s="10"/>
      <c r="BJ453" s="10"/>
      <c r="BK453" s="10"/>
      <c r="BL453" s="10"/>
      <c r="BM453" s="10"/>
      <c r="BN453" s="10"/>
      <c r="BO453" s="10"/>
      <c r="BP453" s="10"/>
      <c r="BQ453" s="10"/>
      <c r="BR453" s="10"/>
      <c r="BS453" s="10"/>
      <c r="BT453" s="10"/>
      <c r="BU453" s="10"/>
      <c r="BV453" s="10"/>
      <c r="BW453" s="10"/>
      <c r="BX453" s="10"/>
      <c r="BY453" s="10"/>
      <c r="BZ453" s="10"/>
      <c r="CA453" s="10"/>
      <c r="CB453" s="10"/>
      <c r="CC453" s="10"/>
      <c r="CD453" s="10"/>
      <c r="CE453" s="10"/>
      <c r="CF453" s="10"/>
      <c r="CG453" s="10"/>
      <c r="CH453" s="10"/>
      <c r="CI453" s="10"/>
      <c r="CJ453" s="10"/>
      <c r="CK453" s="10"/>
      <c r="CL453" s="10"/>
      <c r="CM453" s="10"/>
      <c r="CN453" s="10"/>
      <c r="CO453" s="10"/>
      <c r="CP453" s="10"/>
      <c r="CQ453" s="10"/>
      <c r="CR453" s="10"/>
      <c r="CS453" s="10"/>
      <c r="CT453" s="10"/>
      <c r="CU453" s="10"/>
      <c r="CV453" s="10"/>
      <c r="CW453" s="10"/>
      <c r="CX453" s="10"/>
      <c r="CY453" s="10"/>
      <c r="CZ453" s="10"/>
      <c r="DA453" s="10"/>
      <c r="DB453" s="10"/>
      <c r="DC453" s="10"/>
      <c r="DD453" s="10"/>
      <c r="DE453" s="10"/>
      <c r="DF453" s="10"/>
      <c r="DG453" s="10"/>
      <c r="DH453" s="10"/>
      <c r="DI453" s="10"/>
      <c r="DJ453" s="10"/>
      <c r="DK453" s="10"/>
      <c r="DL453" s="10"/>
      <c r="DM453" s="10"/>
      <c r="DN453" s="10"/>
      <c r="DO453" s="10"/>
      <c r="DP453" s="10"/>
      <c r="DQ453" s="10"/>
      <c r="DR453" s="10"/>
    </row>
    <row r="454" spans="1:122" x14ac:dyDescent="0.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0"/>
      <c r="BC454" s="10"/>
      <c r="BD454" s="10"/>
      <c r="BE454" s="10"/>
      <c r="BF454" s="10"/>
      <c r="BG454" s="10"/>
      <c r="BH454" s="10"/>
      <c r="BI454" s="10"/>
      <c r="BJ454" s="10"/>
      <c r="BK454" s="10"/>
      <c r="BL454" s="10"/>
      <c r="BM454" s="10"/>
      <c r="BN454" s="10"/>
      <c r="BO454" s="10"/>
      <c r="BP454" s="10"/>
      <c r="BQ454" s="10"/>
      <c r="BR454" s="10"/>
      <c r="BS454" s="10"/>
      <c r="BT454" s="10"/>
      <c r="BU454" s="10"/>
      <c r="BV454" s="10"/>
      <c r="BW454" s="10"/>
      <c r="BX454" s="10"/>
      <c r="BY454" s="10"/>
      <c r="BZ454" s="10"/>
      <c r="CA454" s="10"/>
      <c r="CB454" s="10"/>
      <c r="CC454" s="10"/>
      <c r="CD454" s="10"/>
      <c r="CE454" s="10"/>
      <c r="CF454" s="10"/>
      <c r="CG454" s="10"/>
      <c r="CH454" s="10"/>
      <c r="CI454" s="10"/>
      <c r="CJ454" s="10"/>
      <c r="CK454" s="10"/>
      <c r="CL454" s="10"/>
      <c r="CM454" s="10"/>
      <c r="CN454" s="10"/>
      <c r="CO454" s="10"/>
      <c r="CP454" s="10"/>
      <c r="CQ454" s="10"/>
      <c r="CR454" s="10"/>
      <c r="CS454" s="10"/>
      <c r="CT454" s="10"/>
      <c r="CU454" s="10"/>
      <c r="CV454" s="10"/>
      <c r="CW454" s="10"/>
      <c r="CX454" s="10"/>
      <c r="CY454" s="10"/>
      <c r="CZ454" s="10"/>
      <c r="DA454" s="10"/>
      <c r="DB454" s="10"/>
      <c r="DC454" s="10"/>
      <c r="DD454" s="10"/>
      <c r="DE454" s="10"/>
      <c r="DF454" s="10"/>
      <c r="DG454" s="10"/>
      <c r="DH454" s="10"/>
      <c r="DI454" s="10"/>
      <c r="DJ454" s="10"/>
      <c r="DK454" s="10"/>
      <c r="DL454" s="10"/>
      <c r="DM454" s="10"/>
      <c r="DN454" s="10"/>
      <c r="DO454" s="10"/>
      <c r="DP454" s="10"/>
      <c r="DQ454" s="10"/>
      <c r="DR454" s="10"/>
    </row>
    <row r="455" spans="1:122" x14ac:dyDescent="0.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0"/>
      <c r="BC455" s="10"/>
      <c r="BD455" s="10"/>
      <c r="BE455" s="10"/>
      <c r="BF455" s="10"/>
      <c r="BG455" s="10"/>
      <c r="BH455" s="10"/>
      <c r="BI455" s="10"/>
      <c r="BJ455" s="10"/>
      <c r="BK455" s="10"/>
      <c r="BL455" s="10"/>
      <c r="BM455" s="10"/>
      <c r="BN455" s="10"/>
      <c r="BO455" s="10"/>
      <c r="BP455" s="10"/>
      <c r="BQ455" s="10"/>
      <c r="BR455" s="10"/>
      <c r="BS455" s="10"/>
      <c r="BT455" s="10"/>
      <c r="BU455" s="10"/>
      <c r="BV455" s="10"/>
      <c r="BW455" s="10"/>
      <c r="BX455" s="10"/>
      <c r="BY455" s="10"/>
      <c r="BZ455" s="10"/>
      <c r="CA455" s="10"/>
      <c r="CB455" s="10"/>
      <c r="CC455" s="10"/>
      <c r="CD455" s="10"/>
      <c r="CE455" s="10"/>
      <c r="CF455" s="10"/>
      <c r="CG455" s="10"/>
      <c r="CH455" s="10"/>
      <c r="CI455" s="10"/>
      <c r="CJ455" s="10"/>
      <c r="CK455" s="10"/>
      <c r="CL455" s="10"/>
      <c r="CM455" s="10"/>
      <c r="CN455" s="10"/>
      <c r="CO455" s="10"/>
      <c r="CP455" s="10"/>
      <c r="CQ455" s="10"/>
      <c r="CR455" s="10"/>
      <c r="CS455" s="10"/>
      <c r="CT455" s="10"/>
      <c r="CU455" s="10"/>
      <c r="CV455" s="10"/>
      <c r="CW455" s="10"/>
      <c r="CX455" s="10"/>
      <c r="CY455" s="10"/>
      <c r="CZ455" s="10"/>
      <c r="DA455" s="10"/>
      <c r="DB455" s="10"/>
      <c r="DC455" s="10"/>
      <c r="DD455" s="10"/>
      <c r="DE455" s="10"/>
      <c r="DF455" s="10"/>
      <c r="DG455" s="10"/>
      <c r="DH455" s="10"/>
      <c r="DI455" s="10"/>
      <c r="DJ455" s="10"/>
      <c r="DK455" s="10"/>
      <c r="DL455" s="10"/>
      <c r="DM455" s="10"/>
      <c r="DN455" s="10"/>
      <c r="DO455" s="10"/>
      <c r="DP455" s="10"/>
      <c r="DQ455" s="10"/>
      <c r="DR455" s="10"/>
    </row>
    <row r="456" spans="1:122" x14ac:dyDescent="0.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0"/>
      <c r="BC456" s="10"/>
      <c r="BD456" s="10"/>
      <c r="BE456" s="10"/>
      <c r="BF456" s="10"/>
      <c r="BG456" s="10"/>
      <c r="BH456" s="10"/>
      <c r="BI456" s="10"/>
      <c r="BJ456" s="10"/>
      <c r="BK456" s="10"/>
      <c r="BL456" s="10"/>
      <c r="BM456" s="10"/>
      <c r="BN456" s="10"/>
      <c r="BO456" s="10"/>
      <c r="BP456" s="10"/>
      <c r="BQ456" s="10"/>
      <c r="BR456" s="10"/>
      <c r="BS456" s="10"/>
      <c r="BT456" s="10"/>
      <c r="BU456" s="10"/>
      <c r="BV456" s="10"/>
      <c r="BW456" s="10"/>
      <c r="BX456" s="10"/>
      <c r="BY456" s="10"/>
      <c r="BZ456" s="10"/>
      <c r="CA456" s="10"/>
      <c r="CB456" s="10"/>
      <c r="CC456" s="10"/>
      <c r="CD456" s="10"/>
      <c r="CE456" s="10"/>
      <c r="CF456" s="10"/>
      <c r="CG456" s="10"/>
      <c r="CH456" s="10"/>
      <c r="CI456" s="10"/>
      <c r="CJ456" s="10"/>
      <c r="CK456" s="10"/>
      <c r="CL456" s="10"/>
      <c r="CM456" s="10"/>
      <c r="CN456" s="10"/>
      <c r="CO456" s="10"/>
      <c r="CP456" s="10"/>
      <c r="CQ456" s="10"/>
      <c r="CR456" s="10"/>
      <c r="CS456" s="10"/>
      <c r="CT456" s="10"/>
      <c r="CU456" s="10"/>
      <c r="CV456" s="10"/>
      <c r="CW456" s="10"/>
      <c r="CX456" s="10"/>
      <c r="CY456" s="10"/>
      <c r="CZ456" s="10"/>
      <c r="DA456" s="10"/>
      <c r="DB456" s="10"/>
      <c r="DC456" s="10"/>
      <c r="DD456" s="10"/>
      <c r="DE456" s="10"/>
      <c r="DF456" s="10"/>
      <c r="DG456" s="10"/>
      <c r="DH456" s="10"/>
      <c r="DI456" s="10"/>
      <c r="DJ456" s="10"/>
      <c r="DK456" s="10"/>
      <c r="DL456" s="10"/>
      <c r="DM456" s="10"/>
      <c r="DN456" s="10"/>
      <c r="DO456" s="10"/>
      <c r="DP456" s="10"/>
      <c r="DQ456" s="10"/>
      <c r="DR456" s="10"/>
    </row>
    <row r="457" spans="1:122" x14ac:dyDescent="0.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0"/>
      <c r="BC457" s="10"/>
      <c r="BD457" s="10"/>
      <c r="BE457" s="10"/>
      <c r="BF457" s="10"/>
      <c r="BG457" s="10"/>
      <c r="BH457" s="10"/>
      <c r="BI457" s="10"/>
      <c r="BJ457" s="10"/>
      <c r="BK457" s="10"/>
      <c r="BL457" s="10"/>
      <c r="BM457" s="10"/>
      <c r="BN457" s="10"/>
      <c r="BO457" s="10"/>
      <c r="BP457" s="10"/>
      <c r="BQ457" s="10"/>
      <c r="BR457" s="10"/>
      <c r="BS457" s="10"/>
      <c r="BT457" s="10"/>
      <c r="BU457" s="10"/>
      <c r="BV457" s="10"/>
      <c r="BW457" s="10"/>
      <c r="BX457" s="10"/>
      <c r="BY457" s="10"/>
      <c r="BZ457" s="10"/>
      <c r="CA457" s="10"/>
      <c r="CB457" s="10"/>
      <c r="CC457" s="10"/>
      <c r="CD457" s="10"/>
      <c r="CE457" s="10"/>
      <c r="CF457" s="10"/>
      <c r="CG457" s="10"/>
      <c r="CH457" s="10"/>
      <c r="CI457" s="10"/>
      <c r="CJ457" s="10"/>
      <c r="CK457" s="10"/>
      <c r="CL457" s="10"/>
      <c r="CM457" s="10"/>
      <c r="CN457" s="10"/>
      <c r="CO457" s="10"/>
      <c r="CP457" s="10"/>
      <c r="CQ457" s="10"/>
      <c r="CR457" s="10"/>
      <c r="CS457" s="10"/>
      <c r="CT457" s="10"/>
      <c r="CU457" s="10"/>
      <c r="CV457" s="10"/>
      <c r="CW457" s="10"/>
      <c r="CX457" s="10"/>
      <c r="CY457" s="10"/>
      <c r="CZ457" s="10"/>
      <c r="DA457" s="10"/>
      <c r="DB457" s="10"/>
      <c r="DC457" s="10"/>
      <c r="DD457" s="10"/>
      <c r="DE457" s="10"/>
      <c r="DF457" s="10"/>
      <c r="DG457" s="10"/>
      <c r="DH457" s="10"/>
      <c r="DI457" s="10"/>
      <c r="DJ457" s="10"/>
      <c r="DK457" s="10"/>
      <c r="DL457" s="10"/>
      <c r="DM457" s="10"/>
      <c r="DN457" s="10"/>
      <c r="DO457" s="10"/>
      <c r="DP457" s="10"/>
      <c r="DQ457" s="10"/>
      <c r="DR457" s="10"/>
    </row>
    <row r="458" spans="1:122" x14ac:dyDescent="0.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0"/>
      <c r="BC458" s="10"/>
      <c r="BD458" s="10"/>
      <c r="BE458" s="10"/>
      <c r="BF458" s="10"/>
      <c r="BG458" s="10"/>
      <c r="BH458" s="10"/>
      <c r="BI458" s="10"/>
      <c r="BJ458" s="10"/>
      <c r="BK458" s="10"/>
      <c r="BL458" s="10"/>
      <c r="BM458" s="10"/>
      <c r="BN458" s="10"/>
      <c r="BO458" s="10"/>
      <c r="BP458" s="10"/>
      <c r="BQ458" s="10"/>
      <c r="BR458" s="10"/>
      <c r="BS458" s="10"/>
      <c r="BT458" s="10"/>
      <c r="BU458" s="10"/>
      <c r="BV458" s="10"/>
      <c r="BW458" s="10"/>
      <c r="BX458" s="10"/>
      <c r="BY458" s="10"/>
      <c r="BZ458" s="10"/>
      <c r="CA458" s="10"/>
      <c r="CB458" s="10"/>
      <c r="CC458" s="10"/>
      <c r="CD458" s="10"/>
      <c r="CE458" s="10"/>
      <c r="CF458" s="10"/>
      <c r="CG458" s="10"/>
      <c r="CH458" s="10"/>
      <c r="CI458" s="10"/>
      <c r="CJ458" s="10"/>
      <c r="CK458" s="10"/>
      <c r="CL458" s="10"/>
      <c r="CM458" s="10"/>
      <c r="CN458" s="10"/>
      <c r="CO458" s="10"/>
      <c r="CP458" s="10"/>
      <c r="CQ458" s="10"/>
      <c r="CR458" s="10"/>
      <c r="CS458" s="10"/>
      <c r="CT458" s="10"/>
      <c r="CU458" s="10"/>
      <c r="CV458" s="10"/>
      <c r="CW458" s="10"/>
      <c r="CX458" s="10"/>
      <c r="CY458" s="10"/>
      <c r="CZ458" s="10"/>
      <c r="DA458" s="10"/>
      <c r="DB458" s="10"/>
      <c r="DC458" s="10"/>
      <c r="DD458" s="10"/>
      <c r="DE458" s="10"/>
      <c r="DF458" s="10"/>
      <c r="DG458" s="10"/>
      <c r="DH458" s="10"/>
      <c r="DI458" s="10"/>
      <c r="DJ458" s="10"/>
      <c r="DK458" s="10"/>
      <c r="DL458" s="10"/>
      <c r="DM458" s="10"/>
      <c r="DN458" s="10"/>
      <c r="DO458" s="10"/>
      <c r="DP458" s="10"/>
      <c r="DQ458" s="10"/>
      <c r="DR458" s="10"/>
    </row>
    <row r="459" spans="1:122" x14ac:dyDescent="0.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0"/>
      <c r="BC459" s="10"/>
      <c r="BD459" s="10"/>
      <c r="BE459" s="10"/>
      <c r="BF459" s="10"/>
      <c r="BG459" s="10"/>
      <c r="BH459" s="10"/>
      <c r="BI459" s="10"/>
      <c r="BJ459" s="10"/>
      <c r="BK459" s="10"/>
      <c r="BL459" s="10"/>
      <c r="BM459" s="10"/>
      <c r="BN459" s="10"/>
      <c r="BO459" s="10"/>
      <c r="BP459" s="10"/>
      <c r="BQ459" s="10"/>
      <c r="BR459" s="10"/>
      <c r="BS459" s="10"/>
      <c r="BT459" s="10"/>
      <c r="BU459" s="10"/>
      <c r="BV459" s="10"/>
      <c r="BW459" s="10"/>
      <c r="BX459" s="10"/>
      <c r="BY459" s="10"/>
      <c r="BZ459" s="10"/>
      <c r="CA459" s="10"/>
      <c r="CB459" s="10"/>
      <c r="CC459" s="10"/>
      <c r="CD459" s="10"/>
      <c r="CE459" s="10"/>
      <c r="CF459" s="10"/>
      <c r="CG459" s="10"/>
      <c r="CH459" s="10"/>
      <c r="CI459" s="10"/>
      <c r="CJ459" s="10"/>
      <c r="CK459" s="10"/>
      <c r="CL459" s="10"/>
      <c r="CM459" s="10"/>
      <c r="CN459" s="10"/>
      <c r="CO459" s="10"/>
      <c r="CP459" s="10"/>
      <c r="CQ459" s="10"/>
      <c r="CR459" s="10"/>
      <c r="CS459" s="10"/>
      <c r="CT459" s="10"/>
      <c r="CU459" s="10"/>
      <c r="CV459" s="10"/>
      <c r="CW459" s="10"/>
      <c r="CX459" s="10"/>
      <c r="CY459" s="10"/>
      <c r="CZ459" s="10"/>
      <c r="DA459" s="10"/>
      <c r="DB459" s="10"/>
      <c r="DC459" s="10"/>
      <c r="DD459" s="10"/>
      <c r="DE459" s="10"/>
      <c r="DF459" s="10"/>
      <c r="DG459" s="10"/>
      <c r="DH459" s="10"/>
      <c r="DI459" s="10"/>
      <c r="DJ459" s="10"/>
      <c r="DK459" s="10"/>
      <c r="DL459" s="10"/>
      <c r="DM459" s="10"/>
      <c r="DN459" s="10"/>
      <c r="DO459" s="10"/>
      <c r="DP459" s="10"/>
      <c r="DQ459" s="10"/>
      <c r="DR459" s="10"/>
    </row>
    <row r="460" spans="1:122" x14ac:dyDescent="0.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0"/>
      <c r="BC460" s="10"/>
      <c r="BD460" s="10"/>
      <c r="BE460" s="10"/>
      <c r="BF460" s="10"/>
      <c r="BG460" s="10"/>
      <c r="BH460" s="10"/>
      <c r="BI460" s="10"/>
      <c r="BJ460" s="10"/>
      <c r="BK460" s="10"/>
      <c r="BL460" s="10"/>
      <c r="BM460" s="10"/>
      <c r="BN460" s="10"/>
      <c r="BO460" s="10"/>
      <c r="BP460" s="10"/>
      <c r="BQ460" s="10"/>
      <c r="BR460" s="10"/>
      <c r="BS460" s="10"/>
      <c r="BT460" s="10"/>
      <c r="BU460" s="10"/>
      <c r="BV460" s="10"/>
      <c r="BW460" s="10"/>
      <c r="BX460" s="10"/>
      <c r="BY460" s="10"/>
      <c r="BZ460" s="10"/>
      <c r="CA460" s="10"/>
      <c r="CB460" s="10"/>
      <c r="CC460" s="10"/>
      <c r="CD460" s="10"/>
      <c r="CE460" s="10"/>
      <c r="CF460" s="10"/>
      <c r="CG460" s="10"/>
      <c r="CH460" s="10"/>
      <c r="CI460" s="10"/>
      <c r="CJ460" s="10"/>
      <c r="CK460" s="10"/>
      <c r="CL460" s="10"/>
      <c r="CM460" s="10"/>
      <c r="CN460" s="10"/>
      <c r="CO460" s="10"/>
      <c r="CP460" s="10"/>
      <c r="CQ460" s="10"/>
      <c r="CR460" s="10"/>
      <c r="CS460" s="10"/>
      <c r="CT460" s="10"/>
      <c r="CU460" s="10"/>
      <c r="CV460" s="10"/>
      <c r="CW460" s="10"/>
      <c r="CX460" s="10"/>
      <c r="CY460" s="10"/>
      <c r="CZ460" s="10"/>
      <c r="DA460" s="10"/>
      <c r="DB460" s="10"/>
      <c r="DC460" s="10"/>
      <c r="DD460" s="10"/>
      <c r="DE460" s="10"/>
      <c r="DF460" s="10"/>
      <c r="DG460" s="10"/>
      <c r="DH460" s="10"/>
      <c r="DI460" s="10"/>
      <c r="DJ460" s="10"/>
      <c r="DK460" s="10"/>
      <c r="DL460" s="10"/>
      <c r="DM460" s="10"/>
      <c r="DN460" s="10"/>
      <c r="DO460" s="10"/>
      <c r="DP460" s="10"/>
      <c r="DQ460" s="10"/>
      <c r="DR460" s="10"/>
    </row>
    <row r="461" spans="1:122" x14ac:dyDescent="0.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0"/>
      <c r="BC461" s="10"/>
      <c r="BD461" s="10"/>
      <c r="BE461" s="10"/>
      <c r="BF461" s="10"/>
      <c r="BG461" s="10"/>
      <c r="BH461" s="10"/>
      <c r="BI461" s="10"/>
      <c r="BJ461" s="10"/>
      <c r="BK461" s="10"/>
      <c r="BL461" s="10"/>
      <c r="BM461" s="10"/>
      <c r="BN461" s="10"/>
      <c r="BO461" s="10"/>
      <c r="BP461" s="10"/>
      <c r="BQ461" s="10"/>
      <c r="BR461" s="10"/>
      <c r="BS461" s="10"/>
      <c r="BT461" s="10"/>
      <c r="BU461" s="10"/>
      <c r="BV461" s="10"/>
      <c r="BW461" s="10"/>
      <c r="BX461" s="10"/>
      <c r="BY461" s="10"/>
      <c r="BZ461" s="10"/>
      <c r="CA461" s="10"/>
      <c r="CB461" s="10"/>
      <c r="CC461" s="10"/>
      <c r="CD461" s="10"/>
      <c r="CE461" s="10"/>
      <c r="CF461" s="10"/>
      <c r="CG461" s="10"/>
      <c r="CH461" s="10"/>
      <c r="CI461" s="10"/>
      <c r="CJ461" s="10"/>
      <c r="CK461" s="10"/>
      <c r="CL461" s="10"/>
      <c r="CM461" s="10"/>
      <c r="CN461" s="10"/>
      <c r="CO461" s="10"/>
      <c r="CP461" s="10"/>
      <c r="CQ461" s="10"/>
      <c r="CR461" s="10"/>
      <c r="CS461" s="10"/>
      <c r="CT461" s="10"/>
      <c r="CU461" s="10"/>
      <c r="CV461" s="10"/>
      <c r="CW461" s="10"/>
      <c r="CX461" s="10"/>
      <c r="CY461" s="10"/>
      <c r="CZ461" s="10"/>
      <c r="DA461" s="10"/>
      <c r="DB461" s="10"/>
      <c r="DC461" s="10"/>
      <c r="DD461" s="10"/>
      <c r="DE461" s="10"/>
      <c r="DF461" s="10"/>
      <c r="DG461" s="10"/>
      <c r="DH461" s="10"/>
      <c r="DI461" s="10"/>
      <c r="DJ461" s="10"/>
      <c r="DK461" s="10"/>
      <c r="DL461" s="10"/>
      <c r="DM461" s="10"/>
      <c r="DN461" s="10"/>
      <c r="DO461" s="10"/>
      <c r="DP461" s="10"/>
      <c r="DQ461" s="10"/>
      <c r="DR461" s="10"/>
    </row>
    <row r="462" spans="1:122" x14ac:dyDescent="0.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0"/>
      <c r="BC462" s="10"/>
      <c r="BD462" s="10"/>
      <c r="BE462" s="10"/>
      <c r="BF462" s="10"/>
      <c r="BG462" s="10"/>
      <c r="BH462" s="10"/>
      <c r="BI462" s="10"/>
      <c r="BJ462" s="10"/>
      <c r="BK462" s="10"/>
      <c r="BL462" s="10"/>
      <c r="BM462" s="10"/>
      <c r="BN462" s="10"/>
      <c r="BO462" s="10"/>
      <c r="BP462" s="10"/>
      <c r="BQ462" s="10"/>
      <c r="BR462" s="10"/>
      <c r="BS462" s="10"/>
      <c r="BT462" s="10"/>
      <c r="BU462" s="10"/>
      <c r="BV462" s="10"/>
      <c r="BW462" s="10"/>
      <c r="BX462" s="10"/>
      <c r="BY462" s="10"/>
      <c r="BZ462" s="10"/>
      <c r="CA462" s="10"/>
      <c r="CB462" s="10"/>
      <c r="CC462" s="10"/>
      <c r="CD462" s="10"/>
      <c r="CE462" s="10"/>
      <c r="CF462" s="10"/>
      <c r="CG462" s="10"/>
      <c r="CH462" s="10"/>
      <c r="CI462" s="10"/>
      <c r="CJ462" s="10"/>
      <c r="CK462" s="10"/>
      <c r="CL462" s="10"/>
      <c r="CM462" s="10"/>
      <c r="CN462" s="10"/>
      <c r="CO462" s="10"/>
      <c r="CP462" s="10"/>
      <c r="CQ462" s="10"/>
      <c r="CR462" s="10"/>
      <c r="CS462" s="10"/>
      <c r="CT462" s="10"/>
      <c r="CU462" s="10"/>
      <c r="CV462" s="10"/>
      <c r="CW462" s="10"/>
      <c r="CX462" s="10"/>
      <c r="CY462" s="10"/>
      <c r="CZ462" s="10"/>
      <c r="DA462" s="10"/>
      <c r="DB462" s="10"/>
      <c r="DC462" s="10"/>
      <c r="DD462" s="10"/>
      <c r="DE462" s="10"/>
      <c r="DF462" s="10"/>
      <c r="DG462" s="10"/>
      <c r="DH462" s="10"/>
      <c r="DI462" s="10"/>
      <c r="DJ462" s="10"/>
      <c r="DK462" s="10"/>
      <c r="DL462" s="10"/>
      <c r="DM462" s="10"/>
      <c r="DN462" s="10"/>
      <c r="DO462" s="10"/>
      <c r="DP462" s="10"/>
      <c r="DQ462" s="10"/>
      <c r="DR462" s="10"/>
    </row>
    <row r="463" spans="1:122" x14ac:dyDescent="0.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0"/>
      <c r="BC463" s="10"/>
      <c r="BD463" s="10"/>
      <c r="BE463" s="10"/>
      <c r="BF463" s="10"/>
      <c r="BG463" s="10"/>
      <c r="BH463" s="10"/>
      <c r="BI463" s="10"/>
      <c r="BJ463" s="10"/>
      <c r="BK463" s="10"/>
      <c r="BL463" s="10"/>
      <c r="BM463" s="10"/>
      <c r="BN463" s="10"/>
      <c r="BO463" s="10"/>
      <c r="BP463" s="10"/>
      <c r="BQ463" s="10"/>
      <c r="BR463" s="10"/>
      <c r="BS463" s="10"/>
      <c r="BT463" s="10"/>
      <c r="BU463" s="10"/>
      <c r="BV463" s="10"/>
      <c r="BW463" s="10"/>
      <c r="BX463" s="10"/>
      <c r="BY463" s="10"/>
      <c r="BZ463" s="10"/>
      <c r="CA463" s="10"/>
      <c r="CB463" s="10"/>
      <c r="CC463" s="10"/>
      <c r="CD463" s="10"/>
      <c r="CE463" s="10"/>
      <c r="CF463" s="10"/>
      <c r="CG463" s="10"/>
      <c r="CH463" s="10"/>
      <c r="CI463" s="10"/>
      <c r="CJ463" s="10"/>
      <c r="CK463" s="10"/>
      <c r="CL463" s="10"/>
      <c r="CM463" s="10"/>
      <c r="CN463" s="10"/>
      <c r="CO463" s="10"/>
      <c r="CP463" s="10"/>
      <c r="CQ463" s="10"/>
      <c r="CR463" s="10"/>
      <c r="CS463" s="10"/>
      <c r="CT463" s="10"/>
      <c r="CU463" s="10"/>
      <c r="CV463" s="10"/>
      <c r="CW463" s="10"/>
      <c r="CX463" s="10"/>
      <c r="CY463" s="10"/>
      <c r="CZ463" s="10"/>
      <c r="DA463" s="10"/>
      <c r="DB463" s="10"/>
      <c r="DC463" s="10"/>
      <c r="DD463" s="10"/>
      <c r="DE463" s="10"/>
      <c r="DF463" s="10"/>
      <c r="DG463" s="10"/>
      <c r="DH463" s="10"/>
      <c r="DI463" s="10"/>
      <c r="DJ463" s="10"/>
      <c r="DK463" s="10"/>
      <c r="DL463" s="10"/>
      <c r="DM463" s="10"/>
      <c r="DN463" s="10"/>
      <c r="DO463" s="10"/>
      <c r="DP463" s="10"/>
      <c r="DQ463" s="10"/>
      <c r="DR463" s="10"/>
    </row>
    <row r="464" spans="1:122" x14ac:dyDescent="0.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0"/>
      <c r="BC464" s="10"/>
      <c r="BD464" s="10"/>
      <c r="BE464" s="10"/>
      <c r="BF464" s="10"/>
      <c r="BG464" s="10"/>
      <c r="BH464" s="10"/>
      <c r="BI464" s="10"/>
      <c r="BJ464" s="10"/>
      <c r="BK464" s="10"/>
      <c r="BL464" s="10"/>
      <c r="BM464" s="10"/>
      <c r="BN464" s="10"/>
      <c r="BO464" s="10"/>
      <c r="BP464" s="10"/>
      <c r="BQ464" s="10"/>
      <c r="BR464" s="10"/>
      <c r="BS464" s="10"/>
      <c r="BT464" s="10"/>
      <c r="BU464" s="10"/>
      <c r="BV464" s="10"/>
      <c r="BW464" s="10"/>
      <c r="BX464" s="10"/>
      <c r="BY464" s="10"/>
      <c r="BZ464" s="10"/>
      <c r="CA464" s="10"/>
      <c r="CB464" s="10"/>
      <c r="CC464" s="10"/>
      <c r="CD464" s="10"/>
      <c r="CE464" s="10"/>
      <c r="CF464" s="10"/>
      <c r="CG464" s="10"/>
      <c r="CH464" s="10"/>
      <c r="CI464" s="10"/>
      <c r="CJ464" s="10"/>
      <c r="CK464" s="10"/>
      <c r="CL464" s="10"/>
      <c r="CM464" s="10"/>
      <c r="CN464" s="10"/>
      <c r="CO464" s="10"/>
      <c r="CP464" s="10"/>
      <c r="CQ464" s="10"/>
      <c r="CR464" s="10"/>
      <c r="CS464" s="10"/>
      <c r="CT464" s="10"/>
      <c r="CU464" s="10"/>
      <c r="CV464" s="10"/>
      <c r="CW464" s="10"/>
      <c r="CX464" s="10"/>
      <c r="CY464" s="10"/>
      <c r="CZ464" s="10"/>
      <c r="DA464" s="10"/>
      <c r="DB464" s="10"/>
      <c r="DC464" s="10"/>
      <c r="DD464" s="10"/>
      <c r="DE464" s="10"/>
      <c r="DF464" s="10"/>
      <c r="DG464" s="10"/>
      <c r="DH464" s="10"/>
      <c r="DI464" s="10"/>
      <c r="DJ464" s="10"/>
      <c r="DK464" s="10"/>
      <c r="DL464" s="10"/>
      <c r="DM464" s="10"/>
      <c r="DN464" s="10"/>
      <c r="DO464" s="10"/>
      <c r="DP464" s="10"/>
      <c r="DQ464" s="10"/>
      <c r="DR464" s="10"/>
    </row>
    <row r="465" spans="1:122" x14ac:dyDescent="0.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0"/>
      <c r="BC465" s="10"/>
      <c r="BD465" s="10"/>
      <c r="BE465" s="10"/>
      <c r="BF465" s="10"/>
      <c r="BG465" s="10"/>
      <c r="BH465" s="10"/>
      <c r="BI465" s="10"/>
      <c r="BJ465" s="10"/>
      <c r="BK465" s="10"/>
      <c r="BL465" s="10"/>
      <c r="BM465" s="10"/>
      <c r="BN465" s="10"/>
      <c r="BO465" s="10"/>
      <c r="BP465" s="10"/>
      <c r="BQ465" s="10"/>
      <c r="BR465" s="10"/>
      <c r="BS465" s="10"/>
      <c r="BT465" s="10"/>
      <c r="BU465" s="10"/>
      <c r="BV465" s="10"/>
      <c r="BW465" s="10"/>
      <c r="BX465" s="10"/>
      <c r="BY465" s="10"/>
      <c r="BZ465" s="10"/>
      <c r="CA465" s="10"/>
      <c r="CB465" s="10"/>
      <c r="CC465" s="10"/>
      <c r="CD465" s="10"/>
      <c r="CE465" s="10"/>
      <c r="CF465" s="10"/>
      <c r="CG465" s="10"/>
      <c r="CH465" s="10"/>
      <c r="CI465" s="10"/>
      <c r="CJ465" s="10"/>
      <c r="CK465" s="10"/>
      <c r="CL465" s="10"/>
      <c r="CM465" s="10"/>
      <c r="CN465" s="10"/>
      <c r="CO465" s="10"/>
      <c r="CP465" s="10"/>
      <c r="CQ465" s="10"/>
      <c r="CR465" s="10"/>
      <c r="CS465" s="10"/>
      <c r="CT465" s="10"/>
      <c r="CU465" s="10"/>
      <c r="CV465" s="10"/>
      <c r="CW465" s="10"/>
      <c r="CX465" s="10"/>
      <c r="CY465" s="10"/>
      <c r="CZ465" s="10"/>
      <c r="DA465" s="10"/>
      <c r="DB465" s="10"/>
      <c r="DC465" s="10"/>
      <c r="DD465" s="10"/>
      <c r="DE465" s="10"/>
      <c r="DF465" s="10"/>
      <c r="DG465" s="10"/>
      <c r="DH465" s="10"/>
      <c r="DI465" s="10"/>
      <c r="DJ465" s="10"/>
      <c r="DK465" s="10"/>
      <c r="DL465" s="10"/>
      <c r="DM465" s="10"/>
      <c r="DN465" s="10"/>
      <c r="DO465" s="10"/>
      <c r="DP465" s="10"/>
      <c r="DQ465" s="10"/>
      <c r="DR465" s="10"/>
    </row>
    <row r="466" spans="1:122" x14ac:dyDescent="0.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0"/>
      <c r="BC466" s="10"/>
      <c r="BD466" s="10"/>
      <c r="BE466" s="10"/>
      <c r="BF466" s="10"/>
      <c r="BG466" s="10"/>
      <c r="BH466" s="10"/>
      <c r="BI466" s="10"/>
      <c r="BJ466" s="10"/>
      <c r="BK466" s="10"/>
      <c r="BL466" s="10"/>
      <c r="BM466" s="10"/>
      <c r="BN466" s="10"/>
      <c r="BO466" s="10"/>
      <c r="BP466" s="10"/>
      <c r="BQ466" s="10"/>
      <c r="BR466" s="10"/>
      <c r="BS466" s="10"/>
      <c r="BT466" s="10"/>
      <c r="BU466" s="10"/>
      <c r="BV466" s="10"/>
      <c r="BW466" s="10"/>
      <c r="BX466" s="10"/>
      <c r="BY466" s="10"/>
      <c r="BZ466" s="10"/>
      <c r="CA466" s="10"/>
      <c r="CB466" s="10"/>
      <c r="CC466" s="10"/>
      <c r="CD466" s="10"/>
      <c r="CE466" s="10"/>
      <c r="CF466" s="10"/>
      <c r="CG466" s="10"/>
      <c r="CH466" s="10"/>
      <c r="CI466" s="10"/>
      <c r="CJ466" s="10"/>
      <c r="CK466" s="10"/>
      <c r="CL466" s="10"/>
      <c r="CM466" s="10"/>
      <c r="CN466" s="10"/>
      <c r="CO466" s="10"/>
      <c r="CP466" s="10"/>
      <c r="CQ466" s="10"/>
      <c r="CR466" s="10"/>
      <c r="CS466" s="10"/>
      <c r="CT466" s="10"/>
      <c r="CU466" s="10"/>
      <c r="CV466" s="10"/>
      <c r="CW466" s="10"/>
      <c r="CX466" s="10"/>
      <c r="CY466" s="10"/>
      <c r="CZ466" s="10"/>
      <c r="DA466" s="10"/>
      <c r="DB466" s="10"/>
      <c r="DC466" s="10"/>
      <c r="DD466" s="10"/>
      <c r="DE466" s="10"/>
      <c r="DF466" s="10"/>
      <c r="DG466" s="10"/>
      <c r="DH466" s="10"/>
      <c r="DI466" s="10"/>
      <c r="DJ466" s="10"/>
      <c r="DK466" s="10"/>
      <c r="DL466" s="10"/>
      <c r="DM466" s="10"/>
      <c r="DN466" s="10"/>
      <c r="DO466" s="10"/>
      <c r="DP466" s="10"/>
      <c r="DQ466" s="10"/>
      <c r="DR466" s="10"/>
    </row>
    <row r="467" spans="1:122" x14ac:dyDescent="0.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0"/>
      <c r="BC467" s="10"/>
      <c r="BD467" s="10"/>
      <c r="BE467" s="10"/>
      <c r="BF467" s="10"/>
      <c r="BG467" s="10"/>
      <c r="BH467" s="10"/>
      <c r="BI467" s="10"/>
      <c r="BJ467" s="10"/>
      <c r="BK467" s="10"/>
      <c r="BL467" s="10"/>
      <c r="BM467" s="10"/>
      <c r="BN467" s="10"/>
      <c r="BO467" s="10"/>
      <c r="BP467" s="10"/>
      <c r="BQ467" s="10"/>
      <c r="BR467" s="10"/>
      <c r="BS467" s="10"/>
      <c r="BT467" s="10"/>
      <c r="BU467" s="10"/>
      <c r="BV467" s="10"/>
      <c r="BW467" s="10"/>
      <c r="BX467" s="10"/>
      <c r="BY467" s="10"/>
      <c r="BZ467" s="10"/>
      <c r="CA467" s="10"/>
      <c r="CB467" s="10"/>
      <c r="CC467" s="10"/>
      <c r="CD467" s="10"/>
      <c r="CE467" s="10"/>
      <c r="CF467" s="10"/>
      <c r="CG467" s="10"/>
      <c r="CH467" s="10"/>
      <c r="CI467" s="10"/>
      <c r="CJ467" s="10"/>
      <c r="CK467" s="10"/>
      <c r="CL467" s="10"/>
      <c r="CM467" s="10"/>
      <c r="CN467" s="10"/>
      <c r="CO467" s="10"/>
      <c r="CP467" s="10"/>
      <c r="CQ467" s="10"/>
      <c r="CR467" s="10"/>
      <c r="CS467" s="10"/>
      <c r="CT467" s="10"/>
      <c r="CU467" s="10"/>
      <c r="CV467" s="10"/>
      <c r="CW467" s="10"/>
      <c r="CX467" s="10"/>
      <c r="CY467" s="10"/>
      <c r="CZ467" s="10"/>
      <c r="DA467" s="10"/>
      <c r="DB467" s="10"/>
      <c r="DC467" s="10"/>
      <c r="DD467" s="10"/>
      <c r="DE467" s="10"/>
      <c r="DF467" s="10"/>
      <c r="DG467" s="10"/>
      <c r="DH467" s="10"/>
      <c r="DI467" s="10"/>
      <c r="DJ467" s="10"/>
      <c r="DK467" s="10"/>
      <c r="DL467" s="10"/>
      <c r="DM467" s="10"/>
      <c r="DN467" s="10"/>
      <c r="DO467" s="10"/>
      <c r="DP467" s="10"/>
      <c r="DQ467" s="10"/>
      <c r="DR467" s="10"/>
    </row>
    <row r="468" spans="1:122" x14ac:dyDescent="0.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0"/>
      <c r="BC468" s="10"/>
      <c r="BD468" s="10"/>
      <c r="BE468" s="10"/>
      <c r="BF468" s="10"/>
      <c r="BG468" s="10"/>
      <c r="BH468" s="10"/>
      <c r="BI468" s="10"/>
      <c r="BJ468" s="10"/>
      <c r="BK468" s="10"/>
      <c r="BL468" s="10"/>
      <c r="BM468" s="10"/>
      <c r="BN468" s="10"/>
      <c r="BO468" s="10"/>
      <c r="BP468" s="10"/>
      <c r="BQ468" s="10"/>
      <c r="BR468" s="10"/>
      <c r="BS468" s="10"/>
      <c r="BT468" s="10"/>
      <c r="BU468" s="10"/>
      <c r="BV468" s="10"/>
      <c r="BW468" s="10"/>
      <c r="BX468" s="10"/>
      <c r="BY468" s="10"/>
      <c r="BZ468" s="10"/>
      <c r="CA468" s="10"/>
      <c r="CB468" s="10"/>
      <c r="CC468" s="10"/>
      <c r="CD468" s="10"/>
      <c r="CE468" s="10"/>
      <c r="CF468" s="10"/>
      <c r="CG468" s="10"/>
      <c r="CH468" s="10"/>
      <c r="CI468" s="10"/>
      <c r="CJ468" s="10"/>
      <c r="CK468" s="10"/>
      <c r="CL468" s="10"/>
      <c r="CM468" s="10"/>
      <c r="CN468" s="10"/>
      <c r="CO468" s="10"/>
      <c r="CP468" s="10"/>
      <c r="CQ468" s="10"/>
      <c r="CR468" s="10"/>
      <c r="CS468" s="10"/>
      <c r="CT468" s="10"/>
      <c r="CU468" s="10"/>
      <c r="CV468" s="10"/>
      <c r="CW468" s="10"/>
      <c r="CX468" s="10"/>
      <c r="CY468" s="10"/>
      <c r="CZ468" s="10"/>
      <c r="DA468" s="10"/>
      <c r="DB468" s="10"/>
      <c r="DC468" s="10"/>
      <c r="DD468" s="10"/>
      <c r="DE468" s="10"/>
      <c r="DF468" s="10"/>
      <c r="DG468" s="10"/>
      <c r="DH468" s="10"/>
      <c r="DI468" s="10"/>
      <c r="DJ468" s="10"/>
      <c r="DK468" s="10"/>
      <c r="DL468" s="10"/>
      <c r="DM468" s="10"/>
      <c r="DN468" s="10"/>
      <c r="DO468" s="10"/>
      <c r="DP468" s="10"/>
      <c r="DQ468" s="10"/>
      <c r="DR468" s="10"/>
    </row>
    <row r="469" spans="1:122" x14ac:dyDescent="0.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0"/>
      <c r="BC469" s="10"/>
      <c r="BD469" s="10"/>
      <c r="BE469" s="10"/>
      <c r="BF469" s="10"/>
      <c r="BG469" s="10"/>
      <c r="BH469" s="10"/>
      <c r="BI469" s="10"/>
      <c r="BJ469" s="10"/>
      <c r="BK469" s="10"/>
      <c r="BL469" s="10"/>
      <c r="BM469" s="10"/>
      <c r="BN469" s="10"/>
      <c r="BO469" s="10"/>
      <c r="BP469" s="10"/>
      <c r="BQ469" s="10"/>
      <c r="BR469" s="10"/>
      <c r="BS469" s="10"/>
      <c r="BT469" s="10"/>
      <c r="BU469" s="10"/>
      <c r="BV469" s="10"/>
      <c r="BW469" s="10"/>
      <c r="BX469" s="10"/>
      <c r="BY469" s="10"/>
      <c r="BZ469" s="10"/>
      <c r="CA469" s="10"/>
      <c r="CB469" s="10"/>
      <c r="CC469" s="10"/>
      <c r="CD469" s="10"/>
      <c r="CE469" s="10"/>
      <c r="CF469" s="10"/>
      <c r="CG469" s="10"/>
      <c r="CH469" s="10"/>
      <c r="CI469" s="10"/>
      <c r="CJ469" s="10"/>
      <c r="CK469" s="10"/>
      <c r="CL469" s="10"/>
      <c r="CM469" s="10"/>
      <c r="CN469" s="10"/>
      <c r="CO469" s="10"/>
      <c r="CP469" s="10"/>
      <c r="CQ469" s="10"/>
      <c r="CR469" s="10"/>
      <c r="CS469" s="10"/>
      <c r="CT469" s="10"/>
      <c r="CU469" s="10"/>
      <c r="CV469" s="10"/>
      <c r="CW469" s="10"/>
      <c r="CX469" s="10"/>
      <c r="CY469" s="10"/>
      <c r="CZ469" s="10"/>
      <c r="DA469" s="10"/>
      <c r="DB469" s="10"/>
      <c r="DC469" s="10"/>
      <c r="DD469" s="10"/>
      <c r="DE469" s="10"/>
      <c r="DF469" s="10"/>
      <c r="DG469" s="10"/>
      <c r="DH469" s="10"/>
      <c r="DI469" s="10"/>
      <c r="DJ469" s="10"/>
      <c r="DK469" s="10"/>
      <c r="DL469" s="10"/>
      <c r="DM469" s="10"/>
      <c r="DN469" s="10"/>
      <c r="DO469" s="10"/>
      <c r="DP469" s="10"/>
      <c r="DQ469" s="10"/>
      <c r="DR469" s="10"/>
    </row>
    <row r="470" spans="1:122" x14ac:dyDescent="0.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0"/>
      <c r="BC470" s="10"/>
      <c r="BD470" s="10"/>
      <c r="BE470" s="10"/>
      <c r="BF470" s="10"/>
      <c r="BG470" s="10"/>
      <c r="BH470" s="10"/>
      <c r="BI470" s="10"/>
      <c r="BJ470" s="10"/>
      <c r="BK470" s="10"/>
      <c r="BL470" s="10"/>
      <c r="BM470" s="10"/>
      <c r="BN470" s="10"/>
      <c r="BO470" s="10"/>
      <c r="BP470" s="10"/>
      <c r="BQ470" s="10"/>
      <c r="BR470" s="10"/>
      <c r="BS470" s="10"/>
      <c r="BT470" s="10"/>
      <c r="BU470" s="10"/>
      <c r="BV470" s="10"/>
      <c r="BW470" s="10"/>
      <c r="BX470" s="10"/>
      <c r="BY470" s="10"/>
      <c r="BZ470" s="10"/>
      <c r="CA470" s="10"/>
      <c r="CB470" s="10"/>
      <c r="CC470" s="10"/>
      <c r="CD470" s="10"/>
      <c r="CE470" s="10"/>
      <c r="CF470" s="10"/>
      <c r="CG470" s="10"/>
      <c r="CH470" s="10"/>
      <c r="CI470" s="10"/>
      <c r="CJ470" s="10"/>
      <c r="CK470" s="10"/>
      <c r="CL470" s="10"/>
      <c r="CM470" s="10"/>
      <c r="CN470" s="10"/>
      <c r="CO470" s="10"/>
      <c r="CP470" s="10"/>
      <c r="CQ470" s="10"/>
      <c r="CR470" s="10"/>
      <c r="CS470" s="10"/>
      <c r="CT470" s="10"/>
      <c r="CU470" s="10"/>
      <c r="CV470" s="10"/>
      <c r="CW470" s="10"/>
      <c r="CX470" s="10"/>
      <c r="CY470" s="10"/>
      <c r="CZ470" s="10"/>
      <c r="DA470" s="10"/>
      <c r="DB470" s="10"/>
      <c r="DC470" s="10"/>
      <c r="DD470" s="10"/>
      <c r="DE470" s="10"/>
      <c r="DF470" s="10"/>
      <c r="DG470" s="10"/>
      <c r="DH470" s="10"/>
      <c r="DI470" s="10"/>
      <c r="DJ470" s="10"/>
      <c r="DK470" s="10"/>
      <c r="DL470" s="10"/>
      <c r="DM470" s="10"/>
      <c r="DN470" s="10"/>
      <c r="DO470" s="10"/>
      <c r="DP470" s="10"/>
      <c r="DQ470" s="10"/>
      <c r="DR470" s="10"/>
    </row>
    <row r="471" spans="1:122" x14ac:dyDescent="0.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0"/>
      <c r="BC471" s="10"/>
      <c r="BD471" s="10"/>
      <c r="BE471" s="10"/>
      <c r="BF471" s="10"/>
      <c r="BG471" s="10"/>
      <c r="BH471" s="10"/>
      <c r="BI471" s="10"/>
      <c r="BJ471" s="10"/>
      <c r="BK471" s="10"/>
      <c r="BL471" s="10"/>
      <c r="BM471" s="10"/>
      <c r="BN471" s="10"/>
      <c r="BO471" s="10"/>
      <c r="BP471" s="10"/>
      <c r="BQ471" s="10"/>
      <c r="BR471" s="10"/>
      <c r="BS471" s="10"/>
      <c r="BT471" s="10"/>
      <c r="BU471" s="10"/>
      <c r="BV471" s="10"/>
      <c r="BW471" s="10"/>
      <c r="BX471" s="10"/>
      <c r="BY471" s="10"/>
      <c r="BZ471" s="10"/>
      <c r="CA471" s="10"/>
      <c r="CB471" s="10"/>
      <c r="CC471" s="10"/>
      <c r="CD471" s="10"/>
      <c r="CE471" s="10"/>
      <c r="CF471" s="10"/>
      <c r="CG471" s="10"/>
      <c r="CH471" s="10"/>
      <c r="CI471" s="10"/>
      <c r="CJ471" s="10"/>
      <c r="CK471" s="10"/>
      <c r="CL471" s="10"/>
      <c r="CM471" s="10"/>
      <c r="CN471" s="10"/>
      <c r="CO471" s="10"/>
      <c r="CP471" s="10"/>
      <c r="CQ471" s="10"/>
      <c r="CR471" s="10"/>
      <c r="CS471" s="10"/>
      <c r="CT471" s="10"/>
      <c r="CU471" s="10"/>
      <c r="CV471" s="10"/>
      <c r="CW471" s="10"/>
      <c r="CX471" s="10"/>
      <c r="CY471" s="10"/>
      <c r="CZ471" s="10"/>
      <c r="DA471" s="10"/>
      <c r="DB471" s="10"/>
      <c r="DC471" s="10"/>
      <c r="DD471" s="10"/>
      <c r="DE471" s="10"/>
      <c r="DF471" s="10"/>
      <c r="DG471" s="10"/>
      <c r="DH471" s="10"/>
      <c r="DI471" s="10"/>
      <c r="DJ471" s="10"/>
      <c r="DK471" s="10"/>
      <c r="DL471" s="10"/>
      <c r="DM471" s="10"/>
      <c r="DN471" s="10"/>
      <c r="DO471" s="10"/>
      <c r="DP471" s="10"/>
      <c r="DQ471" s="10"/>
      <c r="DR471" s="10"/>
    </row>
    <row r="472" spans="1:122" x14ac:dyDescent="0.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0"/>
      <c r="BC472" s="10"/>
      <c r="BD472" s="10"/>
      <c r="BE472" s="10"/>
      <c r="BF472" s="10"/>
      <c r="BG472" s="10"/>
      <c r="BH472" s="10"/>
      <c r="BI472" s="10"/>
      <c r="BJ472" s="10"/>
      <c r="BK472" s="10"/>
      <c r="BL472" s="10"/>
      <c r="BM472" s="10"/>
      <c r="BN472" s="10"/>
      <c r="BO472" s="10"/>
      <c r="BP472" s="10"/>
      <c r="BQ472" s="10"/>
      <c r="BR472" s="10"/>
      <c r="BS472" s="10"/>
      <c r="BT472" s="10"/>
      <c r="BU472" s="10"/>
      <c r="BV472" s="10"/>
      <c r="BW472" s="10"/>
      <c r="BX472" s="10"/>
      <c r="BY472" s="10"/>
      <c r="BZ472" s="10"/>
      <c r="CA472" s="10"/>
      <c r="CB472" s="10"/>
      <c r="CC472" s="10"/>
      <c r="CD472" s="10"/>
      <c r="CE472" s="10"/>
      <c r="CF472" s="10"/>
      <c r="CG472" s="10"/>
      <c r="CH472" s="10"/>
      <c r="CI472" s="10"/>
      <c r="CJ472" s="10"/>
      <c r="CK472" s="10"/>
      <c r="CL472" s="10"/>
      <c r="CM472" s="10"/>
      <c r="CN472" s="10"/>
      <c r="CO472" s="10"/>
      <c r="CP472" s="10"/>
      <c r="CQ472" s="10"/>
      <c r="CR472" s="10"/>
      <c r="CS472" s="10"/>
      <c r="CT472" s="10"/>
      <c r="CU472" s="10"/>
      <c r="CV472" s="10"/>
      <c r="CW472" s="10"/>
      <c r="CX472" s="10"/>
      <c r="CY472" s="10"/>
      <c r="CZ472" s="10"/>
      <c r="DA472" s="10"/>
      <c r="DB472" s="10"/>
      <c r="DC472" s="10"/>
      <c r="DD472" s="10"/>
      <c r="DE472" s="10"/>
      <c r="DF472" s="10"/>
      <c r="DG472" s="10"/>
      <c r="DH472" s="10"/>
      <c r="DI472" s="10"/>
      <c r="DJ472" s="10"/>
      <c r="DK472" s="10"/>
      <c r="DL472" s="10"/>
      <c r="DM472" s="10"/>
      <c r="DN472" s="10"/>
      <c r="DO472" s="10"/>
      <c r="DP472" s="10"/>
      <c r="DQ472" s="10"/>
      <c r="DR472" s="10"/>
    </row>
    <row r="473" spans="1:122" x14ac:dyDescent="0.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0"/>
      <c r="BC473" s="10"/>
      <c r="BD473" s="10"/>
      <c r="BE473" s="10"/>
      <c r="BF473" s="10"/>
      <c r="BG473" s="10"/>
      <c r="BH473" s="10"/>
      <c r="BI473" s="10"/>
      <c r="BJ473" s="10"/>
      <c r="BK473" s="10"/>
      <c r="BL473" s="10"/>
      <c r="BM473" s="10"/>
      <c r="BN473" s="10"/>
      <c r="BO473" s="10"/>
      <c r="BP473" s="10"/>
      <c r="BQ473" s="10"/>
      <c r="BR473" s="10"/>
      <c r="BS473" s="10"/>
      <c r="BT473" s="10"/>
      <c r="BU473" s="10"/>
      <c r="BV473" s="10"/>
      <c r="BW473" s="10"/>
      <c r="BX473" s="10"/>
      <c r="BY473" s="10"/>
      <c r="BZ473" s="10"/>
      <c r="CA473" s="10"/>
      <c r="CB473" s="10"/>
      <c r="CC473" s="10"/>
      <c r="CD473" s="10"/>
      <c r="CE473" s="10"/>
      <c r="CF473" s="10"/>
      <c r="CG473" s="10"/>
      <c r="CH473" s="10"/>
      <c r="CI473" s="10"/>
      <c r="CJ473" s="10"/>
      <c r="CK473" s="10"/>
      <c r="CL473" s="10"/>
      <c r="CM473" s="10"/>
      <c r="CN473" s="10"/>
      <c r="CO473" s="10"/>
      <c r="CP473" s="10"/>
      <c r="CQ473" s="10"/>
      <c r="CR473" s="10"/>
      <c r="CS473" s="10"/>
      <c r="CT473" s="10"/>
      <c r="CU473" s="10"/>
      <c r="CV473" s="10"/>
      <c r="CW473" s="10"/>
      <c r="CX473" s="10"/>
      <c r="CY473" s="10"/>
      <c r="CZ473" s="10"/>
      <c r="DA473" s="10"/>
      <c r="DB473" s="10"/>
      <c r="DC473" s="10"/>
      <c r="DD473" s="10"/>
      <c r="DE473" s="10"/>
      <c r="DF473" s="10"/>
      <c r="DG473" s="10"/>
      <c r="DH473" s="10"/>
      <c r="DI473" s="10"/>
      <c r="DJ473" s="10"/>
      <c r="DK473" s="10"/>
      <c r="DL473" s="10"/>
      <c r="DM473" s="10"/>
      <c r="DN473" s="10"/>
      <c r="DO473" s="10"/>
      <c r="DP473" s="10"/>
      <c r="DQ473" s="10"/>
      <c r="DR473" s="10"/>
    </row>
    <row r="474" spans="1:122" x14ac:dyDescent="0.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c r="AZ474" s="10"/>
      <c r="BA474" s="10"/>
      <c r="BB474" s="10"/>
      <c r="BC474" s="10"/>
      <c r="BD474" s="10"/>
      <c r="BE474" s="10"/>
      <c r="BF474" s="10"/>
      <c r="BG474" s="10"/>
      <c r="BH474" s="10"/>
      <c r="BI474" s="10"/>
      <c r="BJ474" s="10"/>
      <c r="BK474" s="10"/>
      <c r="BL474" s="10"/>
      <c r="BM474" s="10"/>
      <c r="BN474" s="10"/>
      <c r="BO474" s="10"/>
      <c r="BP474" s="10"/>
      <c r="BQ474" s="10"/>
      <c r="BR474" s="10"/>
      <c r="BS474" s="10"/>
      <c r="BT474" s="10"/>
      <c r="BU474" s="10"/>
      <c r="BV474" s="10"/>
      <c r="BW474" s="10"/>
      <c r="BX474" s="10"/>
      <c r="BY474" s="10"/>
      <c r="BZ474" s="10"/>
      <c r="CA474" s="10"/>
      <c r="CB474" s="10"/>
      <c r="CC474" s="10"/>
      <c r="CD474" s="10"/>
      <c r="CE474" s="10"/>
      <c r="CF474" s="10"/>
      <c r="CG474" s="10"/>
      <c r="CH474" s="10"/>
      <c r="CI474" s="10"/>
      <c r="CJ474" s="10"/>
      <c r="CK474" s="10"/>
      <c r="CL474" s="10"/>
      <c r="CM474" s="10"/>
      <c r="CN474" s="10"/>
      <c r="CO474" s="10"/>
      <c r="CP474" s="10"/>
      <c r="CQ474" s="10"/>
      <c r="CR474" s="10"/>
      <c r="CS474" s="10"/>
      <c r="CT474" s="10"/>
      <c r="CU474" s="10"/>
      <c r="CV474" s="10"/>
      <c r="CW474" s="10"/>
      <c r="CX474" s="10"/>
      <c r="CY474" s="10"/>
      <c r="CZ474" s="10"/>
      <c r="DA474" s="10"/>
      <c r="DB474" s="10"/>
      <c r="DC474" s="10"/>
      <c r="DD474" s="10"/>
      <c r="DE474" s="10"/>
      <c r="DF474" s="10"/>
      <c r="DG474" s="10"/>
      <c r="DH474" s="10"/>
      <c r="DI474" s="10"/>
      <c r="DJ474" s="10"/>
      <c r="DK474" s="10"/>
      <c r="DL474" s="10"/>
      <c r="DM474" s="10"/>
      <c r="DN474" s="10"/>
      <c r="DO474" s="10"/>
      <c r="DP474" s="10"/>
      <c r="DQ474" s="10"/>
      <c r="DR474" s="10"/>
    </row>
    <row r="475" spans="1:122" x14ac:dyDescent="0.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c r="AZ475" s="10"/>
      <c r="BA475" s="10"/>
      <c r="BB475" s="10"/>
      <c r="BC475" s="10"/>
      <c r="BD475" s="10"/>
      <c r="BE475" s="10"/>
      <c r="BF475" s="10"/>
      <c r="BG475" s="10"/>
      <c r="BH475" s="10"/>
      <c r="BI475" s="10"/>
      <c r="BJ475" s="10"/>
      <c r="BK475" s="10"/>
      <c r="BL475" s="10"/>
      <c r="BM475" s="10"/>
      <c r="BN475" s="10"/>
      <c r="BO475" s="10"/>
      <c r="BP475" s="10"/>
      <c r="BQ475" s="10"/>
      <c r="BR475" s="10"/>
      <c r="BS475" s="10"/>
      <c r="BT475" s="10"/>
      <c r="BU475" s="10"/>
      <c r="BV475" s="10"/>
      <c r="BW475" s="10"/>
      <c r="BX475" s="10"/>
      <c r="BY475" s="10"/>
      <c r="BZ475" s="10"/>
      <c r="CA475" s="10"/>
      <c r="CB475" s="10"/>
      <c r="CC475" s="10"/>
      <c r="CD475" s="10"/>
      <c r="CE475" s="10"/>
      <c r="CF475" s="10"/>
      <c r="CG475" s="10"/>
      <c r="CH475" s="10"/>
      <c r="CI475" s="10"/>
      <c r="CJ475" s="10"/>
      <c r="CK475" s="10"/>
      <c r="CL475" s="10"/>
      <c r="CM475" s="10"/>
      <c r="CN475" s="10"/>
      <c r="CO475" s="10"/>
      <c r="CP475" s="10"/>
      <c r="CQ475" s="10"/>
      <c r="CR475" s="10"/>
      <c r="CS475" s="10"/>
      <c r="CT475" s="10"/>
      <c r="CU475" s="10"/>
      <c r="CV475" s="10"/>
      <c r="CW475" s="10"/>
      <c r="CX475" s="10"/>
      <c r="CY475" s="10"/>
      <c r="CZ475" s="10"/>
      <c r="DA475" s="10"/>
      <c r="DB475" s="10"/>
      <c r="DC475" s="10"/>
      <c r="DD475" s="10"/>
      <c r="DE475" s="10"/>
      <c r="DF475" s="10"/>
      <c r="DG475" s="10"/>
      <c r="DH475" s="10"/>
      <c r="DI475" s="10"/>
      <c r="DJ475" s="10"/>
      <c r="DK475" s="10"/>
      <c r="DL475" s="10"/>
      <c r="DM475" s="10"/>
      <c r="DN475" s="10"/>
      <c r="DO475" s="10"/>
      <c r="DP475" s="10"/>
      <c r="DQ475" s="10"/>
      <c r="DR475" s="10"/>
    </row>
    <row r="476" spans="1:122" x14ac:dyDescent="0.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0"/>
      <c r="BC476" s="10"/>
      <c r="BD476" s="10"/>
      <c r="BE476" s="10"/>
      <c r="BF476" s="10"/>
      <c r="BG476" s="10"/>
      <c r="BH476" s="10"/>
      <c r="BI476" s="10"/>
      <c r="BJ476" s="10"/>
      <c r="BK476" s="10"/>
      <c r="BL476" s="10"/>
      <c r="BM476" s="10"/>
      <c r="BN476" s="10"/>
      <c r="BO476" s="10"/>
      <c r="BP476" s="10"/>
      <c r="BQ476" s="10"/>
      <c r="BR476" s="10"/>
      <c r="BS476" s="10"/>
      <c r="BT476" s="10"/>
      <c r="BU476" s="10"/>
      <c r="BV476" s="10"/>
      <c r="BW476" s="10"/>
      <c r="BX476" s="10"/>
      <c r="BY476" s="10"/>
      <c r="BZ476" s="10"/>
      <c r="CA476" s="10"/>
      <c r="CB476" s="10"/>
      <c r="CC476" s="10"/>
      <c r="CD476" s="10"/>
      <c r="CE476" s="10"/>
      <c r="CF476" s="10"/>
      <c r="CG476" s="10"/>
      <c r="CH476" s="10"/>
      <c r="CI476" s="10"/>
      <c r="CJ476" s="10"/>
      <c r="CK476" s="10"/>
      <c r="CL476" s="10"/>
      <c r="CM476" s="10"/>
      <c r="CN476" s="10"/>
      <c r="CO476" s="10"/>
      <c r="CP476" s="10"/>
      <c r="CQ476" s="10"/>
      <c r="CR476" s="10"/>
      <c r="CS476" s="10"/>
      <c r="CT476" s="10"/>
      <c r="CU476" s="10"/>
      <c r="CV476" s="10"/>
      <c r="CW476" s="10"/>
      <c r="CX476" s="10"/>
      <c r="CY476" s="10"/>
      <c r="CZ476" s="10"/>
      <c r="DA476" s="10"/>
      <c r="DB476" s="10"/>
      <c r="DC476" s="10"/>
      <c r="DD476" s="10"/>
      <c r="DE476" s="10"/>
      <c r="DF476" s="10"/>
      <c r="DG476" s="10"/>
      <c r="DH476" s="10"/>
      <c r="DI476" s="10"/>
      <c r="DJ476" s="10"/>
      <c r="DK476" s="10"/>
      <c r="DL476" s="10"/>
      <c r="DM476" s="10"/>
      <c r="DN476" s="10"/>
      <c r="DO476" s="10"/>
      <c r="DP476" s="10"/>
      <c r="DQ476" s="10"/>
      <c r="DR476" s="10"/>
    </row>
    <row r="477" spans="1:122" x14ac:dyDescent="0.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0"/>
      <c r="BC477" s="10"/>
      <c r="BD477" s="10"/>
      <c r="BE477" s="10"/>
      <c r="BF477" s="10"/>
      <c r="BG477" s="10"/>
      <c r="BH477" s="10"/>
      <c r="BI477" s="10"/>
      <c r="BJ477" s="10"/>
      <c r="BK477" s="10"/>
      <c r="BL477" s="10"/>
      <c r="BM477" s="10"/>
      <c r="BN477" s="10"/>
      <c r="BO477" s="10"/>
      <c r="BP477" s="10"/>
      <c r="BQ477" s="10"/>
      <c r="BR477" s="10"/>
      <c r="BS477" s="10"/>
      <c r="BT477" s="10"/>
      <c r="BU477" s="10"/>
      <c r="BV477" s="10"/>
      <c r="BW477" s="10"/>
      <c r="BX477" s="10"/>
      <c r="BY477" s="10"/>
      <c r="BZ477" s="10"/>
      <c r="CA477" s="10"/>
      <c r="CB477" s="10"/>
      <c r="CC477" s="10"/>
      <c r="CD477" s="10"/>
      <c r="CE477" s="10"/>
      <c r="CF477" s="10"/>
      <c r="CG477" s="10"/>
      <c r="CH477" s="10"/>
      <c r="CI477" s="10"/>
      <c r="CJ477" s="10"/>
      <c r="CK477" s="10"/>
      <c r="CL477" s="10"/>
      <c r="CM477" s="10"/>
      <c r="CN477" s="10"/>
      <c r="CO477" s="10"/>
      <c r="CP477" s="10"/>
      <c r="CQ477" s="10"/>
      <c r="CR477" s="10"/>
      <c r="CS477" s="10"/>
      <c r="CT477" s="10"/>
      <c r="CU477" s="10"/>
      <c r="CV477" s="10"/>
      <c r="CW477" s="10"/>
      <c r="CX477" s="10"/>
      <c r="CY477" s="10"/>
      <c r="CZ477" s="10"/>
      <c r="DA477" s="10"/>
      <c r="DB477" s="10"/>
      <c r="DC477" s="10"/>
      <c r="DD477" s="10"/>
      <c r="DE477" s="10"/>
      <c r="DF477" s="10"/>
      <c r="DG477" s="10"/>
      <c r="DH477" s="10"/>
      <c r="DI477" s="10"/>
      <c r="DJ477" s="10"/>
      <c r="DK477" s="10"/>
      <c r="DL477" s="10"/>
      <c r="DM477" s="10"/>
      <c r="DN477" s="10"/>
      <c r="DO477" s="10"/>
      <c r="DP477" s="10"/>
      <c r="DQ477" s="10"/>
      <c r="DR477" s="10"/>
    </row>
    <row r="478" spans="1:122" x14ac:dyDescent="0.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0"/>
      <c r="BC478" s="10"/>
      <c r="BD478" s="10"/>
      <c r="BE478" s="10"/>
      <c r="BF478" s="10"/>
      <c r="BG478" s="10"/>
      <c r="BH478" s="10"/>
      <c r="BI478" s="10"/>
      <c r="BJ478" s="10"/>
      <c r="BK478" s="10"/>
      <c r="BL478" s="10"/>
      <c r="BM478" s="10"/>
      <c r="BN478" s="10"/>
      <c r="BO478" s="10"/>
      <c r="BP478" s="10"/>
      <c r="BQ478" s="10"/>
      <c r="BR478" s="10"/>
      <c r="BS478" s="10"/>
      <c r="BT478" s="10"/>
      <c r="BU478" s="10"/>
      <c r="BV478" s="10"/>
      <c r="BW478" s="10"/>
      <c r="BX478" s="10"/>
      <c r="BY478" s="10"/>
      <c r="BZ478" s="10"/>
      <c r="CA478" s="10"/>
      <c r="CB478" s="10"/>
      <c r="CC478" s="10"/>
      <c r="CD478" s="10"/>
      <c r="CE478" s="10"/>
      <c r="CF478" s="10"/>
      <c r="CG478" s="10"/>
      <c r="CH478" s="10"/>
      <c r="CI478" s="10"/>
      <c r="CJ478" s="10"/>
      <c r="CK478" s="10"/>
      <c r="CL478" s="10"/>
      <c r="CM478" s="10"/>
      <c r="CN478" s="10"/>
      <c r="CO478" s="10"/>
      <c r="CP478" s="10"/>
      <c r="CQ478" s="10"/>
      <c r="CR478" s="10"/>
      <c r="CS478" s="10"/>
      <c r="CT478" s="10"/>
      <c r="CU478" s="10"/>
      <c r="CV478" s="10"/>
      <c r="CW478" s="10"/>
      <c r="CX478" s="10"/>
      <c r="CY478" s="10"/>
      <c r="CZ478" s="10"/>
      <c r="DA478" s="10"/>
      <c r="DB478" s="10"/>
      <c r="DC478" s="10"/>
      <c r="DD478" s="10"/>
      <c r="DE478" s="10"/>
      <c r="DF478" s="10"/>
      <c r="DG478" s="10"/>
      <c r="DH478" s="10"/>
      <c r="DI478" s="10"/>
      <c r="DJ478" s="10"/>
      <c r="DK478" s="10"/>
      <c r="DL478" s="10"/>
      <c r="DM478" s="10"/>
      <c r="DN478" s="10"/>
      <c r="DO478" s="10"/>
      <c r="DP478" s="10"/>
      <c r="DQ478" s="10"/>
      <c r="DR478" s="10"/>
    </row>
    <row r="479" spans="1:122" x14ac:dyDescent="0.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0"/>
      <c r="BC479" s="10"/>
      <c r="BD479" s="10"/>
      <c r="BE479" s="10"/>
      <c r="BF479" s="10"/>
      <c r="BG479" s="10"/>
      <c r="BH479" s="10"/>
      <c r="BI479" s="10"/>
      <c r="BJ479" s="10"/>
      <c r="BK479" s="10"/>
      <c r="BL479" s="10"/>
      <c r="BM479" s="10"/>
      <c r="BN479" s="10"/>
      <c r="BO479" s="10"/>
      <c r="BP479" s="10"/>
      <c r="BQ479" s="10"/>
      <c r="BR479" s="10"/>
      <c r="BS479" s="10"/>
      <c r="BT479" s="10"/>
      <c r="BU479" s="10"/>
      <c r="BV479" s="10"/>
      <c r="BW479" s="10"/>
      <c r="BX479" s="10"/>
      <c r="BY479" s="10"/>
      <c r="BZ479" s="10"/>
      <c r="CA479" s="10"/>
      <c r="CB479" s="10"/>
      <c r="CC479" s="10"/>
      <c r="CD479" s="10"/>
      <c r="CE479" s="10"/>
      <c r="CF479" s="10"/>
      <c r="CG479" s="10"/>
      <c r="CH479" s="10"/>
      <c r="CI479" s="10"/>
      <c r="CJ479" s="10"/>
      <c r="CK479" s="10"/>
      <c r="CL479" s="10"/>
      <c r="CM479" s="10"/>
      <c r="CN479" s="10"/>
      <c r="CO479" s="10"/>
      <c r="CP479" s="10"/>
      <c r="CQ479" s="10"/>
      <c r="CR479" s="10"/>
      <c r="CS479" s="10"/>
      <c r="CT479" s="10"/>
      <c r="CU479" s="10"/>
      <c r="CV479" s="10"/>
      <c r="CW479" s="10"/>
      <c r="CX479" s="10"/>
      <c r="CY479" s="10"/>
      <c r="CZ479" s="10"/>
      <c r="DA479" s="10"/>
      <c r="DB479" s="10"/>
      <c r="DC479" s="10"/>
      <c r="DD479" s="10"/>
      <c r="DE479" s="10"/>
      <c r="DF479" s="10"/>
      <c r="DG479" s="10"/>
      <c r="DH479" s="10"/>
      <c r="DI479" s="10"/>
      <c r="DJ479" s="10"/>
      <c r="DK479" s="10"/>
      <c r="DL479" s="10"/>
      <c r="DM479" s="10"/>
      <c r="DN479" s="10"/>
      <c r="DO479" s="10"/>
      <c r="DP479" s="10"/>
      <c r="DQ479" s="10"/>
      <c r="DR479" s="10"/>
    </row>
    <row r="480" spans="1:122" x14ac:dyDescent="0.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0"/>
      <c r="BC480" s="10"/>
      <c r="BD480" s="10"/>
      <c r="BE480" s="10"/>
      <c r="BF480" s="10"/>
      <c r="BG480" s="10"/>
      <c r="BH480" s="10"/>
      <c r="BI480" s="10"/>
      <c r="BJ480" s="10"/>
      <c r="BK480" s="10"/>
      <c r="BL480" s="10"/>
      <c r="BM480" s="10"/>
      <c r="BN480" s="10"/>
      <c r="BO480" s="10"/>
      <c r="BP480" s="10"/>
      <c r="BQ480" s="10"/>
      <c r="BR480" s="10"/>
      <c r="BS480" s="10"/>
      <c r="BT480" s="10"/>
      <c r="BU480" s="10"/>
      <c r="BV480" s="10"/>
      <c r="BW480" s="10"/>
      <c r="BX480" s="10"/>
      <c r="BY480" s="10"/>
      <c r="BZ480" s="10"/>
      <c r="CA480" s="10"/>
      <c r="CB480" s="10"/>
      <c r="CC480" s="10"/>
      <c r="CD480" s="10"/>
      <c r="CE480" s="10"/>
      <c r="CF480" s="10"/>
      <c r="CG480" s="10"/>
      <c r="CH480" s="10"/>
      <c r="CI480" s="10"/>
      <c r="CJ480" s="10"/>
      <c r="CK480" s="10"/>
      <c r="CL480" s="10"/>
      <c r="CM480" s="10"/>
      <c r="CN480" s="10"/>
      <c r="CO480" s="10"/>
      <c r="CP480" s="10"/>
      <c r="CQ480" s="10"/>
      <c r="CR480" s="10"/>
      <c r="CS480" s="10"/>
      <c r="CT480" s="10"/>
      <c r="CU480" s="10"/>
      <c r="CV480" s="10"/>
      <c r="CW480" s="10"/>
      <c r="CX480" s="10"/>
      <c r="CY480" s="10"/>
      <c r="CZ480" s="10"/>
      <c r="DA480" s="10"/>
      <c r="DB480" s="10"/>
      <c r="DC480" s="10"/>
      <c r="DD480" s="10"/>
      <c r="DE480" s="10"/>
      <c r="DF480" s="10"/>
      <c r="DG480" s="10"/>
      <c r="DH480" s="10"/>
      <c r="DI480" s="10"/>
      <c r="DJ480" s="10"/>
      <c r="DK480" s="10"/>
      <c r="DL480" s="10"/>
      <c r="DM480" s="10"/>
      <c r="DN480" s="10"/>
      <c r="DO480" s="10"/>
      <c r="DP480" s="10"/>
      <c r="DQ480" s="10"/>
      <c r="DR480" s="10"/>
    </row>
    <row r="481" spans="1:122" x14ac:dyDescent="0.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0"/>
      <c r="BC481" s="10"/>
      <c r="BD481" s="10"/>
      <c r="BE481" s="10"/>
      <c r="BF481" s="10"/>
      <c r="BG481" s="10"/>
      <c r="BH481" s="10"/>
      <c r="BI481" s="10"/>
      <c r="BJ481" s="10"/>
      <c r="BK481" s="10"/>
      <c r="BL481" s="10"/>
      <c r="BM481" s="10"/>
      <c r="BN481" s="10"/>
      <c r="BO481" s="10"/>
      <c r="BP481" s="10"/>
      <c r="BQ481" s="10"/>
      <c r="BR481" s="10"/>
      <c r="BS481" s="10"/>
      <c r="BT481" s="10"/>
      <c r="BU481" s="10"/>
      <c r="BV481" s="10"/>
      <c r="BW481" s="10"/>
      <c r="BX481" s="10"/>
      <c r="BY481" s="10"/>
      <c r="BZ481" s="10"/>
      <c r="CA481" s="10"/>
      <c r="CB481" s="10"/>
      <c r="CC481" s="10"/>
      <c r="CD481" s="10"/>
      <c r="CE481" s="10"/>
      <c r="CF481" s="10"/>
      <c r="CG481" s="10"/>
      <c r="CH481" s="10"/>
      <c r="CI481" s="10"/>
      <c r="CJ481" s="10"/>
      <c r="CK481" s="10"/>
      <c r="CL481" s="10"/>
      <c r="CM481" s="10"/>
      <c r="CN481" s="10"/>
      <c r="CO481" s="10"/>
      <c r="CP481" s="10"/>
      <c r="CQ481" s="10"/>
      <c r="CR481" s="10"/>
      <c r="CS481" s="10"/>
      <c r="CT481" s="10"/>
      <c r="CU481" s="10"/>
      <c r="CV481" s="10"/>
      <c r="CW481" s="10"/>
      <c r="CX481" s="10"/>
      <c r="CY481" s="10"/>
      <c r="CZ481" s="10"/>
      <c r="DA481" s="10"/>
      <c r="DB481" s="10"/>
      <c r="DC481" s="10"/>
      <c r="DD481" s="10"/>
      <c r="DE481" s="10"/>
      <c r="DF481" s="10"/>
      <c r="DG481" s="10"/>
      <c r="DH481" s="10"/>
      <c r="DI481" s="10"/>
      <c r="DJ481" s="10"/>
      <c r="DK481" s="10"/>
      <c r="DL481" s="10"/>
      <c r="DM481" s="10"/>
      <c r="DN481" s="10"/>
      <c r="DO481" s="10"/>
      <c r="DP481" s="10"/>
      <c r="DQ481" s="10"/>
      <c r="DR481" s="10"/>
    </row>
    <row r="482" spans="1:122" x14ac:dyDescent="0.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0"/>
      <c r="BC482" s="10"/>
      <c r="BD482" s="10"/>
      <c r="BE482" s="10"/>
      <c r="BF482" s="10"/>
      <c r="BG482" s="10"/>
      <c r="BH482" s="10"/>
      <c r="BI482" s="10"/>
      <c r="BJ482" s="10"/>
      <c r="BK482" s="10"/>
      <c r="BL482" s="10"/>
      <c r="BM482" s="10"/>
      <c r="BN482" s="10"/>
      <c r="BO482" s="10"/>
      <c r="BP482" s="10"/>
      <c r="BQ482" s="10"/>
      <c r="BR482" s="10"/>
      <c r="BS482" s="10"/>
      <c r="BT482" s="10"/>
      <c r="BU482" s="10"/>
      <c r="BV482" s="10"/>
      <c r="BW482" s="10"/>
      <c r="BX482" s="10"/>
      <c r="BY482" s="10"/>
      <c r="BZ482" s="10"/>
      <c r="CA482" s="10"/>
      <c r="CB482" s="10"/>
      <c r="CC482" s="10"/>
      <c r="CD482" s="10"/>
      <c r="CE482" s="10"/>
      <c r="CF482" s="10"/>
      <c r="CG482" s="10"/>
      <c r="CH482" s="10"/>
      <c r="CI482" s="10"/>
      <c r="CJ482" s="10"/>
      <c r="CK482" s="10"/>
      <c r="CL482" s="10"/>
      <c r="CM482" s="10"/>
      <c r="CN482" s="10"/>
      <c r="CO482" s="10"/>
      <c r="CP482" s="10"/>
      <c r="CQ482" s="10"/>
      <c r="CR482" s="10"/>
      <c r="CS482" s="10"/>
      <c r="CT482" s="10"/>
      <c r="CU482" s="10"/>
      <c r="CV482" s="10"/>
      <c r="CW482" s="10"/>
      <c r="CX482" s="10"/>
      <c r="CY482" s="10"/>
      <c r="CZ482" s="10"/>
      <c r="DA482" s="10"/>
      <c r="DB482" s="10"/>
      <c r="DC482" s="10"/>
      <c r="DD482" s="10"/>
      <c r="DE482" s="10"/>
      <c r="DF482" s="10"/>
      <c r="DG482" s="10"/>
      <c r="DH482" s="10"/>
      <c r="DI482" s="10"/>
      <c r="DJ482" s="10"/>
      <c r="DK482" s="10"/>
      <c r="DL482" s="10"/>
      <c r="DM482" s="10"/>
      <c r="DN482" s="10"/>
      <c r="DO482" s="10"/>
      <c r="DP482" s="10"/>
      <c r="DQ482" s="10"/>
      <c r="DR482" s="10"/>
    </row>
    <row r="483" spans="1:122" x14ac:dyDescent="0.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0"/>
      <c r="BC483" s="10"/>
      <c r="BD483" s="10"/>
      <c r="BE483" s="10"/>
      <c r="BF483" s="10"/>
      <c r="BG483" s="10"/>
      <c r="BH483" s="10"/>
      <c r="BI483" s="10"/>
      <c r="BJ483" s="10"/>
      <c r="BK483" s="10"/>
      <c r="BL483" s="10"/>
      <c r="BM483" s="10"/>
      <c r="BN483" s="10"/>
      <c r="BO483" s="10"/>
      <c r="BP483" s="10"/>
      <c r="BQ483" s="10"/>
      <c r="BR483" s="10"/>
      <c r="BS483" s="10"/>
      <c r="BT483" s="10"/>
      <c r="BU483" s="10"/>
      <c r="BV483" s="10"/>
      <c r="BW483" s="10"/>
      <c r="BX483" s="10"/>
      <c r="BY483" s="10"/>
      <c r="BZ483" s="10"/>
      <c r="CA483" s="10"/>
      <c r="CB483" s="10"/>
      <c r="CC483" s="10"/>
      <c r="CD483" s="10"/>
      <c r="CE483" s="10"/>
      <c r="CF483" s="10"/>
      <c r="CG483" s="10"/>
      <c r="CH483" s="10"/>
      <c r="CI483" s="10"/>
      <c r="CJ483" s="10"/>
      <c r="CK483" s="10"/>
      <c r="CL483" s="10"/>
      <c r="CM483" s="10"/>
      <c r="CN483" s="10"/>
      <c r="CO483" s="10"/>
      <c r="CP483" s="10"/>
      <c r="CQ483" s="10"/>
      <c r="CR483" s="10"/>
      <c r="CS483" s="10"/>
      <c r="CT483" s="10"/>
      <c r="CU483" s="10"/>
      <c r="CV483" s="10"/>
      <c r="CW483" s="10"/>
      <c r="CX483" s="10"/>
      <c r="CY483" s="10"/>
      <c r="CZ483" s="10"/>
      <c r="DA483" s="10"/>
      <c r="DB483" s="10"/>
      <c r="DC483" s="10"/>
      <c r="DD483" s="10"/>
      <c r="DE483" s="10"/>
      <c r="DF483" s="10"/>
      <c r="DG483" s="10"/>
      <c r="DH483" s="10"/>
      <c r="DI483" s="10"/>
      <c r="DJ483" s="10"/>
      <c r="DK483" s="10"/>
      <c r="DL483" s="10"/>
      <c r="DM483" s="10"/>
      <c r="DN483" s="10"/>
      <c r="DO483" s="10"/>
      <c r="DP483" s="10"/>
      <c r="DQ483" s="10"/>
      <c r="DR483" s="10"/>
    </row>
    <row r="484" spans="1:122" x14ac:dyDescent="0.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0"/>
      <c r="BC484" s="10"/>
      <c r="BD484" s="10"/>
      <c r="BE484" s="10"/>
      <c r="BF484" s="10"/>
      <c r="BG484" s="10"/>
      <c r="BH484" s="10"/>
      <c r="BI484" s="10"/>
      <c r="BJ484" s="10"/>
      <c r="BK484" s="10"/>
      <c r="BL484" s="10"/>
      <c r="BM484" s="10"/>
      <c r="BN484" s="10"/>
      <c r="BO484" s="10"/>
      <c r="BP484" s="10"/>
      <c r="BQ484" s="10"/>
      <c r="BR484" s="10"/>
      <c r="BS484" s="10"/>
      <c r="BT484" s="10"/>
      <c r="BU484" s="10"/>
      <c r="BV484" s="10"/>
      <c r="BW484" s="10"/>
      <c r="BX484" s="10"/>
      <c r="BY484" s="10"/>
      <c r="BZ484" s="10"/>
      <c r="CA484" s="10"/>
      <c r="CB484" s="10"/>
      <c r="CC484" s="10"/>
      <c r="CD484" s="10"/>
      <c r="CE484" s="10"/>
      <c r="CF484" s="10"/>
      <c r="CG484" s="10"/>
      <c r="CH484" s="10"/>
      <c r="CI484" s="10"/>
      <c r="CJ484" s="10"/>
      <c r="CK484" s="10"/>
      <c r="CL484" s="10"/>
      <c r="CM484" s="10"/>
      <c r="CN484" s="10"/>
      <c r="CO484" s="10"/>
      <c r="CP484" s="10"/>
      <c r="CQ484" s="10"/>
      <c r="CR484" s="10"/>
      <c r="CS484" s="10"/>
      <c r="CT484" s="10"/>
      <c r="CU484" s="10"/>
      <c r="CV484" s="10"/>
      <c r="CW484" s="10"/>
      <c r="CX484" s="10"/>
      <c r="CY484" s="10"/>
      <c r="CZ484" s="10"/>
      <c r="DA484" s="10"/>
      <c r="DB484" s="10"/>
      <c r="DC484" s="10"/>
      <c r="DD484" s="10"/>
      <c r="DE484" s="10"/>
      <c r="DF484" s="10"/>
      <c r="DG484" s="10"/>
      <c r="DH484" s="10"/>
      <c r="DI484" s="10"/>
      <c r="DJ484" s="10"/>
      <c r="DK484" s="10"/>
      <c r="DL484" s="10"/>
      <c r="DM484" s="10"/>
      <c r="DN484" s="10"/>
      <c r="DO484" s="10"/>
      <c r="DP484" s="10"/>
      <c r="DQ484" s="10"/>
      <c r="DR484" s="10"/>
    </row>
    <row r="485" spans="1:122" x14ac:dyDescent="0.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0"/>
      <c r="BC485" s="10"/>
      <c r="BD485" s="10"/>
      <c r="BE485" s="10"/>
      <c r="BF485" s="10"/>
      <c r="BG485" s="10"/>
      <c r="BH485" s="10"/>
      <c r="BI485" s="10"/>
      <c r="BJ485" s="10"/>
      <c r="BK485" s="10"/>
      <c r="BL485" s="10"/>
      <c r="BM485" s="10"/>
      <c r="BN485" s="10"/>
      <c r="BO485" s="10"/>
      <c r="BP485" s="10"/>
      <c r="BQ485" s="10"/>
      <c r="BR485" s="10"/>
      <c r="BS485" s="10"/>
      <c r="BT485" s="10"/>
      <c r="BU485" s="10"/>
      <c r="BV485" s="10"/>
      <c r="BW485" s="10"/>
      <c r="BX485" s="10"/>
      <c r="BY485" s="10"/>
      <c r="BZ485" s="10"/>
      <c r="CA485" s="10"/>
      <c r="CB485" s="10"/>
      <c r="CC485" s="10"/>
      <c r="CD485" s="10"/>
      <c r="CE485" s="10"/>
      <c r="CF485" s="10"/>
      <c r="CG485" s="10"/>
      <c r="CH485" s="10"/>
      <c r="CI485" s="10"/>
      <c r="CJ485" s="10"/>
      <c r="CK485" s="10"/>
      <c r="CL485" s="10"/>
      <c r="CM485" s="10"/>
      <c r="CN485" s="10"/>
      <c r="CO485" s="10"/>
      <c r="CP485" s="10"/>
      <c r="CQ485" s="10"/>
      <c r="CR485" s="10"/>
      <c r="CS485" s="10"/>
      <c r="CT485" s="10"/>
      <c r="CU485" s="10"/>
      <c r="CV485" s="10"/>
      <c r="CW485" s="10"/>
      <c r="CX485" s="10"/>
      <c r="CY485" s="10"/>
      <c r="CZ485" s="10"/>
      <c r="DA485" s="10"/>
      <c r="DB485" s="10"/>
      <c r="DC485" s="10"/>
      <c r="DD485" s="10"/>
      <c r="DE485" s="10"/>
      <c r="DF485" s="10"/>
      <c r="DG485" s="10"/>
      <c r="DH485" s="10"/>
      <c r="DI485" s="10"/>
      <c r="DJ485" s="10"/>
      <c r="DK485" s="10"/>
      <c r="DL485" s="10"/>
      <c r="DM485" s="10"/>
      <c r="DN485" s="10"/>
      <c r="DO485" s="10"/>
      <c r="DP485" s="10"/>
      <c r="DQ485" s="10"/>
      <c r="DR485" s="10"/>
    </row>
    <row r="486" spans="1:122" x14ac:dyDescent="0.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0"/>
      <c r="BC486" s="10"/>
      <c r="BD486" s="10"/>
      <c r="BE486" s="10"/>
      <c r="BF486" s="10"/>
      <c r="BG486" s="10"/>
      <c r="BH486" s="10"/>
      <c r="BI486" s="10"/>
      <c r="BJ486" s="10"/>
      <c r="BK486" s="10"/>
      <c r="BL486" s="10"/>
      <c r="BM486" s="10"/>
      <c r="BN486" s="10"/>
      <c r="BO486" s="10"/>
      <c r="BP486" s="10"/>
      <c r="BQ486" s="10"/>
      <c r="BR486" s="10"/>
      <c r="BS486" s="10"/>
      <c r="BT486" s="10"/>
      <c r="BU486" s="10"/>
      <c r="BV486" s="10"/>
      <c r="BW486" s="10"/>
      <c r="BX486" s="10"/>
      <c r="BY486" s="10"/>
      <c r="BZ486" s="10"/>
      <c r="CA486" s="10"/>
      <c r="CB486" s="10"/>
      <c r="CC486" s="10"/>
      <c r="CD486" s="10"/>
      <c r="CE486" s="10"/>
      <c r="CF486" s="10"/>
      <c r="CG486" s="10"/>
      <c r="CH486" s="10"/>
      <c r="CI486" s="10"/>
      <c r="CJ486" s="10"/>
      <c r="CK486" s="10"/>
      <c r="CL486" s="10"/>
      <c r="CM486" s="10"/>
      <c r="CN486" s="10"/>
      <c r="CO486" s="10"/>
      <c r="CP486" s="10"/>
      <c r="CQ486" s="10"/>
      <c r="CR486" s="10"/>
      <c r="CS486" s="10"/>
      <c r="CT486" s="10"/>
      <c r="CU486" s="10"/>
      <c r="CV486" s="10"/>
      <c r="CW486" s="10"/>
      <c r="CX486" s="10"/>
      <c r="CY486" s="10"/>
      <c r="CZ486" s="10"/>
      <c r="DA486" s="10"/>
      <c r="DB486" s="10"/>
      <c r="DC486" s="10"/>
      <c r="DD486" s="10"/>
      <c r="DE486" s="10"/>
      <c r="DF486" s="10"/>
      <c r="DG486" s="10"/>
      <c r="DH486" s="10"/>
      <c r="DI486" s="10"/>
      <c r="DJ486" s="10"/>
      <c r="DK486" s="10"/>
      <c r="DL486" s="10"/>
      <c r="DM486" s="10"/>
      <c r="DN486" s="10"/>
      <c r="DO486" s="10"/>
      <c r="DP486" s="10"/>
      <c r="DQ486" s="10"/>
      <c r="DR486" s="10"/>
    </row>
    <row r="487" spans="1:122" x14ac:dyDescent="0.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0"/>
      <c r="BC487" s="10"/>
      <c r="BD487" s="10"/>
      <c r="BE487" s="10"/>
      <c r="BF487" s="10"/>
      <c r="BG487" s="10"/>
      <c r="BH487" s="10"/>
      <c r="BI487" s="10"/>
      <c r="BJ487" s="10"/>
      <c r="BK487" s="10"/>
      <c r="BL487" s="10"/>
      <c r="BM487" s="10"/>
      <c r="BN487" s="10"/>
      <c r="BO487" s="10"/>
      <c r="BP487" s="10"/>
      <c r="BQ487" s="10"/>
      <c r="BR487" s="10"/>
      <c r="BS487" s="10"/>
      <c r="BT487" s="10"/>
      <c r="BU487" s="10"/>
      <c r="BV487" s="10"/>
      <c r="BW487" s="10"/>
      <c r="BX487" s="10"/>
      <c r="BY487" s="10"/>
      <c r="BZ487" s="10"/>
      <c r="CA487" s="10"/>
      <c r="CB487" s="10"/>
      <c r="CC487" s="10"/>
      <c r="CD487" s="10"/>
      <c r="CE487" s="10"/>
      <c r="CF487" s="10"/>
      <c r="CG487" s="10"/>
      <c r="CH487" s="10"/>
      <c r="CI487" s="10"/>
      <c r="CJ487" s="10"/>
      <c r="CK487" s="10"/>
      <c r="CL487" s="10"/>
      <c r="CM487" s="10"/>
      <c r="CN487" s="10"/>
      <c r="CO487" s="10"/>
      <c r="CP487" s="10"/>
      <c r="CQ487" s="10"/>
      <c r="CR487" s="10"/>
      <c r="CS487" s="10"/>
      <c r="CT487" s="10"/>
      <c r="CU487" s="10"/>
      <c r="CV487" s="10"/>
      <c r="CW487" s="10"/>
      <c r="CX487" s="10"/>
      <c r="CY487" s="10"/>
      <c r="CZ487" s="10"/>
      <c r="DA487" s="10"/>
      <c r="DB487" s="10"/>
      <c r="DC487" s="10"/>
      <c r="DD487" s="10"/>
      <c r="DE487" s="10"/>
      <c r="DF487" s="10"/>
      <c r="DG487" s="10"/>
      <c r="DH487" s="10"/>
      <c r="DI487" s="10"/>
      <c r="DJ487" s="10"/>
      <c r="DK487" s="10"/>
      <c r="DL487" s="10"/>
      <c r="DM487" s="10"/>
      <c r="DN487" s="10"/>
      <c r="DO487" s="10"/>
      <c r="DP487" s="10"/>
      <c r="DQ487" s="10"/>
      <c r="DR487" s="10"/>
    </row>
    <row r="488" spans="1:122" x14ac:dyDescent="0.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0"/>
      <c r="BC488" s="10"/>
      <c r="BD488" s="10"/>
      <c r="BE488" s="10"/>
      <c r="BF488" s="10"/>
      <c r="BG488" s="10"/>
      <c r="BH488" s="10"/>
      <c r="BI488" s="10"/>
      <c r="BJ488" s="10"/>
      <c r="BK488" s="10"/>
      <c r="BL488" s="10"/>
      <c r="BM488" s="10"/>
      <c r="BN488" s="10"/>
      <c r="BO488" s="10"/>
      <c r="BP488" s="10"/>
      <c r="BQ488" s="10"/>
      <c r="BR488" s="10"/>
      <c r="BS488" s="10"/>
      <c r="BT488" s="10"/>
      <c r="BU488" s="10"/>
      <c r="BV488" s="10"/>
      <c r="BW488" s="10"/>
      <c r="BX488" s="10"/>
      <c r="BY488" s="10"/>
      <c r="BZ488" s="10"/>
      <c r="CA488" s="10"/>
      <c r="CB488" s="10"/>
      <c r="CC488" s="10"/>
      <c r="CD488" s="10"/>
      <c r="CE488" s="10"/>
      <c r="CF488" s="10"/>
      <c r="CG488" s="10"/>
      <c r="CH488" s="10"/>
      <c r="CI488" s="10"/>
      <c r="CJ488" s="10"/>
      <c r="CK488" s="10"/>
      <c r="CL488" s="10"/>
      <c r="CM488" s="10"/>
      <c r="CN488" s="10"/>
      <c r="CO488" s="10"/>
      <c r="CP488" s="10"/>
      <c r="CQ488" s="10"/>
      <c r="CR488" s="10"/>
      <c r="CS488" s="10"/>
      <c r="CT488" s="10"/>
      <c r="CU488" s="10"/>
      <c r="CV488" s="10"/>
      <c r="CW488" s="10"/>
      <c r="CX488" s="10"/>
      <c r="CY488" s="10"/>
      <c r="CZ488" s="10"/>
      <c r="DA488" s="10"/>
      <c r="DB488" s="10"/>
      <c r="DC488" s="10"/>
      <c r="DD488" s="10"/>
      <c r="DE488" s="10"/>
      <c r="DF488" s="10"/>
      <c r="DG488" s="10"/>
      <c r="DH488" s="10"/>
      <c r="DI488" s="10"/>
      <c r="DJ488" s="10"/>
      <c r="DK488" s="10"/>
      <c r="DL488" s="10"/>
      <c r="DM488" s="10"/>
      <c r="DN488" s="10"/>
      <c r="DO488" s="10"/>
      <c r="DP488" s="10"/>
      <c r="DQ488" s="10"/>
      <c r="DR488" s="10"/>
    </row>
    <row r="489" spans="1:122" x14ac:dyDescent="0.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0"/>
      <c r="BC489" s="10"/>
      <c r="BD489" s="10"/>
      <c r="BE489" s="10"/>
      <c r="BF489" s="10"/>
      <c r="BG489" s="10"/>
      <c r="BH489" s="10"/>
      <c r="BI489" s="10"/>
      <c r="BJ489" s="10"/>
      <c r="BK489" s="10"/>
      <c r="BL489" s="10"/>
      <c r="BM489" s="10"/>
      <c r="BN489" s="10"/>
      <c r="BO489" s="10"/>
      <c r="BP489" s="10"/>
      <c r="BQ489" s="10"/>
      <c r="BR489" s="10"/>
      <c r="BS489" s="10"/>
      <c r="BT489" s="10"/>
      <c r="BU489" s="10"/>
      <c r="BV489" s="10"/>
      <c r="BW489" s="10"/>
      <c r="BX489" s="10"/>
      <c r="BY489" s="10"/>
      <c r="BZ489" s="10"/>
      <c r="CA489" s="10"/>
      <c r="CB489" s="10"/>
      <c r="CC489" s="10"/>
      <c r="CD489" s="10"/>
      <c r="CE489" s="10"/>
      <c r="CF489" s="10"/>
      <c r="CG489" s="10"/>
      <c r="CH489" s="10"/>
      <c r="CI489" s="10"/>
      <c r="CJ489" s="10"/>
      <c r="CK489" s="10"/>
      <c r="CL489" s="10"/>
      <c r="CM489" s="10"/>
      <c r="CN489" s="10"/>
      <c r="CO489" s="10"/>
      <c r="CP489" s="10"/>
      <c r="CQ489" s="10"/>
      <c r="CR489" s="10"/>
      <c r="CS489" s="10"/>
      <c r="CT489" s="10"/>
      <c r="CU489" s="10"/>
      <c r="CV489" s="10"/>
      <c r="CW489" s="10"/>
      <c r="CX489" s="10"/>
      <c r="CY489" s="10"/>
      <c r="CZ489" s="10"/>
      <c r="DA489" s="10"/>
      <c r="DB489" s="10"/>
      <c r="DC489" s="10"/>
      <c r="DD489" s="10"/>
      <c r="DE489" s="10"/>
      <c r="DF489" s="10"/>
      <c r="DG489" s="10"/>
      <c r="DH489" s="10"/>
      <c r="DI489" s="10"/>
      <c r="DJ489" s="10"/>
      <c r="DK489" s="10"/>
      <c r="DL489" s="10"/>
      <c r="DM489" s="10"/>
      <c r="DN489" s="10"/>
      <c r="DO489" s="10"/>
      <c r="DP489" s="10"/>
      <c r="DQ489" s="10"/>
      <c r="DR489" s="10"/>
    </row>
    <row r="490" spans="1:122" x14ac:dyDescent="0.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0"/>
      <c r="BC490" s="10"/>
      <c r="BD490" s="10"/>
      <c r="BE490" s="10"/>
      <c r="BF490" s="10"/>
      <c r="BG490" s="10"/>
      <c r="BH490" s="10"/>
      <c r="BI490" s="10"/>
      <c r="BJ490" s="10"/>
      <c r="BK490" s="10"/>
      <c r="BL490" s="10"/>
      <c r="BM490" s="10"/>
      <c r="BN490" s="10"/>
      <c r="BO490" s="10"/>
      <c r="BP490" s="10"/>
      <c r="BQ490" s="10"/>
      <c r="BR490" s="10"/>
      <c r="BS490" s="10"/>
      <c r="BT490" s="10"/>
      <c r="BU490" s="10"/>
      <c r="BV490" s="10"/>
      <c r="BW490" s="10"/>
      <c r="BX490" s="10"/>
      <c r="BY490" s="10"/>
      <c r="BZ490" s="10"/>
      <c r="CA490" s="10"/>
      <c r="CB490" s="10"/>
      <c r="CC490" s="10"/>
      <c r="CD490" s="10"/>
      <c r="CE490" s="10"/>
      <c r="CF490" s="10"/>
      <c r="CG490" s="10"/>
      <c r="CH490" s="10"/>
      <c r="CI490" s="10"/>
      <c r="CJ490" s="10"/>
      <c r="CK490" s="10"/>
      <c r="CL490" s="10"/>
      <c r="CM490" s="10"/>
      <c r="CN490" s="10"/>
      <c r="CO490" s="10"/>
      <c r="CP490" s="10"/>
      <c r="CQ490" s="10"/>
      <c r="CR490" s="10"/>
      <c r="CS490" s="10"/>
      <c r="CT490" s="10"/>
      <c r="CU490" s="10"/>
      <c r="CV490" s="10"/>
      <c r="CW490" s="10"/>
      <c r="CX490" s="10"/>
      <c r="CY490" s="10"/>
      <c r="CZ490" s="10"/>
      <c r="DA490" s="10"/>
      <c r="DB490" s="10"/>
      <c r="DC490" s="10"/>
      <c r="DD490" s="10"/>
      <c r="DE490" s="10"/>
      <c r="DF490" s="10"/>
      <c r="DG490" s="10"/>
      <c r="DH490" s="10"/>
      <c r="DI490" s="10"/>
      <c r="DJ490" s="10"/>
      <c r="DK490" s="10"/>
      <c r="DL490" s="10"/>
      <c r="DM490" s="10"/>
      <c r="DN490" s="10"/>
      <c r="DO490" s="10"/>
      <c r="DP490" s="10"/>
      <c r="DQ490" s="10"/>
      <c r="DR490" s="10"/>
    </row>
    <row r="491" spans="1:122" x14ac:dyDescent="0.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0"/>
      <c r="BC491" s="10"/>
      <c r="BD491" s="10"/>
      <c r="BE491" s="10"/>
      <c r="BF491" s="10"/>
      <c r="BG491" s="10"/>
      <c r="BH491" s="10"/>
      <c r="BI491" s="10"/>
      <c r="BJ491" s="10"/>
      <c r="BK491" s="10"/>
      <c r="BL491" s="10"/>
      <c r="BM491" s="10"/>
      <c r="BN491" s="10"/>
      <c r="BO491" s="10"/>
      <c r="BP491" s="10"/>
      <c r="BQ491" s="10"/>
      <c r="BR491" s="10"/>
      <c r="BS491" s="10"/>
      <c r="BT491" s="10"/>
      <c r="BU491" s="10"/>
      <c r="BV491" s="10"/>
      <c r="BW491" s="10"/>
      <c r="BX491" s="10"/>
      <c r="BY491" s="10"/>
      <c r="BZ491" s="10"/>
      <c r="CA491" s="10"/>
      <c r="CB491" s="10"/>
      <c r="CC491" s="10"/>
      <c r="CD491" s="10"/>
      <c r="CE491" s="10"/>
      <c r="CF491" s="10"/>
      <c r="CG491" s="10"/>
      <c r="CH491" s="10"/>
      <c r="CI491" s="10"/>
      <c r="CJ491" s="10"/>
      <c r="CK491" s="10"/>
      <c r="CL491" s="10"/>
      <c r="CM491" s="10"/>
      <c r="CN491" s="10"/>
      <c r="CO491" s="10"/>
      <c r="CP491" s="10"/>
      <c r="CQ491" s="10"/>
      <c r="CR491" s="10"/>
      <c r="CS491" s="10"/>
      <c r="CT491" s="10"/>
      <c r="CU491" s="10"/>
      <c r="CV491" s="10"/>
      <c r="CW491" s="10"/>
      <c r="CX491" s="10"/>
      <c r="CY491" s="10"/>
      <c r="CZ491" s="10"/>
      <c r="DA491" s="10"/>
      <c r="DB491" s="10"/>
      <c r="DC491" s="10"/>
      <c r="DD491" s="10"/>
      <c r="DE491" s="10"/>
      <c r="DF491" s="10"/>
      <c r="DG491" s="10"/>
      <c r="DH491" s="10"/>
      <c r="DI491" s="10"/>
      <c r="DJ491" s="10"/>
      <c r="DK491" s="10"/>
      <c r="DL491" s="10"/>
      <c r="DM491" s="10"/>
      <c r="DN491" s="10"/>
      <c r="DO491" s="10"/>
      <c r="DP491" s="10"/>
      <c r="DQ491" s="10"/>
      <c r="DR491" s="10"/>
    </row>
    <row r="492" spans="1:122" x14ac:dyDescent="0.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0"/>
      <c r="BC492" s="10"/>
      <c r="BD492" s="10"/>
      <c r="BE492" s="10"/>
      <c r="BF492" s="10"/>
      <c r="BG492" s="10"/>
      <c r="BH492" s="10"/>
      <c r="BI492" s="10"/>
      <c r="BJ492" s="10"/>
      <c r="BK492" s="10"/>
      <c r="BL492" s="10"/>
      <c r="BM492" s="10"/>
      <c r="BN492" s="10"/>
      <c r="BO492" s="10"/>
      <c r="BP492" s="10"/>
      <c r="BQ492" s="10"/>
      <c r="BR492" s="10"/>
      <c r="BS492" s="10"/>
      <c r="BT492" s="10"/>
      <c r="BU492" s="10"/>
      <c r="BV492" s="10"/>
      <c r="BW492" s="10"/>
      <c r="BX492" s="10"/>
      <c r="BY492" s="10"/>
      <c r="BZ492" s="10"/>
      <c r="CA492" s="10"/>
      <c r="CB492" s="10"/>
      <c r="CC492" s="10"/>
      <c r="CD492" s="10"/>
      <c r="CE492" s="10"/>
      <c r="CF492" s="10"/>
      <c r="CG492" s="10"/>
      <c r="CH492" s="10"/>
      <c r="CI492" s="10"/>
      <c r="CJ492" s="10"/>
      <c r="CK492" s="10"/>
      <c r="CL492" s="10"/>
      <c r="CM492" s="10"/>
      <c r="CN492" s="10"/>
      <c r="CO492" s="10"/>
      <c r="CP492" s="10"/>
      <c r="CQ492" s="10"/>
      <c r="CR492" s="10"/>
      <c r="CS492" s="10"/>
      <c r="CT492" s="10"/>
      <c r="CU492" s="10"/>
      <c r="CV492" s="10"/>
      <c r="CW492" s="10"/>
      <c r="CX492" s="10"/>
      <c r="CY492" s="10"/>
      <c r="CZ492" s="10"/>
      <c r="DA492" s="10"/>
      <c r="DB492" s="10"/>
      <c r="DC492" s="10"/>
      <c r="DD492" s="10"/>
      <c r="DE492" s="10"/>
      <c r="DF492" s="10"/>
      <c r="DG492" s="10"/>
      <c r="DH492" s="10"/>
      <c r="DI492" s="10"/>
      <c r="DJ492" s="10"/>
      <c r="DK492" s="10"/>
      <c r="DL492" s="10"/>
      <c r="DM492" s="10"/>
      <c r="DN492" s="10"/>
      <c r="DO492" s="10"/>
      <c r="DP492" s="10"/>
      <c r="DQ492" s="10"/>
      <c r="DR492" s="10"/>
    </row>
    <row r="493" spans="1:122" x14ac:dyDescent="0.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0"/>
      <c r="BC493" s="10"/>
      <c r="BD493" s="10"/>
      <c r="BE493" s="10"/>
      <c r="BF493" s="10"/>
      <c r="BG493" s="10"/>
      <c r="BH493" s="10"/>
      <c r="BI493" s="10"/>
      <c r="BJ493" s="10"/>
      <c r="BK493" s="10"/>
      <c r="BL493" s="10"/>
      <c r="BM493" s="10"/>
      <c r="BN493" s="10"/>
      <c r="BO493" s="10"/>
      <c r="BP493" s="10"/>
      <c r="BQ493" s="10"/>
      <c r="BR493" s="10"/>
      <c r="BS493" s="10"/>
      <c r="BT493" s="10"/>
      <c r="BU493" s="10"/>
      <c r="BV493" s="10"/>
      <c r="BW493" s="10"/>
      <c r="BX493" s="10"/>
      <c r="BY493" s="10"/>
      <c r="BZ493" s="10"/>
      <c r="CA493" s="10"/>
      <c r="CB493" s="10"/>
      <c r="CC493" s="10"/>
      <c r="CD493" s="10"/>
      <c r="CE493" s="10"/>
      <c r="CF493" s="10"/>
      <c r="CG493" s="10"/>
      <c r="CH493" s="10"/>
      <c r="CI493" s="10"/>
      <c r="CJ493" s="10"/>
      <c r="CK493" s="10"/>
      <c r="CL493" s="10"/>
      <c r="CM493" s="10"/>
      <c r="CN493" s="10"/>
      <c r="CO493" s="10"/>
      <c r="CP493" s="10"/>
      <c r="CQ493" s="10"/>
      <c r="CR493" s="10"/>
      <c r="CS493" s="10"/>
      <c r="CT493" s="10"/>
      <c r="CU493" s="10"/>
      <c r="CV493" s="10"/>
      <c r="CW493" s="10"/>
      <c r="CX493" s="10"/>
      <c r="CY493" s="10"/>
      <c r="CZ493" s="10"/>
      <c r="DA493" s="10"/>
      <c r="DB493" s="10"/>
      <c r="DC493" s="10"/>
      <c r="DD493" s="10"/>
      <c r="DE493" s="10"/>
      <c r="DF493" s="10"/>
      <c r="DG493" s="10"/>
      <c r="DH493" s="10"/>
      <c r="DI493" s="10"/>
      <c r="DJ493" s="10"/>
      <c r="DK493" s="10"/>
      <c r="DL493" s="10"/>
      <c r="DM493" s="10"/>
      <c r="DN493" s="10"/>
      <c r="DO493" s="10"/>
      <c r="DP493" s="10"/>
      <c r="DQ493" s="10"/>
      <c r="DR493" s="10"/>
    </row>
    <row r="494" spans="1:122" x14ac:dyDescent="0.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0"/>
      <c r="BC494" s="10"/>
      <c r="BD494" s="10"/>
      <c r="BE494" s="10"/>
      <c r="BF494" s="10"/>
      <c r="BG494" s="10"/>
      <c r="BH494" s="10"/>
      <c r="BI494" s="10"/>
      <c r="BJ494" s="10"/>
      <c r="BK494" s="10"/>
      <c r="BL494" s="10"/>
      <c r="BM494" s="10"/>
      <c r="BN494" s="10"/>
      <c r="BO494" s="10"/>
      <c r="BP494" s="10"/>
      <c r="BQ494" s="10"/>
      <c r="BR494" s="10"/>
      <c r="BS494" s="10"/>
      <c r="BT494" s="10"/>
      <c r="BU494" s="10"/>
      <c r="BV494" s="10"/>
      <c r="BW494" s="10"/>
      <c r="BX494" s="10"/>
      <c r="BY494" s="10"/>
      <c r="BZ494" s="10"/>
      <c r="CA494" s="10"/>
      <c r="CB494" s="10"/>
      <c r="CC494" s="10"/>
      <c r="CD494" s="10"/>
      <c r="CE494" s="10"/>
      <c r="CF494" s="10"/>
      <c r="CG494" s="10"/>
      <c r="CH494" s="10"/>
      <c r="CI494" s="10"/>
      <c r="CJ494" s="10"/>
      <c r="CK494" s="10"/>
      <c r="CL494" s="10"/>
      <c r="CM494" s="10"/>
      <c r="CN494" s="10"/>
      <c r="CO494" s="10"/>
      <c r="CP494" s="10"/>
      <c r="CQ494" s="10"/>
      <c r="CR494" s="10"/>
      <c r="CS494" s="10"/>
      <c r="CT494" s="10"/>
      <c r="CU494" s="10"/>
      <c r="CV494" s="10"/>
      <c r="CW494" s="10"/>
      <c r="CX494" s="10"/>
      <c r="CY494" s="10"/>
      <c r="CZ494" s="10"/>
      <c r="DA494" s="10"/>
      <c r="DB494" s="10"/>
      <c r="DC494" s="10"/>
      <c r="DD494" s="10"/>
      <c r="DE494" s="10"/>
      <c r="DF494" s="10"/>
      <c r="DG494" s="10"/>
      <c r="DH494" s="10"/>
      <c r="DI494" s="10"/>
      <c r="DJ494" s="10"/>
      <c r="DK494" s="10"/>
      <c r="DL494" s="10"/>
      <c r="DM494" s="10"/>
      <c r="DN494" s="10"/>
      <c r="DO494" s="10"/>
      <c r="DP494" s="10"/>
      <c r="DQ494" s="10"/>
      <c r="DR494" s="10"/>
    </row>
    <row r="495" spans="1:122" x14ac:dyDescent="0.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0"/>
      <c r="BC495" s="10"/>
      <c r="BD495" s="10"/>
      <c r="BE495" s="10"/>
      <c r="BF495" s="10"/>
      <c r="BG495" s="10"/>
      <c r="BH495" s="10"/>
      <c r="BI495" s="10"/>
      <c r="BJ495" s="10"/>
      <c r="BK495" s="10"/>
      <c r="BL495" s="10"/>
      <c r="BM495" s="10"/>
      <c r="BN495" s="10"/>
      <c r="BO495" s="10"/>
      <c r="BP495" s="10"/>
      <c r="BQ495" s="10"/>
      <c r="BR495" s="10"/>
      <c r="BS495" s="10"/>
      <c r="BT495" s="10"/>
      <c r="BU495" s="10"/>
      <c r="BV495" s="10"/>
      <c r="BW495" s="10"/>
      <c r="BX495" s="10"/>
      <c r="BY495" s="10"/>
      <c r="BZ495" s="10"/>
      <c r="CA495" s="10"/>
      <c r="CB495" s="10"/>
      <c r="CC495" s="10"/>
      <c r="CD495" s="10"/>
      <c r="CE495" s="10"/>
      <c r="CF495" s="10"/>
      <c r="CG495" s="10"/>
      <c r="CH495" s="10"/>
      <c r="CI495" s="10"/>
      <c r="CJ495" s="10"/>
      <c r="CK495" s="10"/>
      <c r="CL495" s="10"/>
      <c r="CM495" s="10"/>
      <c r="CN495" s="10"/>
      <c r="CO495" s="10"/>
      <c r="CP495" s="10"/>
      <c r="CQ495" s="10"/>
      <c r="CR495" s="10"/>
      <c r="CS495" s="10"/>
      <c r="CT495" s="10"/>
      <c r="CU495" s="10"/>
      <c r="CV495" s="10"/>
      <c r="CW495" s="10"/>
      <c r="CX495" s="10"/>
      <c r="CY495" s="10"/>
      <c r="CZ495" s="10"/>
      <c r="DA495" s="10"/>
      <c r="DB495" s="10"/>
      <c r="DC495" s="10"/>
      <c r="DD495" s="10"/>
      <c r="DE495" s="10"/>
      <c r="DF495" s="10"/>
      <c r="DG495" s="10"/>
      <c r="DH495" s="10"/>
      <c r="DI495" s="10"/>
      <c r="DJ495" s="10"/>
      <c r="DK495" s="10"/>
      <c r="DL495" s="10"/>
      <c r="DM495" s="10"/>
      <c r="DN495" s="10"/>
      <c r="DO495" s="10"/>
      <c r="DP495" s="10"/>
      <c r="DQ495" s="10"/>
      <c r="DR495" s="10"/>
    </row>
    <row r="496" spans="1:122" x14ac:dyDescent="0.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0"/>
      <c r="BC496" s="10"/>
      <c r="BD496" s="10"/>
      <c r="BE496" s="10"/>
      <c r="BF496" s="10"/>
      <c r="BG496" s="10"/>
      <c r="BH496" s="10"/>
      <c r="BI496" s="10"/>
      <c r="BJ496" s="10"/>
      <c r="BK496" s="10"/>
      <c r="BL496" s="10"/>
      <c r="BM496" s="10"/>
      <c r="BN496" s="10"/>
      <c r="BO496" s="10"/>
      <c r="BP496" s="10"/>
      <c r="BQ496" s="10"/>
      <c r="BR496" s="10"/>
      <c r="BS496" s="10"/>
      <c r="BT496" s="10"/>
      <c r="BU496" s="10"/>
      <c r="BV496" s="10"/>
      <c r="BW496" s="10"/>
      <c r="BX496" s="10"/>
      <c r="BY496" s="10"/>
      <c r="BZ496" s="10"/>
      <c r="CA496" s="10"/>
      <c r="CB496" s="10"/>
      <c r="CC496" s="10"/>
      <c r="CD496" s="10"/>
      <c r="CE496" s="10"/>
      <c r="CF496" s="10"/>
      <c r="CG496" s="10"/>
      <c r="CH496" s="10"/>
      <c r="CI496" s="10"/>
      <c r="CJ496" s="10"/>
      <c r="CK496" s="10"/>
      <c r="CL496" s="10"/>
      <c r="CM496" s="10"/>
      <c r="CN496" s="10"/>
      <c r="CO496" s="10"/>
      <c r="CP496" s="10"/>
      <c r="CQ496" s="10"/>
      <c r="CR496" s="10"/>
      <c r="CS496" s="10"/>
      <c r="CT496" s="10"/>
      <c r="CU496" s="10"/>
      <c r="CV496" s="10"/>
      <c r="CW496" s="10"/>
      <c r="CX496" s="10"/>
      <c r="CY496" s="10"/>
      <c r="CZ496" s="10"/>
      <c r="DA496" s="10"/>
      <c r="DB496" s="10"/>
      <c r="DC496" s="10"/>
      <c r="DD496" s="10"/>
      <c r="DE496" s="10"/>
      <c r="DF496" s="10"/>
      <c r="DG496" s="10"/>
      <c r="DH496" s="10"/>
      <c r="DI496" s="10"/>
      <c r="DJ496" s="10"/>
      <c r="DK496" s="10"/>
      <c r="DL496" s="10"/>
      <c r="DM496" s="10"/>
      <c r="DN496" s="10"/>
      <c r="DO496" s="10"/>
      <c r="DP496" s="10"/>
      <c r="DQ496" s="10"/>
      <c r="DR496" s="10"/>
    </row>
    <row r="497" spans="1:122" x14ac:dyDescent="0.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0"/>
      <c r="BC497" s="10"/>
      <c r="BD497" s="10"/>
      <c r="BE497" s="10"/>
      <c r="BF497" s="10"/>
      <c r="BG497" s="10"/>
      <c r="BH497" s="10"/>
      <c r="BI497" s="10"/>
      <c r="BJ497" s="10"/>
      <c r="BK497" s="10"/>
      <c r="BL497" s="10"/>
      <c r="BM497" s="10"/>
      <c r="BN497" s="10"/>
      <c r="BO497" s="10"/>
      <c r="BP497" s="10"/>
      <c r="BQ497" s="10"/>
      <c r="BR497" s="10"/>
      <c r="BS497" s="10"/>
      <c r="BT497" s="10"/>
      <c r="BU497" s="10"/>
      <c r="BV497" s="10"/>
      <c r="BW497" s="10"/>
      <c r="BX497" s="10"/>
      <c r="BY497" s="10"/>
      <c r="BZ497" s="10"/>
      <c r="CA497" s="10"/>
      <c r="CB497" s="10"/>
      <c r="CC497" s="10"/>
      <c r="CD497" s="10"/>
      <c r="CE497" s="10"/>
      <c r="CF497" s="10"/>
      <c r="CG497" s="10"/>
      <c r="CH497" s="10"/>
      <c r="CI497" s="10"/>
      <c r="CJ497" s="10"/>
      <c r="CK497" s="10"/>
      <c r="CL497" s="10"/>
      <c r="CM497" s="10"/>
      <c r="CN497" s="10"/>
      <c r="CO497" s="10"/>
      <c r="CP497" s="10"/>
      <c r="CQ497" s="10"/>
      <c r="CR497" s="10"/>
      <c r="CS497" s="10"/>
      <c r="CT497" s="10"/>
      <c r="CU497" s="10"/>
      <c r="CV497" s="10"/>
      <c r="CW497" s="10"/>
      <c r="CX497" s="10"/>
      <c r="CY497" s="10"/>
      <c r="CZ497" s="10"/>
      <c r="DA497" s="10"/>
      <c r="DB497" s="10"/>
      <c r="DC497" s="10"/>
      <c r="DD497" s="10"/>
      <c r="DE497" s="10"/>
      <c r="DF497" s="10"/>
      <c r="DG497" s="10"/>
      <c r="DH497" s="10"/>
      <c r="DI497" s="10"/>
      <c r="DJ497" s="10"/>
      <c r="DK497" s="10"/>
      <c r="DL497" s="10"/>
      <c r="DM497" s="10"/>
      <c r="DN497" s="10"/>
      <c r="DO497" s="10"/>
      <c r="DP497" s="10"/>
      <c r="DQ497" s="10"/>
      <c r="DR497" s="10"/>
    </row>
    <row r="498" spans="1:122" x14ac:dyDescent="0.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0"/>
      <c r="BC498" s="10"/>
      <c r="BD498" s="10"/>
      <c r="BE498" s="10"/>
      <c r="BF498" s="10"/>
      <c r="BG498" s="10"/>
      <c r="BH498" s="10"/>
      <c r="BI498" s="10"/>
      <c r="BJ498" s="10"/>
      <c r="BK498" s="10"/>
      <c r="BL498" s="10"/>
      <c r="BM498" s="10"/>
      <c r="BN498" s="10"/>
      <c r="BO498" s="10"/>
      <c r="BP498" s="10"/>
      <c r="BQ498" s="10"/>
      <c r="BR498" s="10"/>
      <c r="BS498" s="10"/>
      <c r="BT498" s="10"/>
      <c r="BU498" s="10"/>
      <c r="BV498" s="10"/>
      <c r="BW498" s="10"/>
      <c r="BX498" s="10"/>
      <c r="BY498" s="10"/>
      <c r="BZ498" s="10"/>
      <c r="CA498" s="10"/>
      <c r="CB498" s="10"/>
      <c r="CC498" s="10"/>
      <c r="CD498" s="10"/>
      <c r="CE498" s="10"/>
      <c r="CF498" s="10"/>
      <c r="CG498" s="10"/>
      <c r="CH498" s="10"/>
      <c r="CI498" s="10"/>
      <c r="CJ498" s="10"/>
      <c r="CK498" s="10"/>
      <c r="CL498" s="10"/>
      <c r="CM498" s="10"/>
      <c r="CN498" s="10"/>
      <c r="CO498" s="10"/>
      <c r="CP498" s="10"/>
      <c r="CQ498" s="10"/>
      <c r="CR498" s="10"/>
      <c r="CS498" s="10"/>
      <c r="CT498" s="10"/>
      <c r="CU498" s="10"/>
      <c r="CV498" s="10"/>
      <c r="CW498" s="10"/>
      <c r="CX498" s="10"/>
      <c r="CY498" s="10"/>
      <c r="CZ498" s="10"/>
      <c r="DA498" s="10"/>
      <c r="DB498" s="10"/>
      <c r="DC498" s="10"/>
      <c r="DD498" s="10"/>
      <c r="DE498" s="10"/>
      <c r="DF498" s="10"/>
      <c r="DG498" s="10"/>
      <c r="DH498" s="10"/>
      <c r="DI498" s="10"/>
      <c r="DJ498" s="10"/>
      <c r="DK498" s="10"/>
      <c r="DL498" s="10"/>
      <c r="DM498" s="10"/>
      <c r="DN498" s="10"/>
      <c r="DO498" s="10"/>
      <c r="DP498" s="10"/>
      <c r="DQ498" s="10"/>
      <c r="DR498" s="10"/>
    </row>
    <row r="499" spans="1:122" x14ac:dyDescent="0.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0"/>
      <c r="BC499" s="10"/>
      <c r="BD499" s="10"/>
      <c r="BE499" s="10"/>
      <c r="BF499" s="10"/>
      <c r="BG499" s="10"/>
      <c r="BH499" s="10"/>
      <c r="BI499" s="10"/>
      <c r="BJ499" s="10"/>
      <c r="BK499" s="10"/>
      <c r="BL499" s="10"/>
      <c r="BM499" s="10"/>
      <c r="BN499" s="10"/>
      <c r="BO499" s="10"/>
      <c r="BP499" s="10"/>
      <c r="BQ499" s="10"/>
      <c r="BR499" s="10"/>
      <c r="BS499" s="10"/>
      <c r="BT499" s="10"/>
      <c r="BU499" s="10"/>
      <c r="BV499" s="10"/>
      <c r="BW499" s="10"/>
      <c r="BX499" s="10"/>
      <c r="BY499" s="10"/>
      <c r="BZ499" s="10"/>
      <c r="CA499" s="10"/>
      <c r="CB499" s="10"/>
      <c r="CC499" s="10"/>
      <c r="CD499" s="10"/>
      <c r="CE499" s="10"/>
      <c r="CF499" s="10"/>
      <c r="CG499" s="10"/>
      <c r="CH499" s="10"/>
      <c r="CI499" s="10"/>
      <c r="CJ499" s="10"/>
      <c r="CK499" s="10"/>
      <c r="CL499" s="10"/>
      <c r="CM499" s="10"/>
      <c r="CN499" s="10"/>
      <c r="CO499" s="10"/>
      <c r="CP499" s="10"/>
      <c r="CQ499" s="10"/>
      <c r="CR499" s="10"/>
      <c r="CS499" s="10"/>
      <c r="CT499" s="10"/>
      <c r="CU499" s="10"/>
      <c r="CV499" s="10"/>
      <c r="CW499" s="10"/>
      <c r="CX499" s="10"/>
      <c r="CY499" s="10"/>
      <c r="CZ499" s="10"/>
      <c r="DA499" s="10"/>
      <c r="DB499" s="10"/>
      <c r="DC499" s="10"/>
      <c r="DD499" s="10"/>
      <c r="DE499" s="10"/>
      <c r="DF499" s="10"/>
      <c r="DG499" s="10"/>
      <c r="DH499" s="10"/>
      <c r="DI499" s="10"/>
      <c r="DJ499" s="10"/>
      <c r="DK499" s="10"/>
      <c r="DL499" s="10"/>
      <c r="DM499" s="10"/>
      <c r="DN499" s="10"/>
      <c r="DO499" s="10"/>
      <c r="DP499" s="10"/>
      <c r="DQ499" s="10"/>
      <c r="DR499" s="10"/>
    </row>
    <row r="500" spans="1:122" x14ac:dyDescent="0.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0"/>
      <c r="BC500" s="10"/>
      <c r="BD500" s="10"/>
      <c r="BE500" s="10"/>
      <c r="BF500" s="10"/>
      <c r="BG500" s="10"/>
      <c r="BH500" s="10"/>
      <c r="BI500" s="10"/>
      <c r="BJ500" s="10"/>
      <c r="BK500" s="10"/>
      <c r="BL500" s="10"/>
      <c r="BM500" s="10"/>
      <c r="BN500" s="10"/>
      <c r="BO500" s="10"/>
      <c r="BP500" s="10"/>
      <c r="BQ500" s="10"/>
      <c r="BR500" s="10"/>
      <c r="BS500" s="10"/>
      <c r="BT500" s="10"/>
      <c r="BU500" s="10"/>
      <c r="BV500" s="10"/>
      <c r="BW500" s="10"/>
      <c r="BX500" s="10"/>
      <c r="BY500" s="10"/>
      <c r="BZ500" s="10"/>
      <c r="CA500" s="10"/>
      <c r="CB500" s="10"/>
      <c r="CC500" s="10"/>
      <c r="CD500" s="10"/>
      <c r="CE500" s="10"/>
      <c r="CF500" s="10"/>
      <c r="CG500" s="10"/>
      <c r="CH500" s="10"/>
      <c r="CI500" s="10"/>
      <c r="CJ500" s="10"/>
      <c r="CK500" s="10"/>
      <c r="CL500" s="10"/>
      <c r="CM500" s="10"/>
      <c r="CN500" s="10"/>
      <c r="CO500" s="10"/>
      <c r="CP500" s="10"/>
      <c r="CQ500" s="10"/>
      <c r="CR500" s="10"/>
      <c r="CS500" s="10"/>
      <c r="CT500" s="10"/>
      <c r="CU500" s="10"/>
      <c r="CV500" s="10"/>
      <c r="CW500" s="10"/>
      <c r="CX500" s="10"/>
      <c r="CY500" s="10"/>
      <c r="CZ500" s="10"/>
      <c r="DA500" s="10"/>
      <c r="DB500" s="10"/>
      <c r="DC500" s="10"/>
      <c r="DD500" s="10"/>
      <c r="DE500" s="10"/>
      <c r="DF500" s="10"/>
      <c r="DG500" s="10"/>
      <c r="DH500" s="10"/>
      <c r="DI500" s="10"/>
      <c r="DJ500" s="10"/>
      <c r="DK500" s="10"/>
      <c r="DL500" s="10"/>
      <c r="DM500" s="10"/>
      <c r="DN500" s="10"/>
      <c r="DO500" s="10"/>
      <c r="DP500" s="10"/>
      <c r="DQ500" s="10"/>
      <c r="DR500" s="10"/>
    </row>
    <row r="501" spans="1:122" x14ac:dyDescent="0.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0"/>
      <c r="BC501" s="10"/>
      <c r="BD501" s="10"/>
      <c r="BE501" s="10"/>
      <c r="BF501" s="10"/>
      <c r="BG501" s="10"/>
      <c r="BH501" s="10"/>
      <c r="BI501" s="10"/>
      <c r="BJ501" s="10"/>
      <c r="BK501" s="10"/>
      <c r="BL501" s="10"/>
      <c r="BM501" s="10"/>
      <c r="BN501" s="10"/>
      <c r="BO501" s="10"/>
      <c r="BP501" s="10"/>
      <c r="BQ501" s="10"/>
      <c r="BR501" s="10"/>
      <c r="BS501" s="10"/>
      <c r="BT501" s="10"/>
      <c r="BU501" s="10"/>
      <c r="BV501" s="10"/>
      <c r="BW501" s="10"/>
      <c r="BX501" s="10"/>
      <c r="BY501" s="10"/>
      <c r="BZ501" s="10"/>
      <c r="CA501" s="10"/>
      <c r="CB501" s="10"/>
      <c r="CC501" s="10"/>
      <c r="CD501" s="10"/>
      <c r="CE501" s="10"/>
      <c r="CF501" s="10"/>
      <c r="CG501" s="10"/>
      <c r="CH501" s="10"/>
      <c r="CI501" s="10"/>
      <c r="CJ501" s="10"/>
      <c r="CK501" s="10"/>
      <c r="CL501" s="10"/>
      <c r="CM501" s="10"/>
      <c r="CN501" s="10"/>
      <c r="CO501" s="10"/>
      <c r="CP501" s="10"/>
      <c r="CQ501" s="10"/>
      <c r="CR501" s="10"/>
      <c r="CS501" s="10"/>
      <c r="CT501" s="10"/>
      <c r="CU501" s="10"/>
      <c r="CV501" s="10"/>
      <c r="CW501" s="10"/>
      <c r="CX501" s="10"/>
      <c r="CY501" s="10"/>
      <c r="CZ501" s="10"/>
      <c r="DA501" s="10"/>
      <c r="DB501" s="10"/>
      <c r="DC501" s="10"/>
      <c r="DD501" s="10"/>
      <c r="DE501" s="10"/>
      <c r="DF501" s="10"/>
      <c r="DG501" s="10"/>
      <c r="DH501" s="10"/>
      <c r="DI501" s="10"/>
      <c r="DJ501" s="10"/>
      <c r="DK501" s="10"/>
      <c r="DL501" s="10"/>
      <c r="DM501" s="10"/>
      <c r="DN501" s="10"/>
      <c r="DO501" s="10"/>
      <c r="DP501" s="10"/>
      <c r="DQ501" s="10"/>
      <c r="DR501" s="10"/>
    </row>
    <row r="502" spans="1:122" x14ac:dyDescent="0.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0"/>
      <c r="BC502" s="10"/>
      <c r="BD502" s="10"/>
      <c r="BE502" s="10"/>
      <c r="BF502" s="10"/>
      <c r="BG502" s="10"/>
      <c r="BH502" s="10"/>
      <c r="BI502" s="10"/>
      <c r="BJ502" s="10"/>
      <c r="BK502" s="10"/>
      <c r="BL502" s="10"/>
      <c r="BM502" s="10"/>
      <c r="BN502" s="10"/>
      <c r="BO502" s="10"/>
      <c r="BP502" s="10"/>
      <c r="BQ502" s="10"/>
      <c r="BR502" s="10"/>
      <c r="BS502" s="10"/>
      <c r="BT502" s="10"/>
      <c r="BU502" s="10"/>
      <c r="BV502" s="10"/>
      <c r="BW502" s="10"/>
      <c r="BX502" s="10"/>
      <c r="BY502" s="10"/>
      <c r="BZ502" s="10"/>
      <c r="CA502" s="10"/>
      <c r="CB502" s="10"/>
      <c r="CC502" s="10"/>
      <c r="CD502" s="10"/>
      <c r="CE502" s="10"/>
      <c r="CF502" s="10"/>
      <c r="CG502" s="10"/>
      <c r="CH502" s="10"/>
      <c r="CI502" s="10"/>
      <c r="CJ502" s="10"/>
      <c r="CK502" s="10"/>
      <c r="CL502" s="10"/>
      <c r="CM502" s="10"/>
      <c r="CN502" s="10"/>
      <c r="CO502" s="10"/>
      <c r="CP502" s="10"/>
      <c r="CQ502" s="10"/>
      <c r="CR502" s="10"/>
      <c r="CS502" s="10"/>
      <c r="CT502" s="10"/>
      <c r="CU502" s="10"/>
      <c r="CV502" s="10"/>
      <c r="CW502" s="10"/>
      <c r="CX502" s="10"/>
      <c r="CY502" s="10"/>
      <c r="CZ502" s="10"/>
      <c r="DA502" s="10"/>
      <c r="DB502" s="10"/>
      <c r="DC502" s="10"/>
      <c r="DD502" s="10"/>
      <c r="DE502" s="10"/>
      <c r="DF502" s="10"/>
      <c r="DG502" s="10"/>
      <c r="DH502" s="10"/>
      <c r="DI502" s="10"/>
      <c r="DJ502" s="10"/>
      <c r="DK502" s="10"/>
      <c r="DL502" s="10"/>
      <c r="DM502" s="10"/>
      <c r="DN502" s="10"/>
      <c r="DO502" s="10"/>
      <c r="DP502" s="10"/>
      <c r="DQ502" s="10"/>
      <c r="DR502" s="10"/>
    </row>
    <row r="503" spans="1:122" x14ac:dyDescent="0.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0"/>
      <c r="BC503" s="10"/>
      <c r="BD503" s="10"/>
      <c r="BE503" s="10"/>
      <c r="BF503" s="10"/>
      <c r="BG503" s="10"/>
      <c r="BH503" s="10"/>
      <c r="BI503" s="10"/>
      <c r="BJ503" s="10"/>
      <c r="BK503" s="10"/>
      <c r="BL503" s="10"/>
      <c r="BM503" s="10"/>
      <c r="BN503" s="10"/>
      <c r="BO503" s="10"/>
      <c r="BP503" s="10"/>
      <c r="BQ503" s="10"/>
      <c r="BR503" s="10"/>
      <c r="BS503" s="10"/>
      <c r="BT503" s="10"/>
      <c r="BU503" s="10"/>
      <c r="BV503" s="10"/>
      <c r="BW503" s="10"/>
      <c r="BX503" s="10"/>
      <c r="BY503" s="10"/>
      <c r="BZ503" s="10"/>
      <c r="CA503" s="10"/>
      <c r="CB503" s="10"/>
      <c r="CC503" s="10"/>
      <c r="CD503" s="10"/>
      <c r="CE503" s="10"/>
      <c r="CF503" s="10"/>
      <c r="CG503" s="10"/>
      <c r="CH503" s="10"/>
      <c r="CI503" s="10"/>
      <c r="CJ503" s="10"/>
      <c r="CK503" s="10"/>
      <c r="CL503" s="10"/>
      <c r="CM503" s="10"/>
      <c r="CN503" s="10"/>
      <c r="CO503" s="10"/>
      <c r="CP503" s="10"/>
      <c r="CQ503" s="10"/>
      <c r="CR503" s="10"/>
      <c r="CS503" s="10"/>
      <c r="CT503" s="10"/>
      <c r="CU503" s="10"/>
      <c r="CV503" s="10"/>
      <c r="CW503" s="10"/>
      <c r="CX503" s="10"/>
      <c r="CY503" s="10"/>
      <c r="CZ503" s="10"/>
      <c r="DA503" s="10"/>
      <c r="DB503" s="10"/>
      <c r="DC503" s="10"/>
      <c r="DD503" s="10"/>
      <c r="DE503" s="10"/>
      <c r="DF503" s="10"/>
      <c r="DG503" s="10"/>
      <c r="DH503" s="10"/>
      <c r="DI503" s="10"/>
      <c r="DJ503" s="10"/>
      <c r="DK503" s="10"/>
      <c r="DL503" s="10"/>
      <c r="DM503" s="10"/>
      <c r="DN503" s="10"/>
      <c r="DO503" s="10"/>
      <c r="DP503" s="10"/>
      <c r="DQ503" s="10"/>
      <c r="DR503" s="10"/>
    </row>
    <row r="504" spans="1:122" x14ac:dyDescent="0.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0"/>
      <c r="BC504" s="10"/>
      <c r="BD504" s="10"/>
      <c r="BE504" s="10"/>
      <c r="BF504" s="10"/>
      <c r="BG504" s="10"/>
      <c r="BH504" s="10"/>
      <c r="BI504" s="10"/>
      <c r="BJ504" s="10"/>
      <c r="BK504" s="10"/>
      <c r="BL504" s="10"/>
      <c r="BM504" s="10"/>
      <c r="BN504" s="10"/>
      <c r="BO504" s="10"/>
      <c r="BP504" s="10"/>
      <c r="BQ504" s="10"/>
      <c r="BR504" s="10"/>
      <c r="BS504" s="10"/>
      <c r="BT504" s="10"/>
      <c r="BU504" s="10"/>
      <c r="BV504" s="10"/>
      <c r="BW504" s="10"/>
      <c r="BX504" s="10"/>
      <c r="BY504" s="10"/>
      <c r="BZ504" s="10"/>
      <c r="CA504" s="10"/>
      <c r="CB504" s="10"/>
      <c r="CC504" s="10"/>
      <c r="CD504" s="10"/>
      <c r="CE504" s="10"/>
      <c r="CF504" s="10"/>
      <c r="CG504" s="10"/>
      <c r="CH504" s="10"/>
      <c r="CI504" s="10"/>
      <c r="CJ504" s="10"/>
      <c r="CK504" s="10"/>
      <c r="CL504" s="10"/>
      <c r="CM504" s="10"/>
      <c r="CN504" s="10"/>
      <c r="CO504" s="10"/>
      <c r="CP504" s="10"/>
      <c r="CQ504" s="10"/>
      <c r="CR504" s="10"/>
      <c r="CS504" s="10"/>
      <c r="CT504" s="10"/>
      <c r="CU504" s="10"/>
      <c r="CV504" s="10"/>
      <c r="CW504" s="10"/>
      <c r="CX504" s="10"/>
      <c r="CY504" s="10"/>
      <c r="CZ504" s="10"/>
      <c r="DA504" s="10"/>
      <c r="DB504" s="10"/>
      <c r="DC504" s="10"/>
      <c r="DD504" s="10"/>
      <c r="DE504" s="10"/>
      <c r="DF504" s="10"/>
      <c r="DG504" s="10"/>
      <c r="DH504" s="10"/>
      <c r="DI504" s="10"/>
      <c r="DJ504" s="10"/>
      <c r="DK504" s="10"/>
      <c r="DL504" s="10"/>
      <c r="DM504" s="10"/>
      <c r="DN504" s="10"/>
      <c r="DO504" s="10"/>
      <c r="DP504" s="10"/>
      <c r="DQ504" s="10"/>
      <c r="DR504" s="10"/>
    </row>
    <row r="505" spans="1:122" x14ac:dyDescent="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0"/>
      <c r="BC505" s="10"/>
      <c r="BD505" s="10"/>
      <c r="BE505" s="10"/>
      <c r="BF505" s="10"/>
      <c r="BG505" s="10"/>
      <c r="BH505" s="10"/>
      <c r="BI505" s="10"/>
      <c r="BJ505" s="10"/>
      <c r="BK505" s="10"/>
      <c r="BL505" s="10"/>
      <c r="BM505" s="10"/>
      <c r="BN505" s="10"/>
      <c r="BO505" s="10"/>
      <c r="BP505" s="10"/>
      <c r="BQ505" s="10"/>
      <c r="BR505" s="10"/>
      <c r="BS505" s="10"/>
      <c r="BT505" s="10"/>
      <c r="BU505" s="10"/>
      <c r="BV505" s="10"/>
      <c r="BW505" s="10"/>
      <c r="BX505" s="10"/>
      <c r="BY505" s="10"/>
      <c r="BZ505" s="10"/>
      <c r="CA505" s="10"/>
      <c r="CB505" s="10"/>
      <c r="CC505" s="10"/>
      <c r="CD505" s="10"/>
      <c r="CE505" s="10"/>
      <c r="CF505" s="10"/>
      <c r="CG505" s="10"/>
      <c r="CH505" s="10"/>
      <c r="CI505" s="10"/>
      <c r="CJ505" s="10"/>
      <c r="CK505" s="10"/>
      <c r="CL505" s="10"/>
      <c r="CM505" s="10"/>
      <c r="CN505" s="10"/>
      <c r="CO505" s="10"/>
      <c r="CP505" s="10"/>
      <c r="CQ505" s="10"/>
      <c r="CR505" s="10"/>
      <c r="CS505" s="10"/>
      <c r="CT505" s="10"/>
      <c r="CU505" s="10"/>
      <c r="CV505" s="10"/>
      <c r="CW505" s="10"/>
      <c r="CX505" s="10"/>
      <c r="CY505" s="10"/>
      <c r="CZ505" s="10"/>
      <c r="DA505" s="10"/>
      <c r="DB505" s="10"/>
      <c r="DC505" s="10"/>
      <c r="DD505" s="10"/>
      <c r="DE505" s="10"/>
      <c r="DF505" s="10"/>
      <c r="DG505" s="10"/>
      <c r="DH505" s="10"/>
      <c r="DI505" s="10"/>
      <c r="DJ505" s="10"/>
      <c r="DK505" s="10"/>
      <c r="DL505" s="10"/>
      <c r="DM505" s="10"/>
      <c r="DN505" s="10"/>
      <c r="DO505" s="10"/>
      <c r="DP505" s="10"/>
      <c r="DQ505" s="10"/>
      <c r="DR505" s="10"/>
    </row>
    <row r="506" spans="1:122" x14ac:dyDescent="0.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0"/>
      <c r="BC506" s="10"/>
      <c r="BD506" s="10"/>
      <c r="BE506" s="10"/>
      <c r="BF506" s="10"/>
      <c r="BG506" s="10"/>
      <c r="BH506" s="10"/>
      <c r="BI506" s="10"/>
      <c r="BJ506" s="10"/>
      <c r="BK506" s="10"/>
      <c r="BL506" s="10"/>
      <c r="BM506" s="10"/>
      <c r="BN506" s="10"/>
      <c r="BO506" s="10"/>
      <c r="BP506" s="10"/>
      <c r="BQ506" s="10"/>
      <c r="BR506" s="10"/>
      <c r="BS506" s="10"/>
      <c r="BT506" s="10"/>
      <c r="BU506" s="10"/>
      <c r="BV506" s="10"/>
      <c r="BW506" s="10"/>
      <c r="BX506" s="10"/>
      <c r="BY506" s="10"/>
      <c r="BZ506" s="10"/>
      <c r="CA506" s="10"/>
      <c r="CB506" s="10"/>
      <c r="CC506" s="10"/>
      <c r="CD506" s="10"/>
      <c r="CE506" s="10"/>
      <c r="CF506" s="10"/>
      <c r="CG506" s="10"/>
      <c r="CH506" s="10"/>
      <c r="CI506" s="10"/>
      <c r="CJ506" s="10"/>
      <c r="CK506" s="10"/>
      <c r="CL506" s="10"/>
      <c r="CM506" s="10"/>
      <c r="CN506" s="10"/>
      <c r="CO506" s="10"/>
      <c r="CP506" s="10"/>
      <c r="CQ506" s="10"/>
      <c r="CR506" s="10"/>
      <c r="CS506" s="10"/>
      <c r="CT506" s="10"/>
      <c r="CU506" s="10"/>
      <c r="CV506" s="10"/>
      <c r="CW506" s="10"/>
      <c r="CX506" s="10"/>
      <c r="CY506" s="10"/>
      <c r="CZ506" s="10"/>
      <c r="DA506" s="10"/>
      <c r="DB506" s="10"/>
      <c r="DC506" s="10"/>
      <c r="DD506" s="10"/>
      <c r="DE506" s="10"/>
      <c r="DF506" s="10"/>
      <c r="DG506" s="10"/>
      <c r="DH506" s="10"/>
      <c r="DI506" s="10"/>
      <c r="DJ506" s="10"/>
      <c r="DK506" s="10"/>
      <c r="DL506" s="10"/>
      <c r="DM506" s="10"/>
      <c r="DN506" s="10"/>
      <c r="DO506" s="10"/>
      <c r="DP506" s="10"/>
      <c r="DQ506" s="10"/>
      <c r="DR506" s="10"/>
    </row>
    <row r="507" spans="1:122" x14ac:dyDescent="0.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0"/>
      <c r="BC507" s="10"/>
      <c r="BD507" s="10"/>
      <c r="BE507" s="10"/>
      <c r="BF507" s="10"/>
      <c r="BG507" s="10"/>
      <c r="BH507" s="10"/>
      <c r="BI507" s="10"/>
      <c r="BJ507" s="10"/>
      <c r="BK507" s="10"/>
      <c r="BL507" s="10"/>
      <c r="BM507" s="10"/>
      <c r="BN507" s="10"/>
      <c r="BO507" s="10"/>
      <c r="BP507" s="10"/>
      <c r="BQ507" s="10"/>
      <c r="BR507" s="10"/>
      <c r="BS507" s="10"/>
      <c r="BT507" s="10"/>
      <c r="BU507" s="10"/>
      <c r="BV507" s="10"/>
      <c r="BW507" s="10"/>
      <c r="BX507" s="10"/>
      <c r="BY507" s="10"/>
      <c r="BZ507" s="10"/>
      <c r="CA507" s="10"/>
      <c r="CB507" s="10"/>
      <c r="CC507" s="10"/>
      <c r="CD507" s="10"/>
      <c r="CE507" s="10"/>
      <c r="CF507" s="10"/>
      <c r="CG507" s="10"/>
      <c r="CH507" s="10"/>
      <c r="CI507" s="10"/>
      <c r="CJ507" s="10"/>
      <c r="CK507" s="10"/>
      <c r="CL507" s="10"/>
      <c r="CM507" s="10"/>
      <c r="CN507" s="10"/>
      <c r="CO507" s="10"/>
      <c r="CP507" s="10"/>
      <c r="CQ507" s="10"/>
      <c r="CR507" s="10"/>
      <c r="CS507" s="10"/>
      <c r="CT507" s="10"/>
      <c r="CU507" s="10"/>
      <c r="CV507" s="10"/>
      <c r="CW507" s="10"/>
      <c r="CX507" s="10"/>
      <c r="CY507" s="10"/>
      <c r="CZ507" s="10"/>
      <c r="DA507" s="10"/>
      <c r="DB507" s="10"/>
      <c r="DC507" s="10"/>
      <c r="DD507" s="10"/>
      <c r="DE507" s="10"/>
      <c r="DF507" s="10"/>
      <c r="DG507" s="10"/>
      <c r="DH507" s="10"/>
      <c r="DI507" s="10"/>
      <c r="DJ507" s="10"/>
      <c r="DK507" s="10"/>
      <c r="DL507" s="10"/>
      <c r="DM507" s="10"/>
      <c r="DN507" s="10"/>
      <c r="DO507" s="10"/>
      <c r="DP507" s="10"/>
      <c r="DQ507" s="10"/>
      <c r="DR507" s="10"/>
    </row>
    <row r="508" spans="1:122" x14ac:dyDescent="0.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0"/>
      <c r="BC508" s="10"/>
      <c r="BD508" s="10"/>
      <c r="BE508" s="10"/>
      <c r="BF508" s="10"/>
      <c r="BG508" s="10"/>
      <c r="BH508" s="10"/>
      <c r="BI508" s="10"/>
      <c r="BJ508" s="10"/>
      <c r="BK508" s="10"/>
      <c r="BL508" s="10"/>
      <c r="BM508" s="10"/>
      <c r="BN508" s="10"/>
      <c r="BO508" s="10"/>
      <c r="BP508" s="10"/>
      <c r="BQ508" s="10"/>
      <c r="BR508" s="10"/>
      <c r="BS508" s="10"/>
      <c r="BT508" s="10"/>
      <c r="BU508" s="10"/>
      <c r="BV508" s="10"/>
      <c r="BW508" s="10"/>
      <c r="BX508" s="10"/>
      <c r="BY508" s="10"/>
      <c r="BZ508" s="10"/>
      <c r="CA508" s="10"/>
      <c r="CB508" s="10"/>
      <c r="CC508" s="10"/>
      <c r="CD508" s="10"/>
      <c r="CE508" s="10"/>
      <c r="CF508" s="10"/>
      <c r="CG508" s="10"/>
      <c r="CH508" s="10"/>
      <c r="CI508" s="10"/>
      <c r="CJ508" s="10"/>
      <c r="CK508" s="10"/>
      <c r="CL508" s="10"/>
      <c r="CM508" s="10"/>
      <c r="CN508" s="10"/>
      <c r="CO508" s="10"/>
      <c r="CP508" s="10"/>
      <c r="CQ508" s="10"/>
      <c r="CR508" s="10"/>
      <c r="CS508" s="10"/>
      <c r="CT508" s="10"/>
      <c r="CU508" s="10"/>
      <c r="CV508" s="10"/>
      <c r="CW508" s="10"/>
      <c r="CX508" s="10"/>
      <c r="CY508" s="10"/>
      <c r="CZ508" s="10"/>
      <c r="DA508" s="10"/>
      <c r="DB508" s="10"/>
      <c r="DC508" s="10"/>
      <c r="DD508" s="10"/>
      <c r="DE508" s="10"/>
      <c r="DF508" s="10"/>
      <c r="DG508" s="10"/>
      <c r="DH508" s="10"/>
      <c r="DI508" s="10"/>
      <c r="DJ508" s="10"/>
      <c r="DK508" s="10"/>
      <c r="DL508" s="10"/>
      <c r="DM508" s="10"/>
      <c r="DN508" s="10"/>
      <c r="DO508" s="10"/>
      <c r="DP508" s="10"/>
      <c r="DQ508" s="10"/>
      <c r="DR508" s="10"/>
    </row>
    <row r="509" spans="1:122" x14ac:dyDescent="0.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0"/>
      <c r="BC509" s="10"/>
      <c r="BD509" s="10"/>
      <c r="BE509" s="10"/>
      <c r="BF509" s="10"/>
      <c r="BG509" s="10"/>
      <c r="BH509" s="10"/>
      <c r="BI509" s="10"/>
      <c r="BJ509" s="10"/>
      <c r="BK509" s="10"/>
      <c r="BL509" s="10"/>
      <c r="BM509" s="10"/>
      <c r="BN509" s="10"/>
      <c r="BO509" s="10"/>
      <c r="BP509" s="10"/>
      <c r="BQ509" s="10"/>
      <c r="BR509" s="10"/>
      <c r="BS509" s="10"/>
      <c r="BT509" s="10"/>
      <c r="BU509" s="10"/>
      <c r="BV509" s="10"/>
      <c r="BW509" s="10"/>
      <c r="BX509" s="10"/>
      <c r="BY509" s="10"/>
      <c r="BZ509" s="10"/>
      <c r="CA509" s="10"/>
      <c r="CB509" s="10"/>
      <c r="CC509" s="10"/>
      <c r="CD509" s="10"/>
      <c r="CE509" s="10"/>
      <c r="CF509" s="10"/>
      <c r="CG509" s="10"/>
      <c r="CH509" s="10"/>
      <c r="CI509" s="10"/>
      <c r="CJ509" s="10"/>
      <c r="CK509" s="10"/>
      <c r="CL509" s="10"/>
      <c r="CM509" s="10"/>
      <c r="CN509" s="10"/>
      <c r="CO509" s="10"/>
      <c r="CP509" s="10"/>
      <c r="CQ509" s="10"/>
      <c r="CR509" s="10"/>
      <c r="CS509" s="10"/>
      <c r="CT509" s="10"/>
      <c r="CU509" s="10"/>
      <c r="CV509" s="10"/>
      <c r="CW509" s="10"/>
      <c r="CX509" s="10"/>
      <c r="CY509" s="10"/>
      <c r="CZ509" s="10"/>
      <c r="DA509" s="10"/>
      <c r="DB509" s="10"/>
      <c r="DC509" s="10"/>
      <c r="DD509" s="10"/>
      <c r="DE509" s="10"/>
      <c r="DF509" s="10"/>
      <c r="DG509" s="10"/>
      <c r="DH509" s="10"/>
      <c r="DI509" s="10"/>
      <c r="DJ509" s="10"/>
      <c r="DK509" s="10"/>
      <c r="DL509" s="10"/>
      <c r="DM509" s="10"/>
      <c r="DN509" s="10"/>
      <c r="DO509" s="10"/>
      <c r="DP509" s="10"/>
      <c r="DQ509" s="10"/>
      <c r="DR509" s="10"/>
    </row>
    <row r="510" spans="1:122" x14ac:dyDescent="0.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0"/>
      <c r="BC510" s="10"/>
      <c r="BD510" s="10"/>
      <c r="BE510" s="10"/>
      <c r="BF510" s="10"/>
      <c r="BG510" s="10"/>
      <c r="BH510" s="10"/>
      <c r="BI510" s="10"/>
      <c r="BJ510" s="10"/>
      <c r="BK510" s="10"/>
      <c r="BL510" s="10"/>
      <c r="BM510" s="10"/>
      <c r="BN510" s="10"/>
      <c r="BO510" s="10"/>
      <c r="BP510" s="10"/>
      <c r="BQ510" s="10"/>
      <c r="BR510" s="10"/>
      <c r="BS510" s="10"/>
      <c r="BT510" s="10"/>
      <c r="BU510" s="10"/>
      <c r="BV510" s="10"/>
      <c r="BW510" s="10"/>
      <c r="BX510" s="10"/>
      <c r="BY510" s="10"/>
      <c r="BZ510" s="10"/>
      <c r="CA510" s="10"/>
      <c r="CB510" s="10"/>
      <c r="CC510" s="10"/>
      <c r="CD510" s="10"/>
      <c r="CE510" s="10"/>
      <c r="CF510" s="10"/>
      <c r="CG510" s="10"/>
      <c r="CH510" s="10"/>
      <c r="CI510" s="10"/>
      <c r="CJ510" s="10"/>
      <c r="CK510" s="10"/>
      <c r="CL510" s="10"/>
      <c r="CM510" s="10"/>
      <c r="CN510" s="10"/>
      <c r="CO510" s="10"/>
      <c r="CP510" s="10"/>
      <c r="CQ510" s="10"/>
      <c r="CR510" s="10"/>
      <c r="CS510" s="10"/>
      <c r="CT510" s="10"/>
      <c r="CU510" s="10"/>
      <c r="CV510" s="10"/>
      <c r="CW510" s="10"/>
      <c r="CX510" s="10"/>
      <c r="CY510" s="10"/>
      <c r="CZ510" s="10"/>
      <c r="DA510" s="10"/>
      <c r="DB510" s="10"/>
      <c r="DC510" s="10"/>
      <c r="DD510" s="10"/>
      <c r="DE510" s="10"/>
      <c r="DF510" s="10"/>
      <c r="DG510" s="10"/>
      <c r="DH510" s="10"/>
      <c r="DI510" s="10"/>
      <c r="DJ510" s="10"/>
      <c r="DK510" s="10"/>
      <c r="DL510" s="10"/>
      <c r="DM510" s="10"/>
      <c r="DN510" s="10"/>
      <c r="DO510" s="10"/>
      <c r="DP510" s="10"/>
      <c r="DQ510" s="10"/>
      <c r="DR510" s="10"/>
    </row>
    <row r="511" spans="1:122" x14ac:dyDescent="0.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0"/>
      <c r="BC511" s="10"/>
      <c r="BD511" s="10"/>
      <c r="BE511" s="10"/>
      <c r="BF511" s="10"/>
      <c r="BG511" s="10"/>
      <c r="BH511" s="10"/>
      <c r="BI511" s="10"/>
      <c r="BJ511" s="10"/>
      <c r="BK511" s="10"/>
      <c r="BL511" s="10"/>
      <c r="BM511" s="10"/>
      <c r="BN511" s="10"/>
      <c r="BO511" s="10"/>
      <c r="BP511" s="10"/>
      <c r="BQ511" s="10"/>
      <c r="BR511" s="10"/>
      <c r="BS511" s="10"/>
      <c r="BT511" s="10"/>
      <c r="BU511" s="10"/>
      <c r="BV511" s="10"/>
      <c r="BW511" s="10"/>
      <c r="BX511" s="10"/>
      <c r="BY511" s="10"/>
      <c r="BZ511" s="10"/>
      <c r="CA511" s="10"/>
      <c r="CB511" s="10"/>
      <c r="CC511" s="10"/>
      <c r="CD511" s="10"/>
      <c r="CE511" s="10"/>
      <c r="CF511" s="10"/>
      <c r="CG511" s="10"/>
      <c r="CH511" s="10"/>
      <c r="CI511" s="10"/>
      <c r="CJ511" s="10"/>
      <c r="CK511" s="10"/>
      <c r="CL511" s="10"/>
      <c r="CM511" s="10"/>
      <c r="CN511" s="10"/>
      <c r="CO511" s="10"/>
      <c r="CP511" s="10"/>
      <c r="CQ511" s="10"/>
      <c r="CR511" s="10"/>
      <c r="CS511" s="10"/>
      <c r="CT511" s="10"/>
      <c r="CU511" s="10"/>
      <c r="CV511" s="10"/>
      <c r="CW511" s="10"/>
      <c r="CX511" s="10"/>
      <c r="CY511" s="10"/>
      <c r="CZ511" s="10"/>
      <c r="DA511" s="10"/>
      <c r="DB511" s="10"/>
      <c r="DC511" s="10"/>
      <c r="DD511" s="10"/>
      <c r="DE511" s="10"/>
      <c r="DF511" s="10"/>
      <c r="DG511" s="10"/>
      <c r="DH511" s="10"/>
      <c r="DI511" s="10"/>
      <c r="DJ511" s="10"/>
      <c r="DK511" s="10"/>
      <c r="DL511" s="10"/>
      <c r="DM511" s="10"/>
      <c r="DN511" s="10"/>
      <c r="DO511" s="10"/>
      <c r="DP511" s="10"/>
      <c r="DQ511" s="10"/>
      <c r="DR511" s="10"/>
    </row>
    <row r="512" spans="1:122" x14ac:dyDescent="0.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0"/>
      <c r="BC512" s="10"/>
      <c r="BD512" s="10"/>
      <c r="BE512" s="10"/>
      <c r="BF512" s="10"/>
      <c r="BG512" s="10"/>
      <c r="BH512" s="10"/>
      <c r="BI512" s="10"/>
      <c r="BJ512" s="10"/>
      <c r="BK512" s="10"/>
      <c r="BL512" s="10"/>
      <c r="BM512" s="10"/>
      <c r="BN512" s="10"/>
      <c r="BO512" s="10"/>
      <c r="BP512" s="10"/>
      <c r="BQ512" s="10"/>
      <c r="BR512" s="10"/>
      <c r="BS512" s="10"/>
      <c r="BT512" s="10"/>
      <c r="BU512" s="10"/>
      <c r="BV512" s="10"/>
      <c r="BW512" s="10"/>
      <c r="BX512" s="10"/>
      <c r="BY512" s="10"/>
      <c r="BZ512" s="10"/>
      <c r="CA512" s="10"/>
      <c r="CB512" s="10"/>
      <c r="CC512" s="10"/>
      <c r="CD512" s="10"/>
      <c r="CE512" s="10"/>
      <c r="CF512" s="10"/>
      <c r="CG512" s="10"/>
      <c r="CH512" s="10"/>
      <c r="CI512" s="10"/>
      <c r="CJ512" s="10"/>
      <c r="CK512" s="10"/>
      <c r="CL512" s="10"/>
      <c r="CM512" s="10"/>
      <c r="CN512" s="10"/>
      <c r="CO512" s="10"/>
      <c r="CP512" s="10"/>
      <c r="CQ512" s="10"/>
      <c r="CR512" s="10"/>
      <c r="CS512" s="10"/>
      <c r="CT512" s="10"/>
      <c r="CU512" s="10"/>
      <c r="CV512" s="10"/>
      <c r="CW512" s="10"/>
      <c r="CX512" s="10"/>
      <c r="CY512" s="10"/>
      <c r="CZ512" s="10"/>
      <c r="DA512" s="10"/>
      <c r="DB512" s="10"/>
      <c r="DC512" s="10"/>
      <c r="DD512" s="10"/>
      <c r="DE512" s="10"/>
      <c r="DF512" s="10"/>
      <c r="DG512" s="10"/>
      <c r="DH512" s="10"/>
      <c r="DI512" s="10"/>
      <c r="DJ512" s="10"/>
      <c r="DK512" s="10"/>
      <c r="DL512" s="10"/>
      <c r="DM512" s="10"/>
      <c r="DN512" s="10"/>
      <c r="DO512" s="10"/>
      <c r="DP512" s="10"/>
      <c r="DQ512" s="10"/>
      <c r="DR512" s="10"/>
    </row>
    <row r="513" spans="1:122" x14ac:dyDescent="0.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0"/>
      <c r="BC513" s="10"/>
      <c r="BD513" s="10"/>
      <c r="BE513" s="10"/>
      <c r="BF513" s="10"/>
      <c r="BG513" s="10"/>
      <c r="BH513" s="10"/>
      <c r="BI513" s="10"/>
      <c r="BJ513" s="10"/>
      <c r="BK513" s="10"/>
      <c r="BL513" s="10"/>
      <c r="BM513" s="10"/>
      <c r="BN513" s="10"/>
      <c r="BO513" s="10"/>
      <c r="BP513" s="10"/>
      <c r="BQ513" s="10"/>
      <c r="BR513" s="10"/>
      <c r="BS513" s="10"/>
      <c r="BT513" s="10"/>
      <c r="BU513" s="10"/>
      <c r="BV513" s="10"/>
      <c r="BW513" s="10"/>
      <c r="BX513" s="10"/>
      <c r="BY513" s="10"/>
      <c r="BZ513" s="10"/>
      <c r="CA513" s="10"/>
      <c r="CB513" s="10"/>
      <c r="CC513" s="10"/>
      <c r="CD513" s="10"/>
      <c r="CE513" s="10"/>
      <c r="CF513" s="10"/>
      <c r="CG513" s="10"/>
      <c r="CH513" s="10"/>
      <c r="CI513" s="10"/>
      <c r="CJ513" s="10"/>
      <c r="CK513" s="10"/>
      <c r="CL513" s="10"/>
      <c r="CM513" s="10"/>
      <c r="CN513" s="10"/>
      <c r="CO513" s="10"/>
      <c r="CP513" s="10"/>
      <c r="CQ513" s="10"/>
      <c r="CR513" s="10"/>
      <c r="CS513" s="10"/>
      <c r="CT513" s="10"/>
      <c r="CU513" s="10"/>
      <c r="CV513" s="10"/>
      <c r="CW513" s="10"/>
      <c r="CX513" s="10"/>
      <c r="CY513" s="10"/>
      <c r="CZ513" s="10"/>
      <c r="DA513" s="10"/>
      <c r="DB513" s="10"/>
      <c r="DC513" s="10"/>
      <c r="DD513" s="10"/>
      <c r="DE513" s="10"/>
      <c r="DF513" s="10"/>
      <c r="DG513" s="10"/>
      <c r="DH513" s="10"/>
      <c r="DI513" s="10"/>
      <c r="DJ513" s="10"/>
      <c r="DK513" s="10"/>
      <c r="DL513" s="10"/>
      <c r="DM513" s="10"/>
      <c r="DN513" s="10"/>
      <c r="DO513" s="10"/>
      <c r="DP513" s="10"/>
      <c r="DQ513" s="10"/>
      <c r="DR513" s="10"/>
    </row>
    <row r="514" spans="1:122" x14ac:dyDescent="0.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0"/>
      <c r="BC514" s="10"/>
      <c r="BD514" s="10"/>
      <c r="BE514" s="10"/>
      <c r="BF514" s="10"/>
      <c r="BG514" s="10"/>
      <c r="BH514" s="10"/>
      <c r="BI514" s="10"/>
      <c r="BJ514" s="10"/>
      <c r="BK514" s="10"/>
      <c r="BL514" s="10"/>
      <c r="BM514" s="10"/>
      <c r="BN514" s="10"/>
      <c r="BO514" s="10"/>
      <c r="BP514" s="10"/>
      <c r="BQ514" s="10"/>
      <c r="BR514" s="10"/>
      <c r="BS514" s="10"/>
      <c r="BT514" s="10"/>
      <c r="BU514" s="10"/>
      <c r="BV514" s="10"/>
      <c r="BW514" s="10"/>
      <c r="BX514" s="10"/>
      <c r="BY514" s="10"/>
      <c r="BZ514" s="10"/>
      <c r="CA514" s="10"/>
      <c r="CB514" s="10"/>
      <c r="CC514" s="10"/>
      <c r="CD514" s="10"/>
      <c r="CE514" s="10"/>
      <c r="CF514" s="10"/>
      <c r="CG514" s="10"/>
      <c r="CH514" s="10"/>
      <c r="CI514" s="10"/>
      <c r="CJ514" s="10"/>
      <c r="CK514" s="10"/>
      <c r="CL514" s="10"/>
      <c r="CM514" s="10"/>
      <c r="CN514" s="10"/>
      <c r="CO514" s="10"/>
      <c r="CP514" s="10"/>
      <c r="CQ514" s="10"/>
      <c r="CR514" s="10"/>
      <c r="CS514" s="10"/>
      <c r="CT514" s="10"/>
      <c r="CU514" s="10"/>
      <c r="CV514" s="10"/>
      <c r="CW514" s="10"/>
      <c r="CX514" s="10"/>
      <c r="CY514" s="10"/>
      <c r="CZ514" s="10"/>
      <c r="DA514" s="10"/>
      <c r="DB514" s="10"/>
      <c r="DC514" s="10"/>
      <c r="DD514" s="10"/>
      <c r="DE514" s="10"/>
      <c r="DF514" s="10"/>
      <c r="DG514" s="10"/>
      <c r="DH514" s="10"/>
      <c r="DI514" s="10"/>
      <c r="DJ514" s="10"/>
      <c r="DK514" s="10"/>
      <c r="DL514" s="10"/>
      <c r="DM514" s="10"/>
      <c r="DN514" s="10"/>
      <c r="DO514" s="10"/>
      <c r="DP514" s="10"/>
      <c r="DQ514" s="10"/>
      <c r="DR514" s="10"/>
    </row>
    <row r="515" spans="1:122" x14ac:dyDescent="0.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0"/>
      <c r="BC515" s="10"/>
      <c r="BD515" s="10"/>
      <c r="BE515" s="10"/>
      <c r="BF515" s="10"/>
      <c r="BG515" s="10"/>
      <c r="BH515" s="10"/>
      <c r="BI515" s="10"/>
      <c r="BJ515" s="10"/>
      <c r="BK515" s="10"/>
      <c r="BL515" s="10"/>
      <c r="BM515" s="10"/>
      <c r="BN515" s="10"/>
      <c r="BO515" s="10"/>
      <c r="BP515" s="10"/>
      <c r="BQ515" s="10"/>
      <c r="BR515" s="10"/>
      <c r="BS515" s="10"/>
      <c r="BT515" s="10"/>
      <c r="BU515" s="10"/>
      <c r="BV515" s="10"/>
      <c r="BW515" s="10"/>
      <c r="BX515" s="10"/>
      <c r="BY515" s="10"/>
      <c r="BZ515" s="10"/>
      <c r="CA515" s="10"/>
      <c r="CB515" s="10"/>
      <c r="CC515" s="10"/>
      <c r="CD515" s="10"/>
      <c r="CE515" s="10"/>
      <c r="CF515" s="10"/>
      <c r="CG515" s="10"/>
      <c r="CH515" s="10"/>
      <c r="CI515" s="10"/>
      <c r="CJ515" s="10"/>
      <c r="CK515" s="10"/>
      <c r="CL515" s="10"/>
      <c r="CM515" s="10"/>
      <c r="CN515" s="10"/>
      <c r="CO515" s="10"/>
      <c r="CP515" s="10"/>
      <c r="CQ515" s="10"/>
      <c r="CR515" s="10"/>
      <c r="CS515" s="10"/>
      <c r="CT515" s="10"/>
      <c r="CU515" s="10"/>
      <c r="CV515" s="10"/>
      <c r="CW515" s="10"/>
      <c r="CX515" s="10"/>
      <c r="CY515" s="10"/>
      <c r="CZ515" s="10"/>
      <c r="DA515" s="10"/>
      <c r="DB515" s="10"/>
      <c r="DC515" s="10"/>
      <c r="DD515" s="10"/>
      <c r="DE515" s="10"/>
      <c r="DF515" s="10"/>
      <c r="DG515" s="10"/>
      <c r="DH515" s="10"/>
      <c r="DI515" s="10"/>
      <c r="DJ515" s="10"/>
      <c r="DK515" s="10"/>
      <c r="DL515" s="10"/>
      <c r="DM515" s="10"/>
      <c r="DN515" s="10"/>
      <c r="DO515" s="10"/>
      <c r="DP515" s="10"/>
      <c r="DQ515" s="10"/>
      <c r="DR515" s="10"/>
    </row>
    <row r="516" spans="1:122" x14ac:dyDescent="0.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0"/>
      <c r="BC516" s="10"/>
      <c r="BD516" s="10"/>
      <c r="BE516" s="10"/>
      <c r="BF516" s="10"/>
      <c r="BG516" s="10"/>
      <c r="BH516" s="10"/>
      <c r="BI516" s="10"/>
      <c r="BJ516" s="10"/>
      <c r="BK516" s="10"/>
      <c r="BL516" s="10"/>
      <c r="BM516" s="10"/>
      <c r="BN516" s="10"/>
      <c r="BO516" s="10"/>
      <c r="BP516" s="10"/>
      <c r="BQ516" s="10"/>
      <c r="BR516" s="10"/>
      <c r="BS516" s="10"/>
      <c r="BT516" s="10"/>
      <c r="BU516" s="10"/>
      <c r="BV516" s="10"/>
      <c r="BW516" s="10"/>
      <c r="BX516" s="10"/>
      <c r="BY516" s="10"/>
      <c r="BZ516" s="10"/>
      <c r="CA516" s="10"/>
      <c r="CB516" s="10"/>
      <c r="CC516" s="10"/>
      <c r="CD516" s="10"/>
      <c r="CE516" s="10"/>
      <c r="CF516" s="10"/>
      <c r="CG516" s="10"/>
      <c r="CH516" s="10"/>
      <c r="CI516" s="10"/>
      <c r="CJ516" s="10"/>
      <c r="CK516" s="10"/>
      <c r="CL516" s="10"/>
      <c r="CM516" s="10"/>
      <c r="CN516" s="10"/>
      <c r="CO516" s="10"/>
      <c r="CP516" s="10"/>
      <c r="CQ516" s="10"/>
      <c r="CR516" s="10"/>
      <c r="CS516" s="10"/>
      <c r="CT516" s="10"/>
      <c r="CU516" s="10"/>
      <c r="CV516" s="10"/>
      <c r="CW516" s="10"/>
      <c r="CX516" s="10"/>
      <c r="CY516" s="10"/>
      <c r="CZ516" s="10"/>
      <c r="DA516" s="10"/>
      <c r="DB516" s="10"/>
      <c r="DC516" s="10"/>
      <c r="DD516" s="10"/>
      <c r="DE516" s="10"/>
      <c r="DF516" s="10"/>
      <c r="DG516" s="10"/>
      <c r="DH516" s="10"/>
      <c r="DI516" s="10"/>
      <c r="DJ516" s="10"/>
      <c r="DK516" s="10"/>
      <c r="DL516" s="10"/>
      <c r="DM516" s="10"/>
      <c r="DN516" s="10"/>
      <c r="DO516" s="10"/>
      <c r="DP516" s="10"/>
      <c r="DQ516" s="10"/>
      <c r="DR516" s="10"/>
    </row>
    <row r="517" spans="1:122" x14ac:dyDescent="0.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0"/>
      <c r="BC517" s="10"/>
      <c r="BD517" s="10"/>
      <c r="BE517" s="10"/>
      <c r="BF517" s="10"/>
      <c r="BG517" s="10"/>
      <c r="BH517" s="10"/>
      <c r="BI517" s="10"/>
      <c r="BJ517" s="10"/>
      <c r="BK517" s="10"/>
      <c r="BL517" s="10"/>
      <c r="BM517" s="10"/>
      <c r="BN517" s="10"/>
      <c r="BO517" s="10"/>
      <c r="BP517" s="10"/>
      <c r="BQ517" s="10"/>
      <c r="BR517" s="10"/>
      <c r="BS517" s="10"/>
      <c r="BT517" s="10"/>
      <c r="BU517" s="10"/>
      <c r="BV517" s="10"/>
      <c r="BW517" s="10"/>
      <c r="BX517" s="10"/>
      <c r="BY517" s="10"/>
      <c r="BZ517" s="10"/>
      <c r="CA517" s="10"/>
      <c r="CB517" s="10"/>
      <c r="CC517" s="10"/>
      <c r="CD517" s="10"/>
      <c r="CE517" s="10"/>
      <c r="CF517" s="10"/>
      <c r="CG517" s="10"/>
      <c r="CH517" s="10"/>
      <c r="CI517" s="10"/>
      <c r="CJ517" s="10"/>
      <c r="CK517" s="10"/>
      <c r="CL517" s="10"/>
      <c r="CM517" s="10"/>
      <c r="CN517" s="10"/>
      <c r="CO517" s="10"/>
      <c r="CP517" s="10"/>
      <c r="CQ517" s="10"/>
      <c r="CR517" s="10"/>
      <c r="CS517" s="10"/>
      <c r="CT517" s="10"/>
      <c r="CU517" s="10"/>
      <c r="CV517" s="10"/>
      <c r="CW517" s="10"/>
      <c r="CX517" s="10"/>
      <c r="CY517" s="10"/>
      <c r="CZ517" s="10"/>
      <c r="DA517" s="10"/>
      <c r="DB517" s="10"/>
      <c r="DC517" s="10"/>
      <c r="DD517" s="10"/>
      <c r="DE517" s="10"/>
      <c r="DF517" s="10"/>
      <c r="DG517" s="10"/>
      <c r="DH517" s="10"/>
      <c r="DI517" s="10"/>
      <c r="DJ517" s="10"/>
      <c r="DK517" s="10"/>
      <c r="DL517" s="10"/>
      <c r="DM517" s="10"/>
      <c r="DN517" s="10"/>
      <c r="DO517" s="10"/>
      <c r="DP517" s="10"/>
      <c r="DQ517" s="10"/>
      <c r="DR517" s="10"/>
    </row>
    <row r="518" spans="1:122" x14ac:dyDescent="0.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0"/>
      <c r="BC518" s="10"/>
      <c r="BD518" s="10"/>
      <c r="BE518" s="10"/>
      <c r="BF518" s="10"/>
      <c r="BG518" s="10"/>
      <c r="BH518" s="10"/>
      <c r="BI518" s="10"/>
      <c r="BJ518" s="10"/>
      <c r="BK518" s="10"/>
      <c r="BL518" s="10"/>
      <c r="BM518" s="10"/>
      <c r="BN518" s="10"/>
      <c r="BO518" s="10"/>
      <c r="BP518" s="10"/>
      <c r="BQ518" s="10"/>
      <c r="BR518" s="10"/>
      <c r="BS518" s="10"/>
      <c r="BT518" s="10"/>
      <c r="BU518" s="10"/>
      <c r="BV518" s="10"/>
      <c r="BW518" s="10"/>
      <c r="BX518" s="10"/>
      <c r="BY518" s="10"/>
      <c r="BZ518" s="10"/>
      <c r="CA518" s="10"/>
      <c r="CB518" s="10"/>
      <c r="CC518" s="10"/>
      <c r="CD518" s="10"/>
      <c r="CE518" s="10"/>
      <c r="CF518" s="10"/>
      <c r="CG518" s="10"/>
      <c r="CH518" s="10"/>
      <c r="CI518" s="10"/>
      <c r="CJ518" s="10"/>
      <c r="CK518" s="10"/>
      <c r="CL518" s="10"/>
      <c r="CM518" s="10"/>
      <c r="CN518" s="10"/>
      <c r="CO518" s="10"/>
      <c r="CP518" s="10"/>
      <c r="CQ518" s="10"/>
      <c r="CR518" s="10"/>
      <c r="CS518" s="10"/>
      <c r="CT518" s="10"/>
      <c r="CU518" s="10"/>
      <c r="CV518" s="10"/>
      <c r="CW518" s="10"/>
      <c r="CX518" s="10"/>
      <c r="CY518" s="10"/>
      <c r="CZ518" s="10"/>
      <c r="DA518" s="10"/>
      <c r="DB518" s="10"/>
      <c r="DC518" s="10"/>
      <c r="DD518" s="10"/>
      <c r="DE518" s="10"/>
      <c r="DF518" s="10"/>
      <c r="DG518" s="10"/>
      <c r="DH518" s="10"/>
      <c r="DI518" s="10"/>
      <c r="DJ518" s="10"/>
      <c r="DK518" s="10"/>
      <c r="DL518" s="10"/>
      <c r="DM518" s="10"/>
      <c r="DN518" s="10"/>
      <c r="DO518" s="10"/>
      <c r="DP518" s="10"/>
      <c r="DQ518" s="10"/>
      <c r="DR518" s="10"/>
    </row>
    <row r="519" spans="1:122" x14ac:dyDescent="0.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0"/>
      <c r="BC519" s="10"/>
      <c r="BD519" s="10"/>
      <c r="BE519" s="10"/>
      <c r="BF519" s="10"/>
      <c r="BG519" s="10"/>
      <c r="BH519" s="10"/>
      <c r="BI519" s="10"/>
      <c r="BJ519" s="10"/>
      <c r="BK519" s="10"/>
      <c r="BL519" s="10"/>
      <c r="BM519" s="10"/>
      <c r="BN519" s="10"/>
      <c r="BO519" s="10"/>
      <c r="BP519" s="10"/>
      <c r="BQ519" s="10"/>
      <c r="BR519" s="10"/>
      <c r="BS519" s="10"/>
      <c r="BT519" s="10"/>
      <c r="BU519" s="10"/>
      <c r="BV519" s="10"/>
      <c r="BW519" s="10"/>
      <c r="BX519" s="10"/>
      <c r="BY519" s="10"/>
      <c r="BZ519" s="10"/>
      <c r="CA519" s="10"/>
      <c r="CB519" s="10"/>
      <c r="CC519" s="10"/>
      <c r="CD519" s="10"/>
      <c r="CE519" s="10"/>
      <c r="CF519" s="10"/>
      <c r="CG519" s="10"/>
      <c r="CH519" s="10"/>
      <c r="CI519" s="10"/>
      <c r="CJ519" s="10"/>
      <c r="CK519" s="10"/>
      <c r="CL519" s="10"/>
      <c r="CM519" s="10"/>
      <c r="CN519" s="10"/>
      <c r="CO519" s="10"/>
      <c r="CP519" s="10"/>
      <c r="CQ519" s="10"/>
      <c r="CR519" s="10"/>
      <c r="CS519" s="10"/>
      <c r="CT519" s="10"/>
      <c r="CU519" s="10"/>
      <c r="CV519" s="10"/>
      <c r="CW519" s="10"/>
      <c r="CX519" s="10"/>
      <c r="CY519" s="10"/>
      <c r="CZ519" s="10"/>
      <c r="DA519" s="10"/>
      <c r="DB519" s="10"/>
      <c r="DC519" s="10"/>
      <c r="DD519" s="10"/>
      <c r="DE519" s="10"/>
      <c r="DF519" s="10"/>
      <c r="DG519" s="10"/>
      <c r="DH519" s="10"/>
      <c r="DI519" s="10"/>
      <c r="DJ519" s="10"/>
      <c r="DK519" s="10"/>
      <c r="DL519" s="10"/>
      <c r="DM519" s="10"/>
      <c r="DN519" s="10"/>
      <c r="DO519" s="10"/>
      <c r="DP519" s="10"/>
      <c r="DQ519" s="10"/>
      <c r="DR519" s="10"/>
    </row>
    <row r="520" spans="1:122" x14ac:dyDescent="0.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0"/>
      <c r="BC520" s="10"/>
      <c r="BD520" s="10"/>
      <c r="BE520" s="10"/>
      <c r="BF520" s="10"/>
      <c r="BG520" s="10"/>
      <c r="BH520" s="10"/>
      <c r="BI520" s="10"/>
      <c r="BJ520" s="10"/>
      <c r="BK520" s="10"/>
      <c r="BL520" s="10"/>
      <c r="BM520" s="10"/>
      <c r="BN520" s="10"/>
      <c r="BO520" s="10"/>
      <c r="BP520" s="10"/>
      <c r="BQ520" s="10"/>
      <c r="BR520" s="10"/>
      <c r="BS520" s="10"/>
      <c r="BT520" s="10"/>
      <c r="BU520" s="10"/>
      <c r="BV520" s="10"/>
      <c r="BW520" s="10"/>
      <c r="BX520" s="10"/>
      <c r="BY520" s="10"/>
      <c r="BZ520" s="10"/>
      <c r="CA520" s="10"/>
      <c r="CB520" s="10"/>
      <c r="CC520" s="10"/>
      <c r="CD520" s="10"/>
      <c r="CE520" s="10"/>
      <c r="CF520" s="10"/>
      <c r="CG520" s="10"/>
      <c r="CH520" s="10"/>
      <c r="CI520" s="10"/>
      <c r="CJ520" s="10"/>
      <c r="CK520" s="10"/>
      <c r="CL520" s="10"/>
      <c r="CM520" s="10"/>
      <c r="CN520" s="10"/>
      <c r="CO520" s="10"/>
      <c r="CP520" s="10"/>
      <c r="CQ520" s="10"/>
      <c r="CR520" s="10"/>
      <c r="CS520" s="10"/>
      <c r="CT520" s="10"/>
      <c r="CU520" s="10"/>
      <c r="CV520" s="10"/>
      <c r="CW520" s="10"/>
      <c r="CX520" s="10"/>
      <c r="CY520" s="10"/>
      <c r="CZ520" s="10"/>
      <c r="DA520" s="10"/>
      <c r="DB520" s="10"/>
      <c r="DC520" s="10"/>
      <c r="DD520" s="10"/>
      <c r="DE520" s="10"/>
      <c r="DF520" s="10"/>
      <c r="DG520" s="10"/>
      <c r="DH520" s="10"/>
      <c r="DI520" s="10"/>
      <c r="DJ520" s="10"/>
      <c r="DK520" s="10"/>
      <c r="DL520" s="10"/>
      <c r="DM520" s="10"/>
      <c r="DN520" s="10"/>
      <c r="DO520" s="10"/>
      <c r="DP520" s="10"/>
      <c r="DQ520" s="10"/>
      <c r="DR520" s="10"/>
    </row>
    <row r="521" spans="1:122" x14ac:dyDescent="0.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0"/>
      <c r="BC521" s="10"/>
      <c r="BD521" s="10"/>
      <c r="BE521" s="10"/>
      <c r="BF521" s="10"/>
      <c r="BG521" s="10"/>
      <c r="BH521" s="10"/>
      <c r="BI521" s="10"/>
      <c r="BJ521" s="10"/>
      <c r="BK521" s="10"/>
      <c r="BL521" s="10"/>
      <c r="BM521" s="10"/>
      <c r="BN521" s="10"/>
      <c r="BO521" s="10"/>
      <c r="BP521" s="10"/>
      <c r="BQ521" s="10"/>
      <c r="BR521" s="10"/>
      <c r="BS521" s="10"/>
      <c r="BT521" s="10"/>
      <c r="BU521" s="10"/>
      <c r="BV521" s="10"/>
      <c r="BW521" s="10"/>
      <c r="BX521" s="10"/>
      <c r="BY521" s="10"/>
      <c r="BZ521" s="10"/>
      <c r="CA521" s="10"/>
      <c r="CB521" s="10"/>
      <c r="CC521" s="10"/>
      <c r="CD521" s="10"/>
      <c r="CE521" s="10"/>
      <c r="CF521" s="10"/>
      <c r="CG521" s="10"/>
      <c r="CH521" s="10"/>
      <c r="CI521" s="10"/>
      <c r="CJ521" s="10"/>
      <c r="CK521" s="10"/>
      <c r="CL521" s="10"/>
      <c r="CM521" s="10"/>
      <c r="CN521" s="10"/>
      <c r="CO521" s="10"/>
      <c r="CP521" s="10"/>
      <c r="CQ521" s="10"/>
      <c r="CR521" s="10"/>
      <c r="CS521" s="10"/>
      <c r="CT521" s="10"/>
      <c r="CU521" s="10"/>
      <c r="CV521" s="10"/>
      <c r="CW521" s="10"/>
      <c r="CX521" s="10"/>
      <c r="CY521" s="10"/>
      <c r="CZ521" s="10"/>
      <c r="DA521" s="10"/>
      <c r="DB521" s="10"/>
      <c r="DC521" s="10"/>
      <c r="DD521" s="10"/>
      <c r="DE521" s="10"/>
      <c r="DF521" s="10"/>
      <c r="DG521" s="10"/>
      <c r="DH521" s="10"/>
      <c r="DI521" s="10"/>
      <c r="DJ521" s="10"/>
      <c r="DK521" s="10"/>
      <c r="DL521" s="10"/>
      <c r="DM521" s="10"/>
      <c r="DN521" s="10"/>
      <c r="DO521" s="10"/>
      <c r="DP521" s="10"/>
      <c r="DQ521" s="10"/>
      <c r="DR521" s="10"/>
    </row>
    <row r="522" spans="1:122" x14ac:dyDescent="0.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0"/>
      <c r="BC522" s="10"/>
      <c r="BD522" s="10"/>
      <c r="BE522" s="10"/>
      <c r="BF522" s="10"/>
      <c r="BG522" s="10"/>
      <c r="BH522" s="10"/>
      <c r="BI522" s="10"/>
      <c r="BJ522" s="10"/>
      <c r="BK522" s="10"/>
      <c r="BL522" s="10"/>
      <c r="BM522" s="10"/>
      <c r="BN522" s="10"/>
      <c r="BO522" s="10"/>
      <c r="BP522" s="10"/>
      <c r="BQ522" s="10"/>
      <c r="BR522" s="10"/>
      <c r="BS522" s="10"/>
      <c r="BT522" s="10"/>
      <c r="BU522" s="10"/>
      <c r="BV522" s="10"/>
      <c r="BW522" s="10"/>
      <c r="BX522" s="10"/>
      <c r="BY522" s="10"/>
      <c r="BZ522" s="10"/>
      <c r="CA522" s="10"/>
      <c r="CB522" s="10"/>
      <c r="CC522" s="10"/>
      <c r="CD522" s="10"/>
      <c r="CE522" s="10"/>
      <c r="CF522" s="10"/>
      <c r="CG522" s="10"/>
      <c r="CH522" s="10"/>
      <c r="CI522" s="10"/>
      <c r="CJ522" s="10"/>
      <c r="CK522" s="10"/>
      <c r="CL522" s="10"/>
      <c r="CM522" s="10"/>
      <c r="CN522" s="10"/>
      <c r="CO522" s="10"/>
      <c r="CP522" s="10"/>
      <c r="CQ522" s="10"/>
      <c r="CR522" s="10"/>
      <c r="CS522" s="10"/>
      <c r="CT522" s="10"/>
      <c r="CU522" s="10"/>
      <c r="CV522" s="10"/>
      <c r="CW522" s="10"/>
      <c r="CX522" s="10"/>
      <c r="CY522" s="10"/>
      <c r="CZ522" s="10"/>
      <c r="DA522" s="10"/>
      <c r="DB522" s="10"/>
      <c r="DC522" s="10"/>
      <c r="DD522" s="10"/>
      <c r="DE522" s="10"/>
      <c r="DF522" s="10"/>
      <c r="DG522" s="10"/>
      <c r="DH522" s="10"/>
      <c r="DI522" s="10"/>
      <c r="DJ522" s="10"/>
      <c r="DK522" s="10"/>
      <c r="DL522" s="10"/>
      <c r="DM522" s="10"/>
      <c r="DN522" s="10"/>
      <c r="DO522" s="10"/>
      <c r="DP522" s="10"/>
      <c r="DQ522" s="10"/>
      <c r="DR522" s="10"/>
    </row>
    <row r="523" spans="1:122" x14ac:dyDescent="0.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0"/>
      <c r="BC523" s="10"/>
      <c r="BD523" s="10"/>
      <c r="BE523" s="10"/>
      <c r="BF523" s="10"/>
      <c r="BG523" s="10"/>
      <c r="BH523" s="10"/>
      <c r="BI523" s="10"/>
      <c r="BJ523" s="10"/>
      <c r="BK523" s="10"/>
      <c r="BL523" s="10"/>
      <c r="BM523" s="10"/>
      <c r="BN523" s="10"/>
      <c r="BO523" s="10"/>
      <c r="BP523" s="10"/>
      <c r="BQ523" s="10"/>
      <c r="BR523" s="10"/>
      <c r="BS523" s="10"/>
      <c r="BT523" s="10"/>
      <c r="BU523" s="10"/>
      <c r="BV523" s="10"/>
      <c r="BW523" s="10"/>
      <c r="BX523" s="10"/>
      <c r="BY523" s="10"/>
      <c r="BZ523" s="10"/>
      <c r="CA523" s="10"/>
      <c r="CB523" s="10"/>
      <c r="CC523" s="10"/>
      <c r="CD523" s="10"/>
      <c r="CE523" s="10"/>
      <c r="CF523" s="10"/>
      <c r="CG523" s="10"/>
      <c r="CH523" s="10"/>
      <c r="CI523" s="10"/>
      <c r="CJ523" s="10"/>
      <c r="CK523" s="10"/>
      <c r="CL523" s="10"/>
      <c r="CM523" s="10"/>
      <c r="CN523" s="10"/>
      <c r="CO523" s="10"/>
      <c r="CP523" s="10"/>
      <c r="CQ523" s="10"/>
      <c r="CR523" s="10"/>
      <c r="CS523" s="10"/>
      <c r="CT523" s="10"/>
      <c r="CU523" s="10"/>
      <c r="CV523" s="10"/>
      <c r="CW523" s="10"/>
      <c r="CX523" s="10"/>
      <c r="CY523" s="10"/>
      <c r="CZ523" s="10"/>
      <c r="DA523" s="10"/>
      <c r="DB523" s="10"/>
      <c r="DC523" s="10"/>
      <c r="DD523" s="10"/>
      <c r="DE523" s="10"/>
      <c r="DF523" s="10"/>
      <c r="DG523" s="10"/>
      <c r="DH523" s="10"/>
      <c r="DI523" s="10"/>
      <c r="DJ523" s="10"/>
      <c r="DK523" s="10"/>
      <c r="DL523" s="10"/>
      <c r="DM523" s="10"/>
      <c r="DN523" s="10"/>
      <c r="DO523" s="10"/>
      <c r="DP523" s="10"/>
      <c r="DQ523" s="10"/>
      <c r="DR523" s="10"/>
    </row>
    <row r="524" spans="1:122" x14ac:dyDescent="0.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0"/>
      <c r="BC524" s="10"/>
      <c r="BD524" s="10"/>
      <c r="BE524" s="10"/>
      <c r="BF524" s="10"/>
      <c r="BG524" s="10"/>
      <c r="BH524" s="10"/>
      <c r="BI524" s="10"/>
      <c r="BJ524" s="10"/>
      <c r="BK524" s="10"/>
      <c r="BL524" s="10"/>
      <c r="BM524" s="10"/>
      <c r="BN524" s="10"/>
      <c r="BO524" s="10"/>
      <c r="BP524" s="10"/>
      <c r="BQ524" s="10"/>
      <c r="BR524" s="10"/>
      <c r="BS524" s="10"/>
      <c r="BT524" s="10"/>
      <c r="BU524" s="10"/>
      <c r="BV524" s="10"/>
      <c r="BW524" s="10"/>
      <c r="BX524" s="10"/>
      <c r="BY524" s="10"/>
      <c r="BZ524" s="10"/>
      <c r="CA524" s="10"/>
      <c r="CB524" s="10"/>
      <c r="CC524" s="10"/>
      <c r="CD524" s="10"/>
      <c r="CE524" s="10"/>
      <c r="CF524" s="10"/>
      <c r="CG524" s="10"/>
      <c r="CH524" s="10"/>
      <c r="CI524" s="10"/>
      <c r="CJ524" s="10"/>
      <c r="CK524" s="10"/>
      <c r="CL524" s="10"/>
      <c r="CM524" s="10"/>
      <c r="CN524" s="10"/>
      <c r="CO524" s="10"/>
      <c r="CP524" s="10"/>
      <c r="CQ524" s="10"/>
      <c r="CR524" s="10"/>
      <c r="CS524" s="10"/>
      <c r="CT524" s="10"/>
      <c r="CU524" s="10"/>
      <c r="CV524" s="10"/>
      <c r="CW524" s="10"/>
      <c r="CX524" s="10"/>
      <c r="CY524" s="10"/>
      <c r="CZ524" s="10"/>
      <c r="DA524" s="10"/>
      <c r="DB524" s="10"/>
      <c r="DC524" s="10"/>
      <c r="DD524" s="10"/>
      <c r="DE524" s="10"/>
      <c r="DF524" s="10"/>
      <c r="DG524" s="10"/>
      <c r="DH524" s="10"/>
      <c r="DI524" s="10"/>
      <c r="DJ524" s="10"/>
      <c r="DK524" s="10"/>
      <c r="DL524" s="10"/>
      <c r="DM524" s="10"/>
      <c r="DN524" s="10"/>
      <c r="DO524" s="10"/>
      <c r="DP524" s="10"/>
      <c r="DQ524" s="10"/>
      <c r="DR524" s="10"/>
    </row>
    <row r="525" spans="1:122" x14ac:dyDescent="0.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0"/>
      <c r="BC525" s="10"/>
      <c r="BD525" s="10"/>
      <c r="BE525" s="10"/>
      <c r="BF525" s="10"/>
      <c r="BG525" s="10"/>
      <c r="BH525" s="10"/>
      <c r="BI525" s="10"/>
      <c r="BJ525" s="10"/>
      <c r="BK525" s="10"/>
      <c r="BL525" s="10"/>
      <c r="BM525" s="10"/>
      <c r="BN525" s="10"/>
      <c r="BO525" s="10"/>
      <c r="BP525" s="10"/>
      <c r="BQ525" s="10"/>
      <c r="BR525" s="10"/>
      <c r="BS525" s="10"/>
      <c r="BT525" s="10"/>
      <c r="BU525" s="10"/>
      <c r="BV525" s="10"/>
      <c r="BW525" s="10"/>
      <c r="BX525" s="10"/>
      <c r="BY525" s="10"/>
      <c r="BZ525" s="10"/>
      <c r="CA525" s="10"/>
      <c r="CB525" s="10"/>
      <c r="CC525" s="10"/>
      <c r="CD525" s="10"/>
      <c r="CE525" s="10"/>
      <c r="CF525" s="10"/>
      <c r="CG525" s="10"/>
      <c r="CH525" s="10"/>
      <c r="CI525" s="10"/>
      <c r="CJ525" s="10"/>
      <c r="CK525" s="10"/>
      <c r="CL525" s="10"/>
      <c r="CM525" s="10"/>
      <c r="CN525" s="10"/>
      <c r="CO525" s="10"/>
      <c r="CP525" s="10"/>
      <c r="CQ525" s="10"/>
      <c r="CR525" s="10"/>
      <c r="CS525" s="10"/>
      <c r="CT525" s="10"/>
      <c r="CU525" s="10"/>
      <c r="CV525" s="10"/>
      <c r="CW525" s="10"/>
      <c r="CX525" s="10"/>
      <c r="CY525" s="10"/>
      <c r="CZ525" s="10"/>
      <c r="DA525" s="10"/>
      <c r="DB525" s="10"/>
      <c r="DC525" s="10"/>
      <c r="DD525" s="10"/>
      <c r="DE525" s="10"/>
      <c r="DF525" s="10"/>
      <c r="DG525" s="10"/>
      <c r="DH525" s="10"/>
      <c r="DI525" s="10"/>
      <c r="DJ525" s="10"/>
      <c r="DK525" s="10"/>
      <c r="DL525" s="10"/>
      <c r="DM525" s="10"/>
      <c r="DN525" s="10"/>
      <c r="DO525" s="10"/>
      <c r="DP525" s="10"/>
      <c r="DQ525" s="10"/>
      <c r="DR525" s="10"/>
    </row>
    <row r="526" spans="1:122" x14ac:dyDescent="0.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0"/>
      <c r="BC526" s="10"/>
      <c r="BD526" s="10"/>
      <c r="BE526" s="10"/>
      <c r="BF526" s="10"/>
      <c r="BG526" s="10"/>
      <c r="BH526" s="10"/>
      <c r="BI526" s="10"/>
      <c r="BJ526" s="10"/>
      <c r="BK526" s="10"/>
      <c r="BL526" s="10"/>
      <c r="BM526" s="10"/>
      <c r="BN526" s="10"/>
      <c r="BO526" s="10"/>
      <c r="BP526" s="10"/>
      <c r="BQ526" s="10"/>
      <c r="BR526" s="10"/>
      <c r="BS526" s="10"/>
      <c r="BT526" s="10"/>
      <c r="BU526" s="10"/>
      <c r="BV526" s="10"/>
      <c r="BW526" s="10"/>
      <c r="BX526" s="10"/>
      <c r="BY526" s="10"/>
      <c r="BZ526" s="10"/>
      <c r="CA526" s="10"/>
      <c r="CB526" s="10"/>
      <c r="CC526" s="10"/>
      <c r="CD526" s="10"/>
      <c r="CE526" s="10"/>
      <c r="CF526" s="10"/>
      <c r="CG526" s="10"/>
      <c r="CH526" s="10"/>
      <c r="CI526" s="10"/>
      <c r="CJ526" s="10"/>
      <c r="CK526" s="10"/>
      <c r="CL526" s="10"/>
      <c r="CM526" s="10"/>
      <c r="CN526" s="10"/>
      <c r="CO526" s="10"/>
      <c r="CP526" s="10"/>
      <c r="CQ526" s="10"/>
      <c r="CR526" s="10"/>
      <c r="CS526" s="10"/>
      <c r="CT526" s="10"/>
      <c r="CU526" s="10"/>
      <c r="CV526" s="10"/>
      <c r="CW526" s="10"/>
      <c r="CX526" s="10"/>
      <c r="CY526" s="10"/>
      <c r="CZ526" s="10"/>
      <c r="DA526" s="10"/>
      <c r="DB526" s="10"/>
      <c r="DC526" s="10"/>
      <c r="DD526" s="10"/>
      <c r="DE526" s="10"/>
      <c r="DF526" s="10"/>
      <c r="DG526" s="10"/>
      <c r="DH526" s="10"/>
      <c r="DI526" s="10"/>
      <c r="DJ526" s="10"/>
      <c r="DK526" s="10"/>
      <c r="DL526" s="10"/>
      <c r="DM526" s="10"/>
      <c r="DN526" s="10"/>
      <c r="DO526" s="10"/>
      <c r="DP526" s="10"/>
      <c r="DQ526" s="10"/>
      <c r="DR526" s="10"/>
    </row>
    <row r="527" spans="1:122" x14ac:dyDescent="0.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0"/>
      <c r="BC527" s="10"/>
      <c r="BD527" s="10"/>
      <c r="BE527" s="10"/>
      <c r="BF527" s="10"/>
      <c r="BG527" s="10"/>
      <c r="BH527" s="10"/>
      <c r="BI527" s="10"/>
      <c r="BJ527" s="10"/>
      <c r="BK527" s="10"/>
      <c r="BL527" s="10"/>
      <c r="BM527" s="10"/>
      <c r="BN527" s="10"/>
      <c r="BO527" s="10"/>
      <c r="BP527" s="10"/>
      <c r="BQ527" s="10"/>
      <c r="BR527" s="10"/>
      <c r="BS527" s="10"/>
      <c r="BT527" s="10"/>
      <c r="BU527" s="10"/>
      <c r="BV527" s="10"/>
      <c r="BW527" s="10"/>
      <c r="BX527" s="10"/>
      <c r="BY527" s="10"/>
      <c r="BZ527" s="10"/>
      <c r="CA527" s="10"/>
      <c r="CB527" s="10"/>
      <c r="CC527" s="10"/>
      <c r="CD527" s="10"/>
      <c r="CE527" s="10"/>
      <c r="CF527" s="10"/>
      <c r="CG527" s="10"/>
      <c r="CH527" s="10"/>
      <c r="CI527" s="10"/>
      <c r="CJ527" s="10"/>
      <c r="CK527" s="10"/>
      <c r="CL527" s="10"/>
      <c r="CM527" s="10"/>
      <c r="CN527" s="10"/>
      <c r="CO527" s="10"/>
      <c r="CP527" s="10"/>
      <c r="CQ527" s="10"/>
      <c r="CR527" s="10"/>
      <c r="CS527" s="10"/>
      <c r="CT527" s="10"/>
      <c r="CU527" s="10"/>
      <c r="CV527" s="10"/>
      <c r="CW527" s="10"/>
      <c r="CX527" s="10"/>
      <c r="CY527" s="10"/>
      <c r="CZ527" s="10"/>
      <c r="DA527" s="10"/>
      <c r="DB527" s="10"/>
      <c r="DC527" s="10"/>
      <c r="DD527" s="10"/>
      <c r="DE527" s="10"/>
      <c r="DF527" s="10"/>
      <c r="DG527" s="10"/>
      <c r="DH527" s="10"/>
      <c r="DI527" s="10"/>
      <c r="DJ527" s="10"/>
      <c r="DK527" s="10"/>
      <c r="DL527" s="10"/>
      <c r="DM527" s="10"/>
      <c r="DN527" s="10"/>
      <c r="DO527" s="10"/>
      <c r="DP527" s="10"/>
      <c r="DQ527" s="10"/>
      <c r="DR527" s="10"/>
    </row>
    <row r="528" spans="1:122" x14ac:dyDescent="0.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0"/>
      <c r="BC528" s="10"/>
      <c r="BD528" s="10"/>
      <c r="BE528" s="10"/>
      <c r="BF528" s="10"/>
      <c r="BG528" s="10"/>
      <c r="BH528" s="10"/>
      <c r="BI528" s="10"/>
      <c r="BJ528" s="10"/>
      <c r="BK528" s="10"/>
      <c r="BL528" s="10"/>
      <c r="BM528" s="10"/>
      <c r="BN528" s="10"/>
      <c r="BO528" s="10"/>
      <c r="BP528" s="10"/>
      <c r="BQ528" s="10"/>
      <c r="BR528" s="10"/>
      <c r="BS528" s="10"/>
      <c r="BT528" s="10"/>
      <c r="BU528" s="10"/>
      <c r="BV528" s="10"/>
      <c r="BW528" s="10"/>
      <c r="BX528" s="10"/>
      <c r="BY528" s="10"/>
      <c r="BZ528" s="10"/>
      <c r="CA528" s="10"/>
      <c r="CB528" s="10"/>
      <c r="CC528" s="10"/>
      <c r="CD528" s="10"/>
      <c r="CE528" s="10"/>
      <c r="CF528" s="10"/>
      <c r="CG528" s="10"/>
      <c r="CH528" s="10"/>
      <c r="CI528" s="10"/>
      <c r="CJ528" s="10"/>
      <c r="CK528" s="10"/>
      <c r="CL528" s="10"/>
      <c r="CM528" s="10"/>
      <c r="CN528" s="10"/>
      <c r="CO528" s="10"/>
      <c r="CP528" s="10"/>
      <c r="CQ528" s="10"/>
      <c r="CR528" s="10"/>
      <c r="CS528" s="10"/>
      <c r="CT528" s="10"/>
      <c r="CU528" s="10"/>
      <c r="CV528" s="10"/>
      <c r="CW528" s="10"/>
      <c r="CX528" s="10"/>
      <c r="CY528" s="10"/>
      <c r="CZ528" s="10"/>
      <c r="DA528" s="10"/>
      <c r="DB528" s="10"/>
      <c r="DC528" s="10"/>
      <c r="DD528" s="10"/>
      <c r="DE528" s="10"/>
      <c r="DF528" s="10"/>
      <c r="DG528" s="10"/>
      <c r="DH528" s="10"/>
      <c r="DI528" s="10"/>
      <c r="DJ528" s="10"/>
      <c r="DK528" s="10"/>
      <c r="DL528" s="10"/>
      <c r="DM528" s="10"/>
      <c r="DN528" s="10"/>
      <c r="DO528" s="10"/>
      <c r="DP528" s="10"/>
      <c r="DQ528" s="10"/>
      <c r="DR528" s="10"/>
    </row>
    <row r="529" spans="1:122" x14ac:dyDescent="0.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0"/>
      <c r="BC529" s="10"/>
      <c r="BD529" s="10"/>
      <c r="BE529" s="10"/>
      <c r="BF529" s="10"/>
      <c r="BG529" s="10"/>
      <c r="BH529" s="10"/>
      <c r="BI529" s="10"/>
      <c r="BJ529" s="10"/>
      <c r="BK529" s="10"/>
      <c r="BL529" s="10"/>
      <c r="BM529" s="10"/>
      <c r="BN529" s="10"/>
      <c r="BO529" s="10"/>
      <c r="BP529" s="10"/>
      <c r="BQ529" s="10"/>
      <c r="BR529" s="10"/>
      <c r="BS529" s="10"/>
      <c r="BT529" s="10"/>
      <c r="BU529" s="10"/>
      <c r="BV529" s="10"/>
      <c r="BW529" s="10"/>
      <c r="BX529" s="10"/>
      <c r="BY529" s="10"/>
      <c r="BZ529" s="10"/>
      <c r="CA529" s="10"/>
      <c r="CB529" s="10"/>
      <c r="CC529" s="10"/>
      <c r="CD529" s="10"/>
      <c r="CE529" s="10"/>
      <c r="CF529" s="10"/>
      <c r="CG529" s="10"/>
      <c r="CH529" s="10"/>
      <c r="CI529" s="10"/>
      <c r="CJ529" s="10"/>
      <c r="CK529" s="10"/>
      <c r="CL529" s="10"/>
      <c r="CM529" s="10"/>
      <c r="CN529" s="10"/>
      <c r="CO529" s="10"/>
      <c r="CP529" s="10"/>
      <c r="CQ529" s="10"/>
      <c r="CR529" s="10"/>
      <c r="CS529" s="10"/>
      <c r="CT529" s="10"/>
      <c r="CU529" s="10"/>
      <c r="CV529" s="10"/>
      <c r="CW529" s="10"/>
      <c r="CX529" s="10"/>
      <c r="CY529" s="10"/>
      <c r="CZ529" s="10"/>
      <c r="DA529" s="10"/>
      <c r="DB529" s="10"/>
      <c r="DC529" s="10"/>
      <c r="DD529" s="10"/>
      <c r="DE529" s="10"/>
      <c r="DF529" s="10"/>
      <c r="DG529" s="10"/>
      <c r="DH529" s="10"/>
      <c r="DI529" s="10"/>
      <c r="DJ529" s="10"/>
      <c r="DK529" s="10"/>
      <c r="DL529" s="10"/>
      <c r="DM529" s="10"/>
      <c r="DN529" s="10"/>
      <c r="DO529" s="10"/>
      <c r="DP529" s="10"/>
      <c r="DQ529" s="10"/>
      <c r="DR529" s="10"/>
    </row>
    <row r="530" spans="1:122" x14ac:dyDescent="0.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0"/>
      <c r="BC530" s="10"/>
      <c r="BD530" s="10"/>
      <c r="BE530" s="10"/>
      <c r="BF530" s="10"/>
      <c r="BG530" s="10"/>
      <c r="BH530" s="10"/>
      <c r="BI530" s="10"/>
      <c r="BJ530" s="10"/>
      <c r="BK530" s="10"/>
      <c r="BL530" s="10"/>
      <c r="BM530" s="10"/>
      <c r="BN530" s="10"/>
      <c r="BO530" s="10"/>
      <c r="BP530" s="10"/>
      <c r="BQ530" s="10"/>
      <c r="BR530" s="10"/>
      <c r="BS530" s="10"/>
      <c r="BT530" s="10"/>
      <c r="BU530" s="10"/>
      <c r="BV530" s="10"/>
      <c r="BW530" s="10"/>
      <c r="BX530" s="10"/>
      <c r="BY530" s="10"/>
      <c r="BZ530" s="10"/>
      <c r="CA530" s="10"/>
      <c r="CB530" s="10"/>
      <c r="CC530" s="10"/>
      <c r="CD530" s="10"/>
      <c r="CE530" s="10"/>
      <c r="CF530" s="10"/>
      <c r="CG530" s="10"/>
      <c r="CH530" s="10"/>
      <c r="CI530" s="10"/>
      <c r="CJ530" s="10"/>
      <c r="CK530" s="10"/>
      <c r="CL530" s="10"/>
      <c r="CM530" s="10"/>
      <c r="CN530" s="10"/>
      <c r="CO530" s="10"/>
      <c r="CP530" s="10"/>
      <c r="CQ530" s="10"/>
      <c r="CR530" s="10"/>
      <c r="CS530" s="10"/>
      <c r="CT530" s="10"/>
      <c r="CU530" s="10"/>
      <c r="CV530" s="10"/>
      <c r="CW530" s="10"/>
      <c r="CX530" s="10"/>
      <c r="CY530" s="10"/>
      <c r="CZ530" s="10"/>
      <c r="DA530" s="10"/>
      <c r="DB530" s="10"/>
      <c r="DC530" s="10"/>
      <c r="DD530" s="10"/>
      <c r="DE530" s="10"/>
      <c r="DF530" s="10"/>
      <c r="DG530" s="10"/>
      <c r="DH530" s="10"/>
      <c r="DI530" s="10"/>
      <c r="DJ530" s="10"/>
      <c r="DK530" s="10"/>
      <c r="DL530" s="10"/>
      <c r="DM530" s="10"/>
      <c r="DN530" s="10"/>
      <c r="DO530" s="10"/>
      <c r="DP530" s="10"/>
      <c r="DQ530" s="10"/>
      <c r="DR530" s="10"/>
    </row>
    <row r="531" spans="1:122" x14ac:dyDescent="0.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0"/>
      <c r="BC531" s="10"/>
      <c r="BD531" s="10"/>
      <c r="BE531" s="10"/>
      <c r="BF531" s="10"/>
      <c r="BG531" s="10"/>
      <c r="BH531" s="10"/>
      <c r="BI531" s="10"/>
      <c r="BJ531" s="10"/>
      <c r="BK531" s="10"/>
      <c r="BL531" s="10"/>
      <c r="BM531" s="10"/>
      <c r="BN531" s="10"/>
      <c r="BO531" s="10"/>
      <c r="BP531" s="10"/>
      <c r="BQ531" s="10"/>
      <c r="BR531" s="10"/>
      <c r="BS531" s="10"/>
      <c r="BT531" s="10"/>
      <c r="BU531" s="10"/>
      <c r="BV531" s="10"/>
      <c r="BW531" s="10"/>
      <c r="BX531" s="10"/>
      <c r="BY531" s="10"/>
      <c r="BZ531" s="10"/>
      <c r="CA531" s="10"/>
      <c r="CB531" s="10"/>
      <c r="CC531" s="10"/>
      <c r="CD531" s="10"/>
      <c r="CE531" s="10"/>
      <c r="CF531" s="10"/>
      <c r="CG531" s="10"/>
      <c r="CH531" s="10"/>
      <c r="CI531" s="10"/>
      <c r="CJ531" s="10"/>
      <c r="CK531" s="10"/>
      <c r="CL531" s="10"/>
      <c r="CM531" s="10"/>
      <c r="CN531" s="10"/>
      <c r="CO531" s="10"/>
      <c r="CP531" s="10"/>
      <c r="CQ531" s="10"/>
      <c r="CR531" s="10"/>
      <c r="CS531" s="10"/>
      <c r="CT531" s="10"/>
      <c r="CU531" s="10"/>
      <c r="CV531" s="10"/>
      <c r="CW531" s="10"/>
      <c r="CX531" s="10"/>
      <c r="CY531" s="10"/>
      <c r="CZ531" s="10"/>
      <c r="DA531" s="10"/>
      <c r="DB531" s="10"/>
      <c r="DC531" s="10"/>
      <c r="DD531" s="10"/>
      <c r="DE531" s="10"/>
      <c r="DF531" s="10"/>
      <c r="DG531" s="10"/>
      <c r="DH531" s="10"/>
      <c r="DI531" s="10"/>
      <c r="DJ531" s="10"/>
      <c r="DK531" s="10"/>
      <c r="DL531" s="10"/>
      <c r="DM531" s="10"/>
      <c r="DN531" s="10"/>
      <c r="DO531" s="10"/>
      <c r="DP531" s="10"/>
      <c r="DQ531" s="10"/>
      <c r="DR531" s="10"/>
    </row>
    <row r="532" spans="1:122" x14ac:dyDescent="0.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0"/>
      <c r="BC532" s="10"/>
      <c r="BD532" s="10"/>
      <c r="BE532" s="10"/>
      <c r="BF532" s="10"/>
      <c r="BG532" s="10"/>
      <c r="BH532" s="10"/>
      <c r="BI532" s="10"/>
      <c r="BJ532" s="10"/>
      <c r="BK532" s="10"/>
      <c r="BL532" s="10"/>
      <c r="BM532" s="10"/>
      <c r="BN532" s="10"/>
      <c r="BO532" s="10"/>
      <c r="BP532" s="10"/>
      <c r="BQ532" s="10"/>
      <c r="BR532" s="10"/>
      <c r="BS532" s="10"/>
      <c r="BT532" s="10"/>
      <c r="BU532" s="10"/>
      <c r="BV532" s="10"/>
      <c r="BW532" s="10"/>
      <c r="BX532" s="10"/>
      <c r="BY532" s="10"/>
      <c r="BZ532" s="10"/>
      <c r="CA532" s="10"/>
      <c r="CB532" s="10"/>
      <c r="CC532" s="10"/>
      <c r="CD532" s="10"/>
      <c r="CE532" s="10"/>
      <c r="CF532" s="10"/>
      <c r="CG532" s="10"/>
      <c r="CH532" s="10"/>
      <c r="CI532" s="10"/>
      <c r="CJ532" s="10"/>
      <c r="CK532" s="10"/>
      <c r="CL532" s="10"/>
      <c r="CM532" s="10"/>
      <c r="CN532" s="10"/>
      <c r="CO532" s="10"/>
      <c r="CP532" s="10"/>
      <c r="CQ532" s="10"/>
      <c r="CR532" s="10"/>
      <c r="CS532" s="10"/>
      <c r="CT532" s="10"/>
      <c r="CU532" s="10"/>
      <c r="CV532" s="10"/>
      <c r="CW532" s="10"/>
      <c r="CX532" s="10"/>
      <c r="CY532" s="10"/>
      <c r="CZ532" s="10"/>
      <c r="DA532" s="10"/>
      <c r="DB532" s="10"/>
      <c r="DC532" s="10"/>
      <c r="DD532" s="10"/>
      <c r="DE532" s="10"/>
      <c r="DF532" s="10"/>
      <c r="DG532" s="10"/>
      <c r="DH532" s="10"/>
      <c r="DI532" s="10"/>
      <c r="DJ532" s="10"/>
      <c r="DK532" s="10"/>
      <c r="DL532" s="10"/>
      <c r="DM532" s="10"/>
      <c r="DN532" s="10"/>
      <c r="DO532" s="10"/>
      <c r="DP532" s="10"/>
      <c r="DQ532" s="10"/>
      <c r="DR532" s="10"/>
    </row>
    <row r="533" spans="1:122" x14ac:dyDescent="0.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0"/>
      <c r="BC533" s="10"/>
      <c r="BD533" s="10"/>
      <c r="BE533" s="10"/>
      <c r="BF533" s="10"/>
      <c r="BG533" s="10"/>
      <c r="BH533" s="10"/>
      <c r="BI533" s="10"/>
      <c r="BJ533" s="10"/>
      <c r="BK533" s="10"/>
      <c r="BL533" s="10"/>
      <c r="BM533" s="10"/>
      <c r="BN533" s="10"/>
      <c r="BO533" s="10"/>
      <c r="BP533" s="10"/>
      <c r="BQ533" s="10"/>
      <c r="BR533" s="10"/>
      <c r="BS533" s="10"/>
      <c r="BT533" s="10"/>
      <c r="BU533" s="10"/>
      <c r="BV533" s="10"/>
      <c r="BW533" s="10"/>
      <c r="BX533" s="10"/>
      <c r="BY533" s="10"/>
      <c r="BZ533" s="10"/>
      <c r="CA533" s="10"/>
      <c r="CB533" s="10"/>
      <c r="CC533" s="10"/>
      <c r="CD533" s="10"/>
      <c r="CE533" s="10"/>
      <c r="CF533" s="10"/>
      <c r="CG533" s="10"/>
      <c r="CH533" s="10"/>
      <c r="CI533" s="10"/>
      <c r="CJ533" s="10"/>
      <c r="CK533" s="10"/>
      <c r="CL533" s="10"/>
      <c r="CM533" s="10"/>
      <c r="CN533" s="10"/>
      <c r="CO533" s="10"/>
      <c r="CP533" s="10"/>
      <c r="CQ533" s="10"/>
      <c r="CR533" s="10"/>
      <c r="CS533" s="10"/>
      <c r="CT533" s="10"/>
      <c r="CU533" s="10"/>
      <c r="CV533" s="10"/>
      <c r="CW533" s="10"/>
      <c r="CX533" s="10"/>
      <c r="CY533" s="10"/>
      <c r="CZ533" s="10"/>
      <c r="DA533" s="10"/>
      <c r="DB533" s="10"/>
      <c r="DC533" s="10"/>
      <c r="DD533" s="10"/>
      <c r="DE533" s="10"/>
      <c r="DF533" s="10"/>
      <c r="DG533" s="10"/>
      <c r="DH533" s="10"/>
      <c r="DI533" s="10"/>
      <c r="DJ533" s="10"/>
      <c r="DK533" s="10"/>
      <c r="DL533" s="10"/>
      <c r="DM533" s="10"/>
      <c r="DN533" s="10"/>
      <c r="DO533" s="10"/>
      <c r="DP533" s="10"/>
      <c r="DQ533" s="10"/>
      <c r="DR533" s="10"/>
    </row>
    <row r="534" spans="1:122" x14ac:dyDescent="0.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0"/>
      <c r="BC534" s="10"/>
      <c r="BD534" s="10"/>
      <c r="BE534" s="10"/>
      <c r="BF534" s="10"/>
      <c r="BG534" s="10"/>
      <c r="BH534" s="10"/>
      <c r="BI534" s="10"/>
      <c r="BJ534" s="10"/>
      <c r="BK534" s="10"/>
      <c r="BL534" s="10"/>
      <c r="BM534" s="10"/>
      <c r="BN534" s="10"/>
      <c r="BO534" s="10"/>
      <c r="BP534" s="10"/>
      <c r="BQ534" s="10"/>
      <c r="BR534" s="10"/>
      <c r="BS534" s="10"/>
      <c r="BT534" s="10"/>
      <c r="BU534" s="10"/>
      <c r="BV534" s="10"/>
      <c r="BW534" s="10"/>
      <c r="BX534" s="10"/>
      <c r="BY534" s="10"/>
      <c r="BZ534" s="10"/>
      <c r="CA534" s="10"/>
      <c r="CB534" s="10"/>
      <c r="CC534" s="10"/>
      <c r="CD534" s="10"/>
      <c r="CE534" s="10"/>
      <c r="CF534" s="10"/>
      <c r="CG534" s="10"/>
      <c r="CH534" s="10"/>
      <c r="CI534" s="10"/>
      <c r="CJ534" s="10"/>
      <c r="CK534" s="10"/>
      <c r="CL534" s="10"/>
      <c r="CM534" s="10"/>
      <c r="CN534" s="10"/>
      <c r="CO534" s="10"/>
      <c r="CP534" s="10"/>
      <c r="CQ534" s="10"/>
      <c r="CR534" s="10"/>
      <c r="CS534" s="10"/>
      <c r="CT534" s="10"/>
      <c r="CU534" s="10"/>
      <c r="CV534" s="10"/>
      <c r="CW534" s="10"/>
      <c r="CX534" s="10"/>
      <c r="CY534" s="10"/>
      <c r="CZ534" s="10"/>
      <c r="DA534" s="10"/>
      <c r="DB534" s="10"/>
      <c r="DC534" s="10"/>
      <c r="DD534" s="10"/>
      <c r="DE534" s="10"/>
      <c r="DF534" s="10"/>
      <c r="DG534" s="10"/>
      <c r="DH534" s="10"/>
      <c r="DI534" s="10"/>
      <c r="DJ534" s="10"/>
      <c r="DK534" s="10"/>
      <c r="DL534" s="10"/>
      <c r="DM534" s="10"/>
      <c r="DN534" s="10"/>
      <c r="DO534" s="10"/>
      <c r="DP534" s="10"/>
      <c r="DQ534" s="10"/>
      <c r="DR534" s="10"/>
    </row>
    <row r="535" spans="1:122" x14ac:dyDescent="0.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0"/>
      <c r="BC535" s="10"/>
      <c r="BD535" s="10"/>
      <c r="BE535" s="10"/>
      <c r="BF535" s="10"/>
      <c r="BG535" s="10"/>
      <c r="BH535" s="10"/>
      <c r="BI535" s="10"/>
      <c r="BJ535" s="10"/>
      <c r="BK535" s="10"/>
      <c r="BL535" s="10"/>
      <c r="BM535" s="10"/>
      <c r="BN535" s="10"/>
      <c r="BO535" s="10"/>
      <c r="BP535" s="10"/>
      <c r="BQ535" s="10"/>
      <c r="BR535" s="10"/>
      <c r="BS535" s="10"/>
      <c r="BT535" s="10"/>
      <c r="BU535" s="10"/>
      <c r="BV535" s="10"/>
      <c r="BW535" s="10"/>
      <c r="BX535" s="10"/>
      <c r="BY535" s="10"/>
      <c r="BZ535" s="10"/>
      <c r="CA535" s="10"/>
      <c r="CB535" s="10"/>
      <c r="CC535" s="10"/>
      <c r="CD535" s="10"/>
      <c r="CE535" s="10"/>
      <c r="CF535" s="10"/>
      <c r="CG535" s="10"/>
      <c r="CH535" s="10"/>
      <c r="CI535" s="10"/>
      <c r="CJ535" s="10"/>
      <c r="CK535" s="10"/>
      <c r="CL535" s="10"/>
      <c r="CM535" s="10"/>
      <c r="CN535" s="10"/>
      <c r="CO535" s="10"/>
      <c r="CP535" s="10"/>
      <c r="CQ535" s="10"/>
      <c r="CR535" s="10"/>
      <c r="CS535" s="10"/>
      <c r="CT535" s="10"/>
      <c r="CU535" s="10"/>
      <c r="CV535" s="10"/>
      <c r="CW535" s="10"/>
      <c r="CX535" s="10"/>
      <c r="CY535" s="10"/>
      <c r="CZ535" s="10"/>
      <c r="DA535" s="10"/>
      <c r="DB535" s="10"/>
      <c r="DC535" s="10"/>
      <c r="DD535" s="10"/>
      <c r="DE535" s="10"/>
      <c r="DF535" s="10"/>
      <c r="DG535" s="10"/>
      <c r="DH535" s="10"/>
      <c r="DI535" s="10"/>
      <c r="DJ535" s="10"/>
      <c r="DK535" s="10"/>
      <c r="DL535" s="10"/>
      <c r="DM535" s="10"/>
      <c r="DN535" s="10"/>
      <c r="DO535" s="10"/>
      <c r="DP535" s="10"/>
      <c r="DQ535" s="10"/>
      <c r="DR535" s="10"/>
    </row>
    <row r="536" spans="1:122" x14ac:dyDescent="0.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0"/>
      <c r="BC536" s="10"/>
      <c r="BD536" s="10"/>
      <c r="BE536" s="10"/>
      <c r="BF536" s="10"/>
      <c r="BG536" s="10"/>
      <c r="BH536" s="10"/>
      <c r="BI536" s="10"/>
      <c r="BJ536" s="10"/>
      <c r="BK536" s="10"/>
      <c r="BL536" s="10"/>
      <c r="BM536" s="10"/>
      <c r="BN536" s="10"/>
      <c r="BO536" s="10"/>
      <c r="BP536" s="10"/>
      <c r="BQ536" s="10"/>
      <c r="BR536" s="10"/>
      <c r="BS536" s="10"/>
      <c r="BT536" s="10"/>
      <c r="BU536" s="10"/>
      <c r="BV536" s="10"/>
      <c r="BW536" s="10"/>
      <c r="BX536" s="10"/>
      <c r="BY536" s="10"/>
      <c r="BZ536" s="10"/>
      <c r="CA536" s="10"/>
      <c r="CB536" s="10"/>
      <c r="CC536" s="10"/>
      <c r="CD536" s="10"/>
      <c r="CE536" s="10"/>
      <c r="CF536" s="10"/>
      <c r="CG536" s="10"/>
      <c r="CH536" s="10"/>
      <c r="CI536" s="10"/>
      <c r="CJ536" s="10"/>
      <c r="CK536" s="10"/>
      <c r="CL536" s="10"/>
      <c r="CM536" s="10"/>
      <c r="CN536" s="10"/>
      <c r="CO536" s="10"/>
      <c r="CP536" s="10"/>
      <c r="CQ536" s="10"/>
      <c r="CR536" s="10"/>
      <c r="CS536" s="10"/>
      <c r="CT536" s="10"/>
      <c r="CU536" s="10"/>
      <c r="CV536" s="10"/>
      <c r="CW536" s="10"/>
      <c r="CX536" s="10"/>
      <c r="CY536" s="10"/>
      <c r="CZ536" s="10"/>
      <c r="DA536" s="10"/>
      <c r="DB536" s="10"/>
      <c r="DC536" s="10"/>
      <c r="DD536" s="10"/>
      <c r="DE536" s="10"/>
      <c r="DF536" s="10"/>
      <c r="DG536" s="10"/>
      <c r="DH536" s="10"/>
      <c r="DI536" s="10"/>
      <c r="DJ536" s="10"/>
      <c r="DK536" s="10"/>
      <c r="DL536" s="10"/>
      <c r="DM536" s="10"/>
      <c r="DN536" s="10"/>
      <c r="DO536" s="10"/>
      <c r="DP536" s="10"/>
      <c r="DQ536" s="10"/>
      <c r="DR536" s="10"/>
    </row>
    <row r="537" spans="1:122" x14ac:dyDescent="0.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0"/>
      <c r="BC537" s="10"/>
      <c r="BD537" s="10"/>
      <c r="BE537" s="10"/>
      <c r="BF537" s="10"/>
      <c r="BG537" s="10"/>
      <c r="BH537" s="10"/>
      <c r="BI537" s="10"/>
      <c r="BJ537" s="10"/>
      <c r="BK537" s="10"/>
      <c r="BL537" s="10"/>
      <c r="BM537" s="10"/>
      <c r="BN537" s="10"/>
      <c r="BO537" s="10"/>
      <c r="BP537" s="10"/>
      <c r="BQ537" s="10"/>
      <c r="BR537" s="10"/>
      <c r="BS537" s="10"/>
      <c r="BT537" s="10"/>
      <c r="BU537" s="10"/>
      <c r="BV537" s="10"/>
      <c r="BW537" s="10"/>
      <c r="BX537" s="10"/>
      <c r="BY537" s="10"/>
      <c r="BZ537" s="10"/>
      <c r="CA537" s="10"/>
      <c r="CB537" s="10"/>
      <c r="CC537" s="10"/>
      <c r="CD537" s="10"/>
      <c r="CE537" s="10"/>
      <c r="CF537" s="10"/>
      <c r="CG537" s="10"/>
      <c r="CH537" s="10"/>
      <c r="CI537" s="10"/>
      <c r="CJ537" s="10"/>
      <c r="CK537" s="10"/>
      <c r="CL537" s="10"/>
      <c r="CM537" s="10"/>
      <c r="CN537" s="10"/>
      <c r="CO537" s="10"/>
      <c r="CP537" s="10"/>
      <c r="CQ537" s="10"/>
      <c r="CR537" s="10"/>
      <c r="CS537" s="10"/>
      <c r="CT537" s="10"/>
      <c r="CU537" s="10"/>
      <c r="CV537" s="10"/>
      <c r="CW537" s="10"/>
      <c r="CX537" s="10"/>
      <c r="CY537" s="10"/>
      <c r="CZ537" s="10"/>
      <c r="DA537" s="10"/>
      <c r="DB537" s="10"/>
      <c r="DC537" s="10"/>
      <c r="DD537" s="10"/>
      <c r="DE537" s="10"/>
      <c r="DF537" s="10"/>
      <c r="DG537" s="10"/>
      <c r="DH537" s="10"/>
      <c r="DI537" s="10"/>
      <c r="DJ537" s="10"/>
      <c r="DK537" s="10"/>
      <c r="DL537" s="10"/>
      <c r="DM537" s="10"/>
      <c r="DN537" s="10"/>
      <c r="DO537" s="10"/>
      <c r="DP537" s="10"/>
      <c r="DQ537" s="10"/>
      <c r="DR537" s="10"/>
    </row>
    <row r="538" spans="1:122" x14ac:dyDescent="0.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0"/>
      <c r="BC538" s="10"/>
      <c r="BD538" s="10"/>
      <c r="BE538" s="10"/>
      <c r="BF538" s="10"/>
      <c r="BG538" s="10"/>
      <c r="BH538" s="10"/>
      <c r="BI538" s="10"/>
      <c r="BJ538" s="10"/>
      <c r="BK538" s="10"/>
      <c r="BL538" s="10"/>
      <c r="BM538" s="10"/>
      <c r="BN538" s="10"/>
      <c r="BO538" s="10"/>
      <c r="BP538" s="10"/>
      <c r="BQ538" s="10"/>
      <c r="BR538" s="10"/>
      <c r="BS538" s="10"/>
      <c r="BT538" s="10"/>
      <c r="BU538" s="10"/>
      <c r="BV538" s="10"/>
      <c r="BW538" s="10"/>
      <c r="BX538" s="10"/>
      <c r="BY538" s="10"/>
      <c r="BZ538" s="10"/>
      <c r="CA538" s="10"/>
      <c r="CB538" s="10"/>
      <c r="CC538" s="10"/>
      <c r="CD538" s="10"/>
      <c r="CE538" s="10"/>
      <c r="CF538" s="10"/>
      <c r="CG538" s="10"/>
      <c r="CH538" s="10"/>
      <c r="CI538" s="10"/>
      <c r="CJ538" s="10"/>
      <c r="CK538" s="10"/>
      <c r="CL538" s="10"/>
      <c r="CM538" s="10"/>
      <c r="CN538" s="10"/>
      <c r="CO538" s="10"/>
      <c r="CP538" s="10"/>
      <c r="CQ538" s="10"/>
      <c r="CR538" s="10"/>
      <c r="CS538" s="10"/>
      <c r="CT538" s="10"/>
      <c r="CU538" s="10"/>
      <c r="CV538" s="10"/>
      <c r="CW538" s="10"/>
      <c r="CX538" s="10"/>
      <c r="CY538" s="10"/>
      <c r="CZ538" s="10"/>
      <c r="DA538" s="10"/>
      <c r="DB538" s="10"/>
      <c r="DC538" s="10"/>
      <c r="DD538" s="10"/>
      <c r="DE538" s="10"/>
      <c r="DF538" s="10"/>
      <c r="DG538" s="10"/>
      <c r="DH538" s="10"/>
      <c r="DI538" s="10"/>
      <c r="DJ538" s="10"/>
      <c r="DK538" s="10"/>
      <c r="DL538" s="10"/>
      <c r="DM538" s="10"/>
      <c r="DN538" s="10"/>
      <c r="DO538" s="10"/>
      <c r="DP538" s="10"/>
      <c r="DQ538" s="10"/>
      <c r="DR538" s="10"/>
    </row>
    <row r="539" spans="1:122" x14ac:dyDescent="0.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0"/>
      <c r="BC539" s="10"/>
      <c r="BD539" s="10"/>
      <c r="BE539" s="10"/>
      <c r="BF539" s="10"/>
      <c r="BG539" s="10"/>
      <c r="BH539" s="10"/>
      <c r="BI539" s="10"/>
      <c r="BJ539" s="10"/>
      <c r="BK539" s="10"/>
      <c r="BL539" s="10"/>
      <c r="BM539" s="10"/>
      <c r="BN539" s="10"/>
      <c r="BO539" s="10"/>
      <c r="BP539" s="10"/>
      <c r="BQ539" s="10"/>
      <c r="BR539" s="10"/>
      <c r="BS539" s="10"/>
      <c r="BT539" s="10"/>
      <c r="BU539" s="10"/>
      <c r="BV539" s="10"/>
      <c r="BW539" s="10"/>
      <c r="BX539" s="10"/>
      <c r="BY539" s="10"/>
      <c r="BZ539" s="10"/>
      <c r="CA539" s="10"/>
      <c r="CB539" s="10"/>
      <c r="CC539" s="10"/>
      <c r="CD539" s="10"/>
      <c r="CE539" s="10"/>
      <c r="CF539" s="10"/>
      <c r="CG539" s="10"/>
      <c r="CH539" s="10"/>
      <c r="CI539" s="10"/>
      <c r="CJ539" s="10"/>
      <c r="CK539" s="10"/>
      <c r="CL539" s="10"/>
      <c r="CM539" s="10"/>
      <c r="CN539" s="10"/>
      <c r="CO539" s="10"/>
      <c r="CP539" s="10"/>
      <c r="CQ539" s="10"/>
      <c r="CR539" s="10"/>
      <c r="CS539" s="10"/>
      <c r="CT539" s="10"/>
      <c r="CU539" s="10"/>
      <c r="CV539" s="10"/>
      <c r="CW539" s="10"/>
      <c r="CX539" s="10"/>
      <c r="CY539" s="10"/>
      <c r="CZ539" s="10"/>
      <c r="DA539" s="10"/>
      <c r="DB539" s="10"/>
      <c r="DC539" s="10"/>
      <c r="DD539" s="10"/>
      <c r="DE539" s="10"/>
      <c r="DF539" s="10"/>
      <c r="DG539" s="10"/>
      <c r="DH539" s="10"/>
      <c r="DI539" s="10"/>
      <c r="DJ539" s="10"/>
      <c r="DK539" s="10"/>
      <c r="DL539" s="10"/>
      <c r="DM539" s="10"/>
      <c r="DN539" s="10"/>
      <c r="DO539" s="10"/>
      <c r="DP539" s="10"/>
      <c r="DQ539" s="10"/>
      <c r="DR539" s="10"/>
    </row>
    <row r="540" spans="1:122" x14ac:dyDescent="0.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0"/>
      <c r="BC540" s="10"/>
      <c r="BD540" s="10"/>
      <c r="BE540" s="10"/>
      <c r="BF540" s="10"/>
      <c r="BG540" s="10"/>
      <c r="BH540" s="10"/>
      <c r="BI540" s="10"/>
      <c r="BJ540" s="10"/>
      <c r="BK540" s="10"/>
      <c r="BL540" s="10"/>
      <c r="BM540" s="10"/>
      <c r="BN540" s="10"/>
      <c r="BO540" s="10"/>
      <c r="BP540" s="10"/>
      <c r="BQ540" s="10"/>
      <c r="BR540" s="10"/>
      <c r="BS540" s="10"/>
      <c r="BT540" s="10"/>
      <c r="BU540" s="10"/>
      <c r="BV540" s="10"/>
      <c r="BW540" s="10"/>
      <c r="BX540" s="10"/>
      <c r="BY540" s="10"/>
      <c r="BZ540" s="10"/>
      <c r="CA540" s="10"/>
      <c r="CB540" s="10"/>
      <c r="CC540" s="10"/>
      <c r="CD540" s="10"/>
      <c r="CE540" s="10"/>
      <c r="CF540" s="10"/>
      <c r="CG540" s="10"/>
      <c r="CH540" s="10"/>
      <c r="CI540" s="10"/>
      <c r="CJ540" s="10"/>
      <c r="CK540" s="10"/>
      <c r="CL540" s="10"/>
      <c r="CM540" s="10"/>
      <c r="CN540" s="10"/>
      <c r="CO540" s="10"/>
      <c r="CP540" s="10"/>
      <c r="CQ540" s="10"/>
      <c r="CR540" s="10"/>
      <c r="CS540" s="10"/>
      <c r="CT540" s="10"/>
      <c r="CU540" s="10"/>
      <c r="CV540" s="10"/>
      <c r="CW540" s="10"/>
      <c r="CX540" s="10"/>
      <c r="CY540" s="10"/>
      <c r="CZ540" s="10"/>
      <c r="DA540" s="10"/>
      <c r="DB540" s="10"/>
      <c r="DC540" s="10"/>
      <c r="DD540" s="10"/>
      <c r="DE540" s="10"/>
      <c r="DF540" s="10"/>
      <c r="DG540" s="10"/>
      <c r="DH540" s="10"/>
      <c r="DI540" s="10"/>
      <c r="DJ540" s="10"/>
      <c r="DK540" s="10"/>
      <c r="DL540" s="10"/>
      <c r="DM540" s="10"/>
      <c r="DN540" s="10"/>
      <c r="DO540" s="10"/>
      <c r="DP540" s="10"/>
      <c r="DQ540" s="10"/>
      <c r="DR540" s="10"/>
    </row>
    <row r="541" spans="1:122" x14ac:dyDescent="0.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0"/>
      <c r="BC541" s="10"/>
      <c r="BD541" s="10"/>
      <c r="BE541" s="10"/>
      <c r="BF541" s="10"/>
      <c r="BG541" s="10"/>
      <c r="BH541" s="10"/>
      <c r="BI541" s="10"/>
      <c r="BJ541" s="10"/>
      <c r="BK541" s="10"/>
      <c r="BL541" s="10"/>
      <c r="BM541" s="10"/>
      <c r="BN541" s="10"/>
      <c r="BO541" s="10"/>
      <c r="BP541" s="10"/>
      <c r="BQ541" s="10"/>
      <c r="BR541" s="10"/>
      <c r="BS541" s="10"/>
      <c r="BT541" s="10"/>
      <c r="BU541" s="10"/>
      <c r="BV541" s="10"/>
      <c r="BW541" s="10"/>
      <c r="BX541" s="10"/>
      <c r="BY541" s="10"/>
      <c r="BZ541" s="10"/>
      <c r="CA541" s="10"/>
      <c r="CB541" s="10"/>
      <c r="CC541" s="10"/>
      <c r="CD541" s="10"/>
      <c r="CE541" s="10"/>
      <c r="CF541" s="10"/>
      <c r="CG541" s="10"/>
      <c r="CH541" s="10"/>
      <c r="CI541" s="10"/>
      <c r="CJ541" s="10"/>
      <c r="CK541" s="10"/>
      <c r="CL541" s="10"/>
      <c r="CM541" s="10"/>
      <c r="CN541" s="10"/>
      <c r="CO541" s="10"/>
      <c r="CP541" s="10"/>
      <c r="CQ541" s="10"/>
      <c r="CR541" s="10"/>
      <c r="CS541" s="10"/>
      <c r="CT541" s="10"/>
      <c r="CU541" s="10"/>
      <c r="CV541" s="10"/>
      <c r="CW541" s="10"/>
      <c r="CX541" s="10"/>
      <c r="CY541" s="10"/>
      <c r="CZ541" s="10"/>
      <c r="DA541" s="10"/>
      <c r="DB541" s="10"/>
      <c r="DC541" s="10"/>
      <c r="DD541" s="10"/>
      <c r="DE541" s="10"/>
      <c r="DF541" s="10"/>
      <c r="DG541" s="10"/>
      <c r="DH541" s="10"/>
      <c r="DI541" s="10"/>
      <c r="DJ541" s="10"/>
      <c r="DK541" s="10"/>
      <c r="DL541" s="10"/>
      <c r="DM541" s="10"/>
      <c r="DN541" s="10"/>
      <c r="DO541" s="10"/>
      <c r="DP541" s="10"/>
      <c r="DQ541" s="10"/>
      <c r="DR541" s="10"/>
    </row>
    <row r="542" spans="1:122" x14ac:dyDescent="0.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0"/>
      <c r="BC542" s="10"/>
      <c r="BD542" s="10"/>
      <c r="BE542" s="10"/>
      <c r="BF542" s="10"/>
      <c r="BG542" s="10"/>
      <c r="BH542" s="10"/>
      <c r="BI542" s="10"/>
      <c r="BJ542" s="10"/>
      <c r="BK542" s="10"/>
      <c r="BL542" s="10"/>
      <c r="BM542" s="10"/>
      <c r="BN542" s="10"/>
      <c r="BO542" s="10"/>
      <c r="BP542" s="10"/>
      <c r="BQ542" s="10"/>
      <c r="BR542" s="10"/>
      <c r="BS542" s="10"/>
      <c r="BT542" s="10"/>
      <c r="BU542" s="10"/>
      <c r="BV542" s="10"/>
      <c r="BW542" s="10"/>
      <c r="BX542" s="10"/>
      <c r="BY542" s="10"/>
      <c r="BZ542" s="10"/>
      <c r="CA542" s="10"/>
      <c r="CB542" s="10"/>
      <c r="CC542" s="10"/>
      <c r="CD542" s="10"/>
      <c r="CE542" s="10"/>
      <c r="CF542" s="10"/>
      <c r="CG542" s="10"/>
      <c r="CH542" s="10"/>
      <c r="CI542" s="10"/>
      <c r="CJ542" s="10"/>
      <c r="CK542" s="10"/>
      <c r="CL542" s="10"/>
      <c r="CM542" s="10"/>
      <c r="CN542" s="10"/>
      <c r="CO542" s="10"/>
      <c r="CP542" s="10"/>
      <c r="CQ542" s="10"/>
      <c r="CR542" s="10"/>
      <c r="CS542" s="10"/>
      <c r="CT542" s="10"/>
      <c r="CU542" s="10"/>
      <c r="CV542" s="10"/>
      <c r="CW542" s="10"/>
      <c r="CX542" s="10"/>
      <c r="CY542" s="10"/>
      <c r="CZ542" s="10"/>
      <c r="DA542" s="10"/>
      <c r="DB542" s="10"/>
      <c r="DC542" s="10"/>
      <c r="DD542" s="10"/>
      <c r="DE542" s="10"/>
      <c r="DF542" s="10"/>
      <c r="DG542" s="10"/>
      <c r="DH542" s="10"/>
      <c r="DI542" s="10"/>
      <c r="DJ542" s="10"/>
      <c r="DK542" s="10"/>
      <c r="DL542" s="10"/>
      <c r="DM542" s="10"/>
      <c r="DN542" s="10"/>
      <c r="DO542" s="10"/>
      <c r="DP542" s="10"/>
      <c r="DQ542" s="10"/>
      <c r="DR542" s="10"/>
    </row>
    <row r="543" spans="1:122" x14ac:dyDescent="0.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0"/>
      <c r="BC543" s="10"/>
      <c r="BD543" s="10"/>
      <c r="BE543" s="10"/>
      <c r="BF543" s="10"/>
      <c r="BG543" s="10"/>
      <c r="BH543" s="10"/>
      <c r="BI543" s="10"/>
      <c r="BJ543" s="10"/>
      <c r="BK543" s="10"/>
      <c r="BL543" s="10"/>
      <c r="BM543" s="10"/>
      <c r="BN543" s="10"/>
      <c r="BO543" s="10"/>
      <c r="BP543" s="10"/>
      <c r="BQ543" s="10"/>
      <c r="BR543" s="10"/>
      <c r="BS543" s="10"/>
      <c r="BT543" s="10"/>
      <c r="BU543" s="10"/>
      <c r="BV543" s="10"/>
      <c r="BW543" s="10"/>
      <c r="BX543" s="10"/>
      <c r="BY543" s="10"/>
      <c r="BZ543" s="10"/>
      <c r="CA543" s="10"/>
      <c r="CB543" s="10"/>
      <c r="CC543" s="10"/>
      <c r="CD543" s="10"/>
      <c r="CE543" s="10"/>
      <c r="CF543" s="10"/>
      <c r="CG543" s="10"/>
      <c r="CH543" s="10"/>
      <c r="CI543" s="10"/>
      <c r="CJ543" s="10"/>
      <c r="CK543" s="10"/>
      <c r="CL543" s="10"/>
      <c r="CM543" s="10"/>
      <c r="CN543" s="10"/>
      <c r="CO543" s="10"/>
      <c r="CP543" s="10"/>
      <c r="CQ543" s="10"/>
      <c r="CR543" s="10"/>
      <c r="CS543" s="10"/>
      <c r="CT543" s="10"/>
      <c r="CU543" s="10"/>
      <c r="CV543" s="10"/>
      <c r="CW543" s="10"/>
      <c r="CX543" s="10"/>
      <c r="CY543" s="10"/>
      <c r="CZ543" s="10"/>
      <c r="DA543" s="10"/>
      <c r="DB543" s="10"/>
      <c r="DC543" s="10"/>
      <c r="DD543" s="10"/>
      <c r="DE543" s="10"/>
      <c r="DF543" s="10"/>
      <c r="DG543" s="10"/>
      <c r="DH543" s="10"/>
      <c r="DI543" s="10"/>
      <c r="DJ543" s="10"/>
      <c r="DK543" s="10"/>
      <c r="DL543" s="10"/>
      <c r="DM543" s="10"/>
      <c r="DN543" s="10"/>
      <c r="DO543" s="10"/>
      <c r="DP543" s="10"/>
      <c r="DQ543" s="10"/>
      <c r="DR543" s="10"/>
    </row>
    <row r="544" spans="1:122" x14ac:dyDescent="0.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0"/>
      <c r="BC544" s="10"/>
      <c r="BD544" s="10"/>
      <c r="BE544" s="10"/>
      <c r="BF544" s="10"/>
      <c r="BG544" s="10"/>
      <c r="BH544" s="10"/>
      <c r="BI544" s="10"/>
      <c r="BJ544" s="10"/>
      <c r="BK544" s="10"/>
      <c r="BL544" s="10"/>
      <c r="BM544" s="10"/>
      <c r="BN544" s="10"/>
      <c r="BO544" s="10"/>
      <c r="BP544" s="10"/>
      <c r="BQ544" s="10"/>
      <c r="BR544" s="10"/>
      <c r="BS544" s="10"/>
      <c r="BT544" s="10"/>
      <c r="BU544" s="10"/>
      <c r="BV544" s="10"/>
      <c r="BW544" s="10"/>
      <c r="BX544" s="10"/>
      <c r="BY544" s="10"/>
      <c r="BZ544" s="10"/>
      <c r="CA544" s="10"/>
      <c r="CB544" s="10"/>
      <c r="CC544" s="10"/>
      <c r="CD544" s="10"/>
      <c r="CE544" s="10"/>
      <c r="CF544" s="10"/>
      <c r="CG544" s="10"/>
      <c r="CH544" s="10"/>
      <c r="CI544" s="10"/>
      <c r="CJ544" s="10"/>
      <c r="CK544" s="10"/>
      <c r="CL544" s="10"/>
      <c r="CM544" s="10"/>
      <c r="CN544" s="10"/>
      <c r="CO544" s="10"/>
      <c r="CP544" s="10"/>
      <c r="CQ544" s="10"/>
      <c r="CR544" s="10"/>
      <c r="CS544" s="10"/>
      <c r="CT544" s="10"/>
      <c r="CU544" s="10"/>
      <c r="CV544" s="10"/>
      <c r="CW544" s="10"/>
      <c r="CX544" s="10"/>
      <c r="CY544" s="10"/>
      <c r="CZ544" s="10"/>
      <c r="DA544" s="10"/>
      <c r="DB544" s="10"/>
      <c r="DC544" s="10"/>
      <c r="DD544" s="10"/>
      <c r="DE544" s="10"/>
      <c r="DF544" s="10"/>
      <c r="DG544" s="10"/>
      <c r="DH544" s="10"/>
      <c r="DI544" s="10"/>
      <c r="DJ544" s="10"/>
      <c r="DK544" s="10"/>
      <c r="DL544" s="10"/>
      <c r="DM544" s="10"/>
      <c r="DN544" s="10"/>
      <c r="DO544" s="10"/>
      <c r="DP544" s="10"/>
      <c r="DQ544" s="10"/>
      <c r="DR544" s="10"/>
    </row>
    <row r="545" spans="1:122" x14ac:dyDescent="0.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0"/>
      <c r="BC545" s="10"/>
      <c r="BD545" s="10"/>
      <c r="BE545" s="10"/>
      <c r="BF545" s="10"/>
      <c r="BG545" s="10"/>
      <c r="BH545" s="10"/>
      <c r="BI545" s="10"/>
      <c r="BJ545" s="10"/>
      <c r="BK545" s="10"/>
      <c r="BL545" s="10"/>
      <c r="BM545" s="10"/>
      <c r="BN545" s="10"/>
      <c r="BO545" s="10"/>
      <c r="BP545" s="10"/>
      <c r="BQ545" s="10"/>
      <c r="BR545" s="10"/>
      <c r="BS545" s="10"/>
      <c r="BT545" s="10"/>
      <c r="BU545" s="10"/>
      <c r="BV545" s="10"/>
      <c r="BW545" s="10"/>
      <c r="BX545" s="10"/>
      <c r="BY545" s="10"/>
      <c r="BZ545" s="10"/>
      <c r="CA545" s="10"/>
      <c r="CB545" s="10"/>
      <c r="CC545" s="10"/>
      <c r="CD545" s="10"/>
      <c r="CE545" s="10"/>
      <c r="CF545" s="10"/>
      <c r="CG545" s="10"/>
      <c r="CH545" s="10"/>
      <c r="CI545" s="10"/>
      <c r="CJ545" s="10"/>
      <c r="CK545" s="10"/>
      <c r="CL545" s="10"/>
      <c r="CM545" s="10"/>
      <c r="CN545" s="10"/>
      <c r="CO545" s="10"/>
      <c r="CP545" s="10"/>
      <c r="CQ545" s="10"/>
      <c r="CR545" s="10"/>
      <c r="CS545" s="10"/>
      <c r="CT545" s="10"/>
      <c r="CU545" s="10"/>
      <c r="CV545" s="10"/>
      <c r="CW545" s="10"/>
      <c r="CX545" s="10"/>
      <c r="CY545" s="10"/>
      <c r="CZ545" s="10"/>
      <c r="DA545" s="10"/>
      <c r="DB545" s="10"/>
      <c r="DC545" s="10"/>
      <c r="DD545" s="10"/>
      <c r="DE545" s="10"/>
      <c r="DF545" s="10"/>
      <c r="DG545" s="10"/>
      <c r="DH545" s="10"/>
      <c r="DI545" s="10"/>
      <c r="DJ545" s="10"/>
      <c r="DK545" s="10"/>
      <c r="DL545" s="10"/>
      <c r="DM545" s="10"/>
      <c r="DN545" s="10"/>
      <c r="DO545" s="10"/>
      <c r="DP545" s="10"/>
      <c r="DQ545" s="10"/>
      <c r="DR545" s="10"/>
    </row>
    <row r="546" spans="1:122" x14ac:dyDescent="0.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0"/>
      <c r="BC546" s="10"/>
      <c r="BD546" s="10"/>
      <c r="BE546" s="10"/>
      <c r="BF546" s="10"/>
      <c r="BG546" s="10"/>
      <c r="BH546" s="10"/>
      <c r="BI546" s="10"/>
      <c r="BJ546" s="10"/>
      <c r="BK546" s="10"/>
      <c r="BL546" s="10"/>
      <c r="BM546" s="10"/>
      <c r="BN546" s="10"/>
      <c r="BO546" s="10"/>
      <c r="BP546" s="10"/>
      <c r="BQ546" s="10"/>
      <c r="BR546" s="10"/>
      <c r="BS546" s="10"/>
      <c r="BT546" s="10"/>
      <c r="BU546" s="10"/>
      <c r="BV546" s="10"/>
      <c r="BW546" s="10"/>
      <c r="BX546" s="10"/>
      <c r="BY546" s="10"/>
      <c r="BZ546" s="10"/>
      <c r="CA546" s="10"/>
      <c r="CB546" s="10"/>
      <c r="CC546" s="10"/>
      <c r="CD546" s="10"/>
      <c r="CE546" s="10"/>
      <c r="CF546" s="10"/>
      <c r="CG546" s="10"/>
      <c r="CH546" s="10"/>
      <c r="CI546" s="10"/>
      <c r="CJ546" s="10"/>
      <c r="CK546" s="10"/>
      <c r="CL546" s="10"/>
      <c r="CM546" s="10"/>
      <c r="CN546" s="10"/>
      <c r="CO546" s="10"/>
      <c r="CP546" s="10"/>
      <c r="CQ546" s="10"/>
      <c r="CR546" s="10"/>
      <c r="CS546" s="10"/>
      <c r="CT546" s="10"/>
      <c r="CU546" s="10"/>
      <c r="CV546" s="10"/>
      <c r="CW546" s="10"/>
      <c r="CX546" s="10"/>
      <c r="CY546" s="10"/>
      <c r="CZ546" s="10"/>
      <c r="DA546" s="10"/>
      <c r="DB546" s="10"/>
      <c r="DC546" s="10"/>
      <c r="DD546" s="10"/>
      <c r="DE546" s="10"/>
      <c r="DF546" s="10"/>
      <c r="DG546" s="10"/>
      <c r="DH546" s="10"/>
      <c r="DI546" s="10"/>
      <c r="DJ546" s="10"/>
      <c r="DK546" s="10"/>
      <c r="DL546" s="10"/>
      <c r="DM546" s="10"/>
      <c r="DN546" s="10"/>
      <c r="DO546" s="10"/>
      <c r="DP546" s="10"/>
      <c r="DQ546" s="10"/>
      <c r="DR546" s="10"/>
    </row>
    <row r="547" spans="1:122" x14ac:dyDescent="0.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0"/>
      <c r="BC547" s="10"/>
      <c r="BD547" s="10"/>
      <c r="BE547" s="10"/>
      <c r="BF547" s="10"/>
      <c r="BG547" s="10"/>
      <c r="BH547" s="10"/>
      <c r="BI547" s="10"/>
      <c r="BJ547" s="10"/>
      <c r="BK547" s="10"/>
      <c r="BL547" s="10"/>
      <c r="BM547" s="10"/>
      <c r="BN547" s="10"/>
      <c r="BO547" s="10"/>
      <c r="BP547" s="10"/>
      <c r="BQ547" s="10"/>
      <c r="BR547" s="10"/>
      <c r="BS547" s="10"/>
      <c r="BT547" s="10"/>
      <c r="BU547" s="10"/>
      <c r="BV547" s="10"/>
      <c r="BW547" s="10"/>
      <c r="BX547" s="10"/>
      <c r="BY547" s="10"/>
      <c r="BZ547" s="10"/>
      <c r="CA547" s="10"/>
      <c r="CB547" s="10"/>
      <c r="CC547" s="10"/>
      <c r="CD547" s="10"/>
      <c r="CE547" s="10"/>
      <c r="CF547" s="10"/>
      <c r="CG547" s="10"/>
      <c r="CH547" s="10"/>
      <c r="CI547" s="10"/>
      <c r="CJ547" s="10"/>
      <c r="CK547" s="10"/>
      <c r="CL547" s="10"/>
      <c r="CM547" s="10"/>
      <c r="CN547" s="10"/>
      <c r="CO547" s="10"/>
      <c r="CP547" s="10"/>
      <c r="CQ547" s="10"/>
      <c r="CR547" s="10"/>
      <c r="CS547" s="10"/>
      <c r="CT547" s="10"/>
      <c r="CU547" s="10"/>
      <c r="CV547" s="10"/>
      <c r="CW547" s="10"/>
      <c r="CX547" s="10"/>
      <c r="CY547" s="10"/>
      <c r="CZ547" s="10"/>
      <c r="DA547" s="10"/>
      <c r="DB547" s="10"/>
      <c r="DC547" s="10"/>
      <c r="DD547" s="10"/>
      <c r="DE547" s="10"/>
      <c r="DF547" s="10"/>
      <c r="DG547" s="10"/>
      <c r="DH547" s="10"/>
      <c r="DI547" s="10"/>
      <c r="DJ547" s="10"/>
      <c r="DK547" s="10"/>
      <c r="DL547" s="10"/>
      <c r="DM547" s="10"/>
      <c r="DN547" s="10"/>
      <c r="DO547" s="10"/>
      <c r="DP547" s="10"/>
      <c r="DQ547" s="10"/>
      <c r="DR547" s="10"/>
    </row>
    <row r="548" spans="1:122" x14ac:dyDescent="0.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0"/>
      <c r="BC548" s="10"/>
      <c r="BD548" s="10"/>
      <c r="BE548" s="10"/>
      <c r="BF548" s="10"/>
      <c r="BG548" s="10"/>
      <c r="BH548" s="10"/>
      <c r="BI548" s="10"/>
      <c r="BJ548" s="10"/>
      <c r="BK548" s="10"/>
      <c r="BL548" s="10"/>
      <c r="BM548" s="10"/>
      <c r="BN548" s="10"/>
      <c r="BO548" s="10"/>
      <c r="BP548" s="10"/>
      <c r="BQ548" s="10"/>
      <c r="BR548" s="10"/>
      <c r="BS548" s="10"/>
      <c r="BT548" s="10"/>
      <c r="BU548" s="10"/>
      <c r="BV548" s="10"/>
      <c r="BW548" s="10"/>
      <c r="BX548" s="10"/>
      <c r="BY548" s="10"/>
      <c r="BZ548" s="10"/>
      <c r="CA548" s="10"/>
      <c r="CB548" s="10"/>
      <c r="CC548" s="10"/>
      <c r="CD548" s="10"/>
      <c r="CE548" s="10"/>
      <c r="CF548" s="10"/>
      <c r="CG548" s="10"/>
      <c r="CH548" s="10"/>
      <c r="CI548" s="10"/>
      <c r="CJ548" s="10"/>
      <c r="CK548" s="10"/>
      <c r="CL548" s="10"/>
      <c r="CM548" s="10"/>
      <c r="CN548" s="10"/>
      <c r="CO548" s="10"/>
      <c r="CP548" s="10"/>
      <c r="CQ548" s="10"/>
      <c r="CR548" s="10"/>
      <c r="CS548" s="10"/>
      <c r="CT548" s="10"/>
      <c r="CU548" s="10"/>
      <c r="CV548" s="10"/>
      <c r="CW548" s="10"/>
      <c r="CX548" s="10"/>
      <c r="CY548" s="10"/>
      <c r="CZ548" s="10"/>
      <c r="DA548" s="10"/>
      <c r="DB548" s="10"/>
      <c r="DC548" s="10"/>
      <c r="DD548" s="10"/>
      <c r="DE548" s="10"/>
      <c r="DF548" s="10"/>
      <c r="DG548" s="10"/>
      <c r="DH548" s="10"/>
      <c r="DI548" s="10"/>
      <c r="DJ548" s="10"/>
      <c r="DK548" s="10"/>
      <c r="DL548" s="10"/>
      <c r="DM548" s="10"/>
      <c r="DN548" s="10"/>
      <c r="DO548" s="10"/>
      <c r="DP548" s="10"/>
      <c r="DQ548" s="10"/>
      <c r="DR548" s="10"/>
    </row>
    <row r="549" spans="1:122" x14ac:dyDescent="0.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0"/>
      <c r="BC549" s="10"/>
      <c r="BD549" s="10"/>
      <c r="BE549" s="10"/>
      <c r="BF549" s="10"/>
      <c r="BG549" s="10"/>
      <c r="BH549" s="10"/>
      <c r="BI549" s="10"/>
      <c r="BJ549" s="10"/>
      <c r="BK549" s="10"/>
      <c r="BL549" s="10"/>
      <c r="BM549" s="10"/>
      <c r="BN549" s="10"/>
      <c r="BO549" s="10"/>
      <c r="BP549" s="10"/>
      <c r="BQ549" s="10"/>
      <c r="BR549" s="10"/>
      <c r="BS549" s="10"/>
      <c r="BT549" s="10"/>
      <c r="BU549" s="10"/>
      <c r="BV549" s="10"/>
      <c r="BW549" s="10"/>
      <c r="BX549" s="10"/>
      <c r="BY549" s="10"/>
      <c r="BZ549" s="10"/>
      <c r="CA549" s="10"/>
      <c r="CB549" s="10"/>
      <c r="CC549" s="10"/>
      <c r="CD549" s="10"/>
      <c r="CE549" s="10"/>
      <c r="CF549" s="10"/>
      <c r="CG549" s="10"/>
      <c r="CH549" s="10"/>
      <c r="CI549" s="10"/>
      <c r="CJ549" s="10"/>
      <c r="CK549" s="10"/>
      <c r="CL549" s="10"/>
      <c r="CM549" s="10"/>
      <c r="CN549" s="10"/>
      <c r="CO549" s="10"/>
      <c r="CP549" s="10"/>
      <c r="CQ549" s="10"/>
      <c r="CR549" s="10"/>
      <c r="CS549" s="10"/>
      <c r="CT549" s="10"/>
      <c r="CU549" s="10"/>
      <c r="CV549" s="10"/>
      <c r="CW549" s="10"/>
      <c r="CX549" s="10"/>
      <c r="CY549" s="10"/>
      <c r="CZ549" s="10"/>
      <c r="DA549" s="10"/>
      <c r="DB549" s="10"/>
      <c r="DC549" s="10"/>
      <c r="DD549" s="10"/>
      <c r="DE549" s="10"/>
      <c r="DF549" s="10"/>
      <c r="DG549" s="10"/>
      <c r="DH549" s="10"/>
      <c r="DI549" s="10"/>
      <c r="DJ549" s="10"/>
      <c r="DK549" s="10"/>
      <c r="DL549" s="10"/>
      <c r="DM549" s="10"/>
      <c r="DN549" s="10"/>
      <c r="DO549" s="10"/>
      <c r="DP549" s="10"/>
      <c r="DQ549" s="10"/>
      <c r="DR549" s="10"/>
    </row>
    <row r="550" spans="1:122" x14ac:dyDescent="0.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0"/>
      <c r="BC550" s="10"/>
      <c r="BD550" s="10"/>
      <c r="BE550" s="10"/>
      <c r="BF550" s="10"/>
      <c r="BG550" s="10"/>
      <c r="BH550" s="10"/>
      <c r="BI550" s="10"/>
      <c r="BJ550" s="10"/>
      <c r="BK550" s="10"/>
      <c r="BL550" s="10"/>
      <c r="BM550" s="10"/>
      <c r="BN550" s="10"/>
      <c r="BO550" s="10"/>
      <c r="BP550" s="10"/>
      <c r="BQ550" s="10"/>
      <c r="BR550" s="10"/>
      <c r="BS550" s="10"/>
      <c r="BT550" s="10"/>
      <c r="BU550" s="10"/>
      <c r="BV550" s="10"/>
      <c r="BW550" s="10"/>
      <c r="BX550" s="10"/>
      <c r="BY550" s="10"/>
      <c r="BZ550" s="10"/>
      <c r="CA550" s="10"/>
      <c r="CB550" s="10"/>
      <c r="CC550" s="10"/>
      <c r="CD550" s="10"/>
      <c r="CE550" s="10"/>
      <c r="CF550" s="10"/>
      <c r="CG550" s="10"/>
      <c r="CH550" s="10"/>
      <c r="CI550" s="10"/>
      <c r="CJ550" s="10"/>
      <c r="CK550" s="10"/>
      <c r="CL550" s="10"/>
      <c r="CM550" s="10"/>
      <c r="CN550" s="10"/>
      <c r="CO550" s="10"/>
      <c r="CP550" s="10"/>
      <c r="CQ550" s="10"/>
      <c r="CR550" s="10"/>
      <c r="CS550" s="10"/>
      <c r="CT550" s="10"/>
      <c r="CU550" s="10"/>
      <c r="CV550" s="10"/>
      <c r="CW550" s="10"/>
      <c r="CX550" s="10"/>
      <c r="CY550" s="10"/>
      <c r="CZ550" s="10"/>
      <c r="DA550" s="10"/>
      <c r="DB550" s="10"/>
      <c r="DC550" s="10"/>
      <c r="DD550" s="10"/>
      <c r="DE550" s="10"/>
      <c r="DF550" s="10"/>
      <c r="DG550" s="10"/>
      <c r="DH550" s="10"/>
      <c r="DI550" s="10"/>
      <c r="DJ550" s="10"/>
      <c r="DK550" s="10"/>
      <c r="DL550" s="10"/>
      <c r="DM550" s="10"/>
      <c r="DN550" s="10"/>
      <c r="DO550" s="10"/>
      <c r="DP550" s="10"/>
      <c r="DQ550" s="10"/>
      <c r="DR550" s="10"/>
    </row>
    <row r="551" spans="1:122" x14ac:dyDescent="0.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0"/>
      <c r="BC551" s="10"/>
      <c r="BD551" s="10"/>
      <c r="BE551" s="10"/>
      <c r="BF551" s="10"/>
      <c r="BG551" s="10"/>
      <c r="BH551" s="10"/>
      <c r="BI551" s="10"/>
      <c r="BJ551" s="10"/>
      <c r="BK551" s="10"/>
      <c r="BL551" s="10"/>
      <c r="BM551" s="10"/>
      <c r="BN551" s="10"/>
      <c r="BO551" s="10"/>
      <c r="BP551" s="10"/>
      <c r="BQ551" s="10"/>
      <c r="BR551" s="10"/>
      <c r="BS551" s="10"/>
      <c r="BT551" s="10"/>
      <c r="BU551" s="10"/>
      <c r="BV551" s="10"/>
      <c r="BW551" s="10"/>
      <c r="BX551" s="10"/>
      <c r="BY551" s="10"/>
      <c r="BZ551" s="10"/>
      <c r="CA551" s="10"/>
      <c r="CB551" s="10"/>
      <c r="CC551" s="10"/>
      <c r="CD551" s="10"/>
      <c r="CE551" s="10"/>
      <c r="CF551" s="10"/>
      <c r="CG551" s="10"/>
      <c r="CH551" s="10"/>
      <c r="CI551" s="10"/>
      <c r="CJ551" s="10"/>
      <c r="CK551" s="10"/>
      <c r="CL551" s="10"/>
      <c r="CM551" s="10"/>
      <c r="CN551" s="10"/>
      <c r="CO551" s="10"/>
      <c r="CP551" s="10"/>
      <c r="CQ551" s="10"/>
      <c r="CR551" s="10"/>
      <c r="CS551" s="10"/>
      <c r="CT551" s="10"/>
      <c r="CU551" s="10"/>
      <c r="CV551" s="10"/>
      <c r="CW551" s="10"/>
      <c r="CX551" s="10"/>
      <c r="CY551" s="10"/>
      <c r="CZ551" s="10"/>
      <c r="DA551" s="10"/>
      <c r="DB551" s="10"/>
      <c r="DC551" s="10"/>
      <c r="DD551" s="10"/>
      <c r="DE551" s="10"/>
      <c r="DF551" s="10"/>
      <c r="DG551" s="10"/>
      <c r="DH551" s="10"/>
      <c r="DI551" s="10"/>
      <c r="DJ551" s="10"/>
      <c r="DK551" s="10"/>
      <c r="DL551" s="10"/>
      <c r="DM551" s="10"/>
      <c r="DN551" s="10"/>
      <c r="DO551" s="10"/>
      <c r="DP551" s="10"/>
      <c r="DQ551" s="10"/>
      <c r="DR551" s="10"/>
    </row>
    <row r="552" spans="1:122" x14ac:dyDescent="0.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0"/>
      <c r="BC552" s="10"/>
      <c r="BD552" s="10"/>
      <c r="BE552" s="10"/>
      <c r="BF552" s="10"/>
      <c r="BG552" s="10"/>
      <c r="BH552" s="10"/>
      <c r="BI552" s="10"/>
      <c r="BJ552" s="10"/>
      <c r="BK552" s="10"/>
      <c r="BL552" s="10"/>
      <c r="BM552" s="10"/>
      <c r="BN552" s="10"/>
      <c r="BO552" s="10"/>
      <c r="BP552" s="10"/>
      <c r="BQ552" s="10"/>
      <c r="BR552" s="10"/>
      <c r="BS552" s="10"/>
      <c r="BT552" s="10"/>
      <c r="BU552" s="10"/>
      <c r="BV552" s="10"/>
      <c r="BW552" s="10"/>
      <c r="BX552" s="10"/>
      <c r="BY552" s="10"/>
      <c r="BZ552" s="10"/>
      <c r="CA552" s="10"/>
      <c r="CB552" s="10"/>
      <c r="CC552" s="10"/>
      <c r="CD552" s="10"/>
      <c r="CE552" s="10"/>
      <c r="CF552" s="10"/>
      <c r="CG552" s="10"/>
      <c r="CH552" s="10"/>
      <c r="CI552" s="10"/>
      <c r="CJ552" s="10"/>
      <c r="CK552" s="10"/>
      <c r="CL552" s="10"/>
      <c r="CM552" s="10"/>
      <c r="CN552" s="10"/>
      <c r="CO552" s="10"/>
      <c r="CP552" s="10"/>
      <c r="CQ552" s="10"/>
      <c r="CR552" s="10"/>
      <c r="CS552" s="10"/>
      <c r="CT552" s="10"/>
      <c r="CU552" s="10"/>
      <c r="CV552" s="10"/>
      <c r="CW552" s="10"/>
      <c r="CX552" s="10"/>
      <c r="CY552" s="10"/>
      <c r="CZ552" s="10"/>
      <c r="DA552" s="10"/>
      <c r="DB552" s="10"/>
      <c r="DC552" s="10"/>
      <c r="DD552" s="10"/>
      <c r="DE552" s="10"/>
      <c r="DF552" s="10"/>
      <c r="DG552" s="10"/>
      <c r="DH552" s="10"/>
      <c r="DI552" s="10"/>
      <c r="DJ552" s="10"/>
      <c r="DK552" s="10"/>
      <c r="DL552" s="10"/>
      <c r="DM552" s="10"/>
      <c r="DN552" s="10"/>
      <c r="DO552" s="10"/>
      <c r="DP552" s="10"/>
      <c r="DQ552" s="10"/>
      <c r="DR552" s="10"/>
    </row>
    <row r="553" spans="1:122" x14ac:dyDescent="0.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0"/>
      <c r="BC553" s="10"/>
      <c r="BD553" s="10"/>
      <c r="BE553" s="10"/>
      <c r="BF553" s="10"/>
      <c r="BG553" s="10"/>
      <c r="BH553" s="10"/>
      <c r="BI553" s="10"/>
      <c r="BJ553" s="10"/>
      <c r="BK553" s="10"/>
      <c r="BL553" s="10"/>
      <c r="BM553" s="10"/>
      <c r="BN553" s="10"/>
      <c r="BO553" s="10"/>
      <c r="BP553" s="10"/>
      <c r="BQ553" s="10"/>
      <c r="BR553" s="10"/>
      <c r="BS553" s="10"/>
      <c r="BT553" s="10"/>
      <c r="BU553" s="10"/>
      <c r="BV553" s="10"/>
      <c r="BW553" s="10"/>
      <c r="BX553" s="10"/>
      <c r="BY553" s="10"/>
      <c r="BZ553" s="10"/>
      <c r="CA553" s="10"/>
      <c r="CB553" s="10"/>
      <c r="CC553" s="10"/>
      <c r="CD553" s="10"/>
      <c r="CE553" s="10"/>
      <c r="CF553" s="10"/>
      <c r="CG553" s="10"/>
      <c r="CH553" s="10"/>
      <c r="CI553" s="10"/>
      <c r="CJ553" s="10"/>
      <c r="CK553" s="10"/>
      <c r="CL553" s="10"/>
      <c r="CM553" s="10"/>
      <c r="CN553" s="10"/>
      <c r="CO553" s="10"/>
      <c r="CP553" s="10"/>
      <c r="CQ553" s="10"/>
      <c r="CR553" s="10"/>
      <c r="CS553" s="10"/>
      <c r="CT553" s="10"/>
      <c r="CU553" s="10"/>
      <c r="CV553" s="10"/>
      <c r="CW553" s="10"/>
      <c r="CX553" s="10"/>
      <c r="CY553" s="10"/>
      <c r="CZ553" s="10"/>
      <c r="DA553" s="10"/>
      <c r="DB553" s="10"/>
      <c r="DC553" s="10"/>
      <c r="DD553" s="10"/>
      <c r="DE553" s="10"/>
      <c r="DF553" s="10"/>
      <c r="DG553" s="10"/>
      <c r="DH553" s="10"/>
      <c r="DI553" s="10"/>
      <c r="DJ553" s="10"/>
      <c r="DK553" s="10"/>
      <c r="DL553" s="10"/>
      <c r="DM553" s="10"/>
      <c r="DN553" s="10"/>
      <c r="DO553" s="10"/>
      <c r="DP553" s="10"/>
      <c r="DQ553" s="10"/>
      <c r="DR553" s="10"/>
    </row>
    <row r="554" spans="1:122" x14ac:dyDescent="0.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0"/>
      <c r="BC554" s="10"/>
      <c r="BD554" s="10"/>
      <c r="BE554" s="10"/>
      <c r="BF554" s="10"/>
      <c r="BG554" s="10"/>
      <c r="BH554" s="10"/>
      <c r="BI554" s="10"/>
      <c r="BJ554" s="10"/>
      <c r="BK554" s="10"/>
      <c r="BL554" s="10"/>
      <c r="BM554" s="10"/>
      <c r="BN554" s="10"/>
      <c r="BO554" s="10"/>
      <c r="BP554" s="10"/>
      <c r="BQ554" s="10"/>
      <c r="BR554" s="10"/>
      <c r="BS554" s="10"/>
      <c r="BT554" s="10"/>
      <c r="BU554" s="10"/>
      <c r="BV554" s="10"/>
      <c r="BW554" s="10"/>
      <c r="BX554" s="10"/>
      <c r="BY554" s="10"/>
      <c r="BZ554" s="10"/>
      <c r="CA554" s="10"/>
      <c r="CB554" s="10"/>
      <c r="CC554" s="10"/>
      <c r="CD554" s="10"/>
      <c r="CE554" s="10"/>
      <c r="CF554" s="10"/>
      <c r="CG554" s="10"/>
      <c r="CH554" s="10"/>
      <c r="CI554" s="10"/>
      <c r="CJ554" s="10"/>
      <c r="CK554" s="10"/>
      <c r="CL554" s="10"/>
      <c r="CM554" s="10"/>
      <c r="CN554" s="10"/>
      <c r="CO554" s="10"/>
      <c r="CP554" s="10"/>
      <c r="CQ554" s="10"/>
      <c r="CR554" s="10"/>
      <c r="CS554" s="10"/>
      <c r="CT554" s="10"/>
      <c r="CU554" s="10"/>
      <c r="CV554" s="10"/>
      <c r="CW554" s="10"/>
      <c r="CX554" s="10"/>
      <c r="CY554" s="10"/>
      <c r="CZ554" s="10"/>
      <c r="DA554" s="10"/>
      <c r="DB554" s="10"/>
      <c r="DC554" s="10"/>
      <c r="DD554" s="10"/>
      <c r="DE554" s="10"/>
      <c r="DF554" s="10"/>
      <c r="DG554" s="10"/>
      <c r="DH554" s="10"/>
      <c r="DI554" s="10"/>
      <c r="DJ554" s="10"/>
      <c r="DK554" s="10"/>
      <c r="DL554" s="10"/>
      <c r="DM554" s="10"/>
      <c r="DN554" s="10"/>
      <c r="DO554" s="10"/>
      <c r="DP554" s="10"/>
      <c r="DQ554" s="10"/>
      <c r="DR554" s="10"/>
    </row>
    <row r="555" spans="1:122" x14ac:dyDescent="0.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0"/>
      <c r="BC555" s="10"/>
      <c r="BD555" s="10"/>
      <c r="BE555" s="10"/>
      <c r="BF555" s="10"/>
      <c r="BG555" s="10"/>
      <c r="BH555" s="10"/>
      <c r="BI555" s="10"/>
      <c r="BJ555" s="10"/>
      <c r="BK555" s="10"/>
      <c r="BL555" s="10"/>
      <c r="BM555" s="10"/>
      <c r="BN555" s="10"/>
      <c r="BO555" s="10"/>
      <c r="BP555" s="10"/>
      <c r="BQ555" s="10"/>
      <c r="BR555" s="10"/>
      <c r="BS555" s="10"/>
      <c r="BT555" s="10"/>
      <c r="BU555" s="10"/>
      <c r="BV555" s="10"/>
      <c r="BW555" s="10"/>
      <c r="BX555" s="10"/>
      <c r="BY555" s="10"/>
      <c r="BZ555" s="10"/>
      <c r="CA555" s="10"/>
      <c r="CB555" s="10"/>
      <c r="CC555" s="10"/>
      <c r="CD555" s="10"/>
      <c r="CE555" s="10"/>
      <c r="CF555" s="10"/>
      <c r="CG555" s="10"/>
      <c r="CH555" s="10"/>
      <c r="CI555" s="10"/>
      <c r="CJ555" s="10"/>
      <c r="CK555" s="10"/>
      <c r="CL555" s="10"/>
      <c r="CM555" s="10"/>
      <c r="CN555" s="10"/>
      <c r="CO555" s="10"/>
      <c r="CP555" s="10"/>
      <c r="CQ555" s="10"/>
      <c r="CR555" s="10"/>
      <c r="CS555" s="10"/>
      <c r="CT555" s="10"/>
      <c r="CU555" s="10"/>
      <c r="CV555" s="10"/>
      <c r="CW555" s="10"/>
      <c r="CX555" s="10"/>
      <c r="CY555" s="10"/>
      <c r="CZ555" s="10"/>
      <c r="DA555" s="10"/>
      <c r="DB555" s="10"/>
      <c r="DC555" s="10"/>
      <c r="DD555" s="10"/>
      <c r="DE555" s="10"/>
      <c r="DF555" s="10"/>
      <c r="DG555" s="10"/>
      <c r="DH555" s="10"/>
      <c r="DI555" s="10"/>
      <c r="DJ555" s="10"/>
      <c r="DK555" s="10"/>
      <c r="DL555" s="10"/>
      <c r="DM555" s="10"/>
      <c r="DN555" s="10"/>
      <c r="DO555" s="10"/>
      <c r="DP555" s="10"/>
      <c r="DQ555" s="10"/>
      <c r="DR555" s="10"/>
    </row>
    <row r="556" spans="1:122" x14ac:dyDescent="0.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0"/>
      <c r="BC556" s="10"/>
      <c r="BD556" s="10"/>
      <c r="BE556" s="10"/>
      <c r="BF556" s="10"/>
      <c r="BG556" s="10"/>
      <c r="BH556" s="10"/>
      <c r="BI556" s="10"/>
      <c r="BJ556" s="10"/>
      <c r="BK556" s="10"/>
      <c r="BL556" s="10"/>
      <c r="BM556" s="10"/>
      <c r="BN556" s="10"/>
      <c r="BO556" s="10"/>
      <c r="BP556" s="10"/>
      <c r="BQ556" s="10"/>
      <c r="BR556" s="10"/>
      <c r="BS556" s="10"/>
      <c r="BT556" s="10"/>
      <c r="BU556" s="10"/>
      <c r="BV556" s="10"/>
      <c r="BW556" s="10"/>
      <c r="BX556" s="10"/>
      <c r="BY556" s="10"/>
      <c r="BZ556" s="10"/>
      <c r="CA556" s="10"/>
      <c r="CB556" s="10"/>
      <c r="CC556" s="10"/>
      <c r="CD556" s="10"/>
      <c r="CE556" s="10"/>
      <c r="CF556" s="10"/>
      <c r="CG556" s="10"/>
      <c r="CH556" s="10"/>
      <c r="CI556" s="10"/>
      <c r="CJ556" s="10"/>
      <c r="CK556" s="10"/>
      <c r="CL556" s="10"/>
      <c r="CM556" s="10"/>
      <c r="CN556" s="10"/>
      <c r="CO556" s="10"/>
      <c r="CP556" s="10"/>
      <c r="CQ556" s="10"/>
      <c r="CR556" s="10"/>
      <c r="CS556" s="10"/>
      <c r="CT556" s="10"/>
      <c r="CU556" s="10"/>
      <c r="CV556" s="10"/>
      <c r="CW556" s="10"/>
      <c r="CX556" s="10"/>
      <c r="CY556" s="10"/>
      <c r="CZ556" s="10"/>
      <c r="DA556" s="10"/>
      <c r="DB556" s="10"/>
      <c r="DC556" s="10"/>
      <c r="DD556" s="10"/>
      <c r="DE556" s="10"/>
      <c r="DF556" s="10"/>
      <c r="DG556" s="10"/>
      <c r="DH556" s="10"/>
      <c r="DI556" s="10"/>
      <c r="DJ556" s="10"/>
      <c r="DK556" s="10"/>
      <c r="DL556" s="10"/>
      <c r="DM556" s="10"/>
      <c r="DN556" s="10"/>
      <c r="DO556" s="10"/>
      <c r="DP556" s="10"/>
      <c r="DQ556" s="10"/>
      <c r="DR556" s="10"/>
    </row>
    <row r="557" spans="1:122" x14ac:dyDescent="0.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0"/>
      <c r="BC557" s="10"/>
      <c r="BD557" s="10"/>
      <c r="BE557" s="10"/>
      <c r="BF557" s="10"/>
      <c r="BG557" s="10"/>
      <c r="BH557" s="10"/>
      <c r="BI557" s="10"/>
      <c r="BJ557" s="10"/>
      <c r="BK557" s="10"/>
      <c r="BL557" s="10"/>
      <c r="BM557" s="10"/>
      <c r="BN557" s="10"/>
      <c r="BO557" s="10"/>
      <c r="BP557" s="10"/>
      <c r="BQ557" s="10"/>
      <c r="BR557" s="10"/>
      <c r="BS557" s="10"/>
      <c r="BT557" s="10"/>
      <c r="BU557" s="10"/>
      <c r="BV557" s="10"/>
      <c r="BW557" s="10"/>
      <c r="BX557" s="10"/>
      <c r="BY557" s="10"/>
      <c r="BZ557" s="10"/>
      <c r="CA557" s="10"/>
      <c r="CB557" s="10"/>
      <c r="CC557" s="10"/>
      <c r="CD557" s="10"/>
      <c r="CE557" s="10"/>
      <c r="CF557" s="10"/>
      <c r="CG557" s="10"/>
      <c r="CH557" s="10"/>
      <c r="CI557" s="10"/>
      <c r="CJ557" s="10"/>
      <c r="CK557" s="10"/>
      <c r="CL557" s="10"/>
      <c r="CM557" s="10"/>
      <c r="CN557" s="10"/>
      <c r="CO557" s="10"/>
      <c r="CP557" s="10"/>
      <c r="CQ557" s="10"/>
      <c r="CR557" s="10"/>
      <c r="CS557" s="10"/>
      <c r="CT557" s="10"/>
      <c r="CU557" s="10"/>
      <c r="CV557" s="10"/>
      <c r="CW557" s="10"/>
      <c r="CX557" s="10"/>
      <c r="CY557" s="10"/>
      <c r="CZ557" s="10"/>
      <c r="DA557" s="10"/>
      <c r="DB557" s="10"/>
      <c r="DC557" s="10"/>
      <c r="DD557" s="10"/>
      <c r="DE557" s="10"/>
      <c r="DF557" s="10"/>
      <c r="DG557" s="10"/>
      <c r="DH557" s="10"/>
      <c r="DI557" s="10"/>
      <c r="DJ557" s="10"/>
      <c r="DK557" s="10"/>
      <c r="DL557" s="10"/>
      <c r="DM557" s="10"/>
      <c r="DN557" s="10"/>
      <c r="DO557" s="10"/>
      <c r="DP557" s="10"/>
      <c r="DQ557" s="10"/>
      <c r="DR557" s="10"/>
    </row>
    <row r="558" spans="1:122" x14ac:dyDescent="0.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0"/>
      <c r="BC558" s="10"/>
      <c r="BD558" s="10"/>
      <c r="BE558" s="10"/>
      <c r="BF558" s="10"/>
      <c r="BG558" s="10"/>
      <c r="BH558" s="10"/>
      <c r="BI558" s="10"/>
      <c r="BJ558" s="10"/>
      <c r="BK558" s="10"/>
      <c r="BL558" s="10"/>
      <c r="BM558" s="10"/>
      <c r="BN558" s="10"/>
      <c r="BO558" s="10"/>
      <c r="BP558" s="10"/>
      <c r="BQ558" s="10"/>
      <c r="BR558" s="10"/>
      <c r="BS558" s="10"/>
      <c r="BT558" s="10"/>
      <c r="BU558" s="10"/>
      <c r="BV558" s="10"/>
      <c r="BW558" s="10"/>
      <c r="BX558" s="10"/>
      <c r="BY558" s="10"/>
      <c r="BZ558" s="10"/>
      <c r="CA558" s="10"/>
      <c r="CB558" s="10"/>
      <c r="CC558" s="10"/>
      <c r="CD558" s="10"/>
      <c r="CE558" s="10"/>
      <c r="CF558" s="10"/>
      <c r="CG558" s="10"/>
      <c r="CH558" s="10"/>
      <c r="CI558" s="10"/>
      <c r="CJ558" s="10"/>
      <c r="CK558" s="10"/>
      <c r="CL558" s="10"/>
      <c r="CM558" s="10"/>
      <c r="CN558" s="10"/>
      <c r="CO558" s="10"/>
      <c r="CP558" s="10"/>
      <c r="CQ558" s="10"/>
      <c r="CR558" s="10"/>
      <c r="CS558" s="10"/>
      <c r="CT558" s="10"/>
      <c r="CU558" s="10"/>
      <c r="CV558" s="10"/>
      <c r="CW558" s="10"/>
      <c r="CX558" s="10"/>
      <c r="CY558" s="10"/>
      <c r="CZ558" s="10"/>
      <c r="DA558" s="10"/>
      <c r="DB558" s="10"/>
      <c r="DC558" s="10"/>
      <c r="DD558" s="10"/>
      <c r="DE558" s="10"/>
      <c r="DF558" s="10"/>
      <c r="DG558" s="10"/>
      <c r="DH558" s="10"/>
      <c r="DI558" s="10"/>
      <c r="DJ558" s="10"/>
      <c r="DK558" s="10"/>
      <c r="DL558" s="10"/>
      <c r="DM558" s="10"/>
      <c r="DN558" s="10"/>
      <c r="DO558" s="10"/>
      <c r="DP558" s="10"/>
      <c r="DQ558" s="10"/>
      <c r="DR558" s="10"/>
    </row>
    <row r="559" spans="1:122" x14ac:dyDescent="0.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0"/>
      <c r="BC559" s="10"/>
      <c r="BD559" s="10"/>
      <c r="BE559" s="10"/>
      <c r="BF559" s="10"/>
      <c r="BG559" s="10"/>
      <c r="BH559" s="10"/>
      <c r="BI559" s="10"/>
      <c r="BJ559" s="10"/>
      <c r="BK559" s="10"/>
      <c r="BL559" s="10"/>
      <c r="BM559" s="10"/>
      <c r="BN559" s="10"/>
      <c r="BO559" s="10"/>
      <c r="BP559" s="10"/>
      <c r="BQ559" s="10"/>
      <c r="BR559" s="10"/>
      <c r="BS559" s="10"/>
      <c r="BT559" s="10"/>
      <c r="BU559" s="10"/>
      <c r="BV559" s="10"/>
      <c r="BW559" s="10"/>
      <c r="BX559" s="10"/>
      <c r="BY559" s="10"/>
      <c r="BZ559" s="10"/>
      <c r="CA559" s="10"/>
      <c r="CB559" s="10"/>
      <c r="CC559" s="10"/>
      <c r="CD559" s="10"/>
      <c r="CE559" s="10"/>
      <c r="CF559" s="10"/>
      <c r="CG559" s="10"/>
      <c r="CH559" s="10"/>
      <c r="CI559" s="10"/>
      <c r="CJ559" s="10"/>
      <c r="CK559" s="10"/>
      <c r="CL559" s="10"/>
      <c r="CM559" s="10"/>
      <c r="CN559" s="10"/>
      <c r="CO559" s="10"/>
      <c r="CP559" s="10"/>
      <c r="CQ559" s="10"/>
      <c r="CR559" s="10"/>
      <c r="CS559" s="10"/>
      <c r="CT559" s="10"/>
      <c r="CU559" s="10"/>
      <c r="CV559" s="10"/>
      <c r="CW559" s="10"/>
      <c r="CX559" s="10"/>
      <c r="CY559" s="10"/>
      <c r="CZ559" s="10"/>
      <c r="DA559" s="10"/>
      <c r="DB559" s="10"/>
      <c r="DC559" s="10"/>
      <c r="DD559" s="10"/>
      <c r="DE559" s="10"/>
      <c r="DF559" s="10"/>
      <c r="DG559" s="10"/>
      <c r="DH559" s="10"/>
      <c r="DI559" s="10"/>
      <c r="DJ559" s="10"/>
      <c r="DK559" s="10"/>
      <c r="DL559" s="10"/>
      <c r="DM559" s="10"/>
      <c r="DN559" s="10"/>
      <c r="DO559" s="10"/>
      <c r="DP559" s="10"/>
      <c r="DQ559" s="10"/>
      <c r="DR559" s="10"/>
    </row>
    <row r="560" spans="1:122" x14ac:dyDescent="0.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0"/>
      <c r="BC560" s="10"/>
      <c r="BD560" s="10"/>
      <c r="BE560" s="10"/>
      <c r="BF560" s="10"/>
      <c r="BG560" s="10"/>
      <c r="BH560" s="10"/>
      <c r="BI560" s="10"/>
      <c r="BJ560" s="10"/>
      <c r="BK560" s="10"/>
      <c r="BL560" s="10"/>
      <c r="BM560" s="10"/>
      <c r="BN560" s="10"/>
      <c r="BO560" s="10"/>
      <c r="BP560" s="10"/>
      <c r="BQ560" s="10"/>
      <c r="BR560" s="10"/>
      <c r="BS560" s="10"/>
      <c r="BT560" s="10"/>
      <c r="BU560" s="10"/>
      <c r="BV560" s="10"/>
      <c r="BW560" s="10"/>
      <c r="BX560" s="10"/>
      <c r="BY560" s="10"/>
      <c r="BZ560" s="10"/>
      <c r="CA560" s="10"/>
      <c r="CB560" s="10"/>
      <c r="CC560" s="10"/>
      <c r="CD560" s="10"/>
      <c r="CE560" s="10"/>
      <c r="CF560" s="10"/>
      <c r="CG560" s="10"/>
      <c r="CH560" s="10"/>
      <c r="CI560" s="10"/>
      <c r="CJ560" s="10"/>
      <c r="CK560" s="10"/>
      <c r="CL560" s="10"/>
      <c r="CM560" s="10"/>
      <c r="CN560" s="10"/>
      <c r="CO560" s="10"/>
      <c r="CP560" s="10"/>
      <c r="CQ560" s="10"/>
      <c r="CR560" s="10"/>
      <c r="CS560" s="10"/>
      <c r="CT560" s="10"/>
      <c r="CU560" s="10"/>
      <c r="CV560" s="10"/>
      <c r="CW560" s="10"/>
      <c r="CX560" s="10"/>
      <c r="CY560" s="10"/>
      <c r="CZ560" s="10"/>
      <c r="DA560" s="10"/>
      <c r="DB560" s="10"/>
      <c r="DC560" s="10"/>
      <c r="DD560" s="10"/>
      <c r="DE560" s="10"/>
      <c r="DF560" s="10"/>
      <c r="DG560" s="10"/>
      <c r="DH560" s="10"/>
      <c r="DI560" s="10"/>
      <c r="DJ560" s="10"/>
      <c r="DK560" s="10"/>
      <c r="DL560" s="10"/>
      <c r="DM560" s="10"/>
      <c r="DN560" s="10"/>
      <c r="DO560" s="10"/>
      <c r="DP560" s="10"/>
      <c r="DQ560" s="10"/>
      <c r="DR560" s="10"/>
    </row>
    <row r="561" spans="1:122" x14ac:dyDescent="0.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0"/>
      <c r="BC561" s="10"/>
      <c r="BD561" s="10"/>
      <c r="BE561" s="10"/>
      <c r="BF561" s="10"/>
      <c r="BG561" s="10"/>
      <c r="BH561" s="10"/>
      <c r="BI561" s="10"/>
      <c r="BJ561" s="10"/>
      <c r="BK561" s="10"/>
      <c r="BL561" s="10"/>
      <c r="BM561" s="10"/>
      <c r="BN561" s="10"/>
      <c r="BO561" s="10"/>
      <c r="BP561" s="10"/>
      <c r="BQ561" s="10"/>
      <c r="BR561" s="10"/>
      <c r="BS561" s="10"/>
      <c r="BT561" s="10"/>
      <c r="BU561" s="10"/>
      <c r="BV561" s="10"/>
      <c r="BW561" s="10"/>
      <c r="BX561" s="10"/>
      <c r="BY561" s="10"/>
      <c r="BZ561" s="10"/>
      <c r="CA561" s="10"/>
      <c r="CB561" s="10"/>
      <c r="CC561" s="10"/>
      <c r="CD561" s="10"/>
      <c r="CE561" s="10"/>
      <c r="CF561" s="10"/>
      <c r="CG561" s="10"/>
      <c r="CH561" s="10"/>
      <c r="CI561" s="10"/>
      <c r="CJ561" s="10"/>
      <c r="CK561" s="10"/>
      <c r="CL561" s="10"/>
      <c r="CM561" s="10"/>
      <c r="CN561" s="10"/>
      <c r="CO561" s="10"/>
      <c r="CP561" s="10"/>
      <c r="CQ561" s="10"/>
      <c r="CR561" s="10"/>
      <c r="CS561" s="10"/>
      <c r="CT561" s="10"/>
      <c r="CU561" s="10"/>
      <c r="CV561" s="10"/>
      <c r="CW561" s="10"/>
      <c r="CX561" s="10"/>
      <c r="CY561" s="10"/>
      <c r="CZ561" s="10"/>
      <c r="DA561" s="10"/>
      <c r="DB561" s="10"/>
      <c r="DC561" s="10"/>
      <c r="DD561" s="10"/>
      <c r="DE561" s="10"/>
      <c r="DF561" s="10"/>
      <c r="DG561" s="10"/>
      <c r="DH561" s="10"/>
      <c r="DI561" s="10"/>
      <c r="DJ561" s="10"/>
      <c r="DK561" s="10"/>
      <c r="DL561" s="10"/>
      <c r="DM561" s="10"/>
      <c r="DN561" s="10"/>
      <c r="DO561" s="10"/>
      <c r="DP561" s="10"/>
      <c r="DQ561" s="10"/>
      <c r="DR561" s="10"/>
    </row>
    <row r="562" spans="1:122" x14ac:dyDescent="0.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0"/>
      <c r="BC562" s="10"/>
      <c r="BD562" s="10"/>
      <c r="BE562" s="10"/>
      <c r="BF562" s="10"/>
      <c r="BG562" s="10"/>
      <c r="BH562" s="10"/>
      <c r="BI562" s="10"/>
      <c r="BJ562" s="10"/>
      <c r="BK562" s="10"/>
      <c r="BL562" s="10"/>
      <c r="BM562" s="10"/>
      <c r="BN562" s="10"/>
      <c r="BO562" s="10"/>
      <c r="BP562" s="10"/>
      <c r="BQ562" s="10"/>
      <c r="BR562" s="10"/>
      <c r="BS562" s="10"/>
      <c r="BT562" s="10"/>
      <c r="BU562" s="10"/>
      <c r="BV562" s="10"/>
      <c r="BW562" s="10"/>
      <c r="BX562" s="10"/>
      <c r="BY562" s="10"/>
      <c r="BZ562" s="10"/>
      <c r="CA562" s="10"/>
      <c r="CB562" s="10"/>
      <c r="CC562" s="10"/>
      <c r="CD562" s="10"/>
      <c r="CE562" s="10"/>
      <c r="CF562" s="10"/>
      <c r="CG562" s="10"/>
      <c r="CH562" s="10"/>
      <c r="CI562" s="10"/>
      <c r="CJ562" s="10"/>
      <c r="CK562" s="10"/>
      <c r="CL562" s="10"/>
      <c r="CM562" s="10"/>
      <c r="CN562" s="10"/>
      <c r="CO562" s="10"/>
      <c r="CP562" s="10"/>
      <c r="CQ562" s="10"/>
      <c r="CR562" s="10"/>
      <c r="CS562" s="10"/>
      <c r="CT562" s="10"/>
      <c r="CU562" s="10"/>
      <c r="CV562" s="10"/>
      <c r="CW562" s="10"/>
      <c r="CX562" s="10"/>
      <c r="CY562" s="10"/>
      <c r="CZ562" s="10"/>
      <c r="DA562" s="10"/>
      <c r="DB562" s="10"/>
      <c r="DC562" s="10"/>
      <c r="DD562" s="10"/>
      <c r="DE562" s="10"/>
      <c r="DF562" s="10"/>
      <c r="DG562" s="10"/>
      <c r="DH562" s="10"/>
      <c r="DI562" s="10"/>
      <c r="DJ562" s="10"/>
      <c r="DK562" s="10"/>
      <c r="DL562" s="10"/>
      <c r="DM562" s="10"/>
      <c r="DN562" s="10"/>
      <c r="DO562" s="10"/>
      <c r="DP562" s="10"/>
      <c r="DQ562" s="10"/>
      <c r="DR562" s="10"/>
    </row>
    <row r="563" spans="1:122" x14ac:dyDescent="0.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0"/>
      <c r="BC563" s="10"/>
      <c r="BD563" s="10"/>
      <c r="BE563" s="10"/>
      <c r="BF563" s="10"/>
      <c r="BG563" s="10"/>
      <c r="BH563" s="10"/>
      <c r="BI563" s="10"/>
      <c r="BJ563" s="10"/>
      <c r="BK563" s="10"/>
      <c r="BL563" s="10"/>
      <c r="BM563" s="10"/>
      <c r="BN563" s="10"/>
      <c r="BO563" s="10"/>
      <c r="BP563" s="10"/>
      <c r="BQ563" s="10"/>
      <c r="BR563" s="10"/>
      <c r="BS563" s="10"/>
      <c r="BT563" s="10"/>
      <c r="BU563" s="10"/>
      <c r="BV563" s="10"/>
      <c r="BW563" s="10"/>
      <c r="BX563" s="10"/>
      <c r="BY563" s="10"/>
      <c r="BZ563" s="10"/>
      <c r="CA563" s="10"/>
      <c r="CB563" s="10"/>
      <c r="CC563" s="10"/>
      <c r="CD563" s="10"/>
      <c r="CE563" s="10"/>
      <c r="CF563" s="10"/>
      <c r="CG563" s="10"/>
      <c r="CH563" s="10"/>
      <c r="CI563" s="10"/>
      <c r="CJ563" s="10"/>
      <c r="CK563" s="10"/>
      <c r="CL563" s="10"/>
      <c r="CM563" s="10"/>
      <c r="CN563" s="10"/>
      <c r="CO563" s="10"/>
      <c r="CP563" s="10"/>
      <c r="CQ563" s="10"/>
      <c r="CR563" s="10"/>
      <c r="CS563" s="10"/>
      <c r="CT563" s="10"/>
      <c r="CU563" s="10"/>
      <c r="CV563" s="10"/>
      <c r="CW563" s="10"/>
      <c r="CX563" s="10"/>
      <c r="CY563" s="10"/>
      <c r="CZ563" s="10"/>
      <c r="DA563" s="10"/>
      <c r="DB563" s="10"/>
      <c r="DC563" s="10"/>
      <c r="DD563" s="10"/>
      <c r="DE563" s="10"/>
      <c r="DF563" s="10"/>
      <c r="DG563" s="10"/>
      <c r="DH563" s="10"/>
      <c r="DI563" s="10"/>
      <c r="DJ563" s="10"/>
      <c r="DK563" s="10"/>
      <c r="DL563" s="10"/>
      <c r="DM563" s="10"/>
      <c r="DN563" s="10"/>
      <c r="DO563" s="10"/>
      <c r="DP563" s="10"/>
      <c r="DQ563" s="10"/>
      <c r="DR563" s="10"/>
    </row>
    <row r="564" spans="1:122" x14ac:dyDescent="0.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0"/>
      <c r="BC564" s="10"/>
      <c r="BD564" s="10"/>
      <c r="BE564" s="10"/>
      <c r="BF564" s="10"/>
      <c r="BG564" s="10"/>
      <c r="BH564" s="10"/>
      <c r="BI564" s="10"/>
      <c r="BJ564" s="10"/>
      <c r="BK564" s="10"/>
      <c r="BL564" s="10"/>
      <c r="BM564" s="10"/>
      <c r="BN564" s="10"/>
      <c r="BO564" s="10"/>
      <c r="BP564" s="10"/>
      <c r="BQ564" s="10"/>
      <c r="BR564" s="10"/>
      <c r="BS564" s="10"/>
      <c r="BT564" s="10"/>
      <c r="BU564" s="10"/>
      <c r="BV564" s="10"/>
      <c r="BW564" s="10"/>
      <c r="BX564" s="10"/>
      <c r="BY564" s="10"/>
      <c r="BZ564" s="10"/>
      <c r="CA564" s="10"/>
      <c r="CB564" s="10"/>
      <c r="CC564" s="10"/>
      <c r="CD564" s="10"/>
      <c r="CE564" s="10"/>
      <c r="CF564" s="10"/>
      <c r="CG564" s="10"/>
      <c r="CH564" s="10"/>
      <c r="CI564" s="10"/>
      <c r="CJ564" s="10"/>
      <c r="CK564" s="10"/>
      <c r="CL564" s="10"/>
      <c r="CM564" s="10"/>
      <c r="CN564" s="10"/>
      <c r="CO564" s="10"/>
      <c r="CP564" s="10"/>
      <c r="CQ564" s="10"/>
      <c r="CR564" s="10"/>
      <c r="CS564" s="10"/>
      <c r="CT564" s="10"/>
      <c r="CU564" s="10"/>
      <c r="CV564" s="10"/>
      <c r="CW564" s="10"/>
      <c r="CX564" s="10"/>
      <c r="CY564" s="10"/>
      <c r="CZ564" s="10"/>
      <c r="DA564" s="10"/>
      <c r="DB564" s="10"/>
      <c r="DC564" s="10"/>
      <c r="DD564" s="10"/>
      <c r="DE564" s="10"/>
      <c r="DF564" s="10"/>
      <c r="DG564" s="10"/>
      <c r="DH564" s="10"/>
      <c r="DI564" s="10"/>
      <c r="DJ564" s="10"/>
      <c r="DK564" s="10"/>
      <c r="DL564" s="10"/>
      <c r="DM564" s="10"/>
      <c r="DN564" s="10"/>
      <c r="DO564" s="10"/>
      <c r="DP564" s="10"/>
      <c r="DQ564" s="10"/>
      <c r="DR564" s="10"/>
    </row>
    <row r="565" spans="1:122" x14ac:dyDescent="0.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0"/>
      <c r="BC565" s="10"/>
      <c r="BD565" s="10"/>
      <c r="BE565" s="10"/>
      <c r="BF565" s="10"/>
      <c r="BG565" s="10"/>
      <c r="BH565" s="10"/>
      <c r="BI565" s="10"/>
      <c r="BJ565" s="10"/>
      <c r="BK565" s="10"/>
      <c r="BL565" s="10"/>
      <c r="BM565" s="10"/>
      <c r="BN565" s="10"/>
      <c r="BO565" s="10"/>
      <c r="BP565" s="10"/>
      <c r="BQ565" s="10"/>
      <c r="BR565" s="10"/>
      <c r="BS565" s="10"/>
      <c r="BT565" s="10"/>
      <c r="BU565" s="10"/>
      <c r="BV565" s="10"/>
      <c r="BW565" s="10"/>
      <c r="BX565" s="10"/>
      <c r="BY565" s="10"/>
      <c r="BZ565" s="10"/>
      <c r="CA565" s="10"/>
      <c r="CB565" s="10"/>
      <c r="CC565" s="10"/>
      <c r="CD565" s="10"/>
      <c r="CE565" s="10"/>
      <c r="CF565" s="10"/>
      <c r="CG565" s="10"/>
      <c r="CH565" s="10"/>
      <c r="CI565" s="10"/>
      <c r="CJ565" s="10"/>
      <c r="CK565" s="10"/>
      <c r="CL565" s="10"/>
      <c r="CM565" s="10"/>
      <c r="CN565" s="10"/>
      <c r="CO565" s="10"/>
      <c r="CP565" s="10"/>
      <c r="CQ565" s="10"/>
      <c r="CR565" s="10"/>
      <c r="CS565" s="10"/>
      <c r="CT565" s="10"/>
      <c r="CU565" s="10"/>
      <c r="CV565" s="10"/>
      <c r="CW565" s="10"/>
      <c r="CX565" s="10"/>
      <c r="CY565" s="10"/>
      <c r="CZ565" s="10"/>
      <c r="DA565" s="10"/>
      <c r="DB565" s="10"/>
      <c r="DC565" s="10"/>
      <c r="DD565" s="10"/>
      <c r="DE565" s="10"/>
      <c r="DF565" s="10"/>
      <c r="DG565" s="10"/>
      <c r="DH565" s="10"/>
      <c r="DI565" s="10"/>
      <c r="DJ565" s="10"/>
      <c r="DK565" s="10"/>
      <c r="DL565" s="10"/>
      <c r="DM565" s="10"/>
      <c r="DN565" s="10"/>
      <c r="DO565" s="10"/>
      <c r="DP565" s="10"/>
      <c r="DQ565" s="10"/>
      <c r="DR565" s="10"/>
    </row>
    <row r="566" spans="1:122" x14ac:dyDescent="0.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0"/>
      <c r="BC566" s="10"/>
      <c r="BD566" s="10"/>
      <c r="BE566" s="10"/>
      <c r="BF566" s="10"/>
      <c r="BG566" s="10"/>
      <c r="BH566" s="10"/>
      <c r="BI566" s="10"/>
      <c r="BJ566" s="10"/>
      <c r="BK566" s="10"/>
      <c r="BL566" s="10"/>
      <c r="BM566" s="10"/>
      <c r="BN566" s="10"/>
      <c r="BO566" s="10"/>
      <c r="BP566" s="10"/>
      <c r="BQ566" s="10"/>
      <c r="BR566" s="10"/>
      <c r="BS566" s="10"/>
      <c r="BT566" s="10"/>
      <c r="BU566" s="10"/>
      <c r="BV566" s="10"/>
      <c r="BW566" s="10"/>
      <c r="BX566" s="10"/>
      <c r="BY566" s="10"/>
      <c r="BZ566" s="10"/>
      <c r="CA566" s="10"/>
      <c r="CB566" s="10"/>
      <c r="CC566" s="10"/>
      <c r="CD566" s="10"/>
      <c r="CE566" s="10"/>
      <c r="CF566" s="10"/>
      <c r="CG566" s="10"/>
      <c r="CH566" s="10"/>
      <c r="CI566" s="10"/>
      <c r="CJ566" s="10"/>
      <c r="CK566" s="10"/>
      <c r="CL566" s="10"/>
      <c r="CM566" s="10"/>
      <c r="CN566" s="10"/>
      <c r="CO566" s="10"/>
      <c r="CP566" s="10"/>
      <c r="CQ566" s="10"/>
      <c r="CR566" s="10"/>
      <c r="CS566" s="10"/>
      <c r="CT566" s="10"/>
      <c r="CU566" s="10"/>
      <c r="CV566" s="10"/>
      <c r="CW566" s="10"/>
      <c r="CX566" s="10"/>
      <c r="CY566" s="10"/>
      <c r="CZ566" s="10"/>
      <c r="DA566" s="10"/>
      <c r="DB566" s="10"/>
      <c r="DC566" s="10"/>
      <c r="DD566" s="10"/>
      <c r="DE566" s="10"/>
      <c r="DF566" s="10"/>
      <c r="DG566" s="10"/>
      <c r="DH566" s="10"/>
      <c r="DI566" s="10"/>
      <c r="DJ566" s="10"/>
      <c r="DK566" s="10"/>
      <c r="DL566" s="10"/>
      <c r="DM566" s="10"/>
      <c r="DN566" s="10"/>
      <c r="DO566" s="10"/>
      <c r="DP566" s="10"/>
      <c r="DQ566" s="10"/>
      <c r="DR566" s="10"/>
    </row>
    <row r="567" spans="1:122" x14ac:dyDescent="0.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0"/>
      <c r="BC567" s="10"/>
      <c r="BD567" s="10"/>
      <c r="BE567" s="10"/>
      <c r="BF567" s="10"/>
      <c r="BG567" s="10"/>
      <c r="BH567" s="10"/>
      <c r="BI567" s="10"/>
      <c r="BJ567" s="10"/>
      <c r="BK567" s="10"/>
      <c r="BL567" s="10"/>
      <c r="BM567" s="10"/>
      <c r="BN567" s="10"/>
      <c r="BO567" s="10"/>
      <c r="BP567" s="10"/>
      <c r="BQ567" s="10"/>
      <c r="BR567" s="10"/>
      <c r="BS567" s="10"/>
      <c r="BT567" s="10"/>
      <c r="BU567" s="10"/>
      <c r="BV567" s="10"/>
      <c r="BW567" s="10"/>
      <c r="BX567" s="10"/>
      <c r="BY567" s="10"/>
      <c r="BZ567" s="10"/>
      <c r="CA567" s="10"/>
      <c r="CB567" s="10"/>
      <c r="CC567" s="10"/>
      <c r="CD567" s="10"/>
      <c r="CE567" s="10"/>
      <c r="CF567" s="10"/>
      <c r="CG567" s="10"/>
      <c r="CH567" s="10"/>
      <c r="CI567" s="10"/>
      <c r="CJ567" s="10"/>
      <c r="CK567" s="10"/>
      <c r="CL567" s="10"/>
      <c r="CM567" s="10"/>
      <c r="CN567" s="10"/>
      <c r="CO567" s="10"/>
      <c r="CP567" s="10"/>
      <c r="CQ567" s="10"/>
      <c r="CR567" s="10"/>
      <c r="CS567" s="10"/>
      <c r="CT567" s="10"/>
      <c r="CU567" s="10"/>
      <c r="CV567" s="10"/>
      <c r="CW567" s="10"/>
      <c r="CX567" s="10"/>
      <c r="CY567" s="10"/>
      <c r="CZ567" s="10"/>
      <c r="DA567" s="10"/>
      <c r="DB567" s="10"/>
      <c r="DC567" s="10"/>
      <c r="DD567" s="10"/>
      <c r="DE567" s="10"/>
      <c r="DF567" s="10"/>
      <c r="DG567" s="10"/>
      <c r="DH567" s="10"/>
      <c r="DI567" s="10"/>
      <c r="DJ567" s="10"/>
      <c r="DK567" s="10"/>
      <c r="DL567" s="10"/>
      <c r="DM567" s="10"/>
      <c r="DN567" s="10"/>
      <c r="DO567" s="10"/>
      <c r="DP567" s="10"/>
      <c r="DQ567" s="10"/>
      <c r="DR567" s="10"/>
    </row>
    <row r="568" spans="1:122" x14ac:dyDescent="0.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0"/>
      <c r="BC568" s="10"/>
      <c r="BD568" s="10"/>
      <c r="BE568" s="10"/>
      <c r="BF568" s="10"/>
      <c r="BG568" s="10"/>
      <c r="BH568" s="10"/>
      <c r="BI568" s="10"/>
      <c r="BJ568" s="10"/>
      <c r="BK568" s="10"/>
      <c r="BL568" s="10"/>
      <c r="BM568" s="10"/>
      <c r="BN568" s="10"/>
      <c r="BO568" s="10"/>
      <c r="BP568" s="10"/>
      <c r="BQ568" s="10"/>
      <c r="BR568" s="10"/>
      <c r="BS568" s="10"/>
      <c r="BT568" s="10"/>
      <c r="BU568" s="10"/>
      <c r="BV568" s="10"/>
      <c r="BW568" s="10"/>
      <c r="BX568" s="10"/>
      <c r="BY568" s="10"/>
      <c r="BZ568" s="10"/>
      <c r="CA568" s="10"/>
      <c r="CB568" s="10"/>
      <c r="CC568" s="10"/>
      <c r="CD568" s="10"/>
      <c r="CE568" s="10"/>
      <c r="CF568" s="10"/>
      <c r="CG568" s="10"/>
      <c r="CH568" s="10"/>
      <c r="CI568" s="10"/>
      <c r="CJ568" s="10"/>
      <c r="CK568" s="10"/>
      <c r="CL568" s="10"/>
      <c r="CM568" s="10"/>
      <c r="CN568" s="10"/>
      <c r="CO568" s="10"/>
      <c r="CP568" s="10"/>
      <c r="CQ568" s="10"/>
      <c r="CR568" s="10"/>
      <c r="CS568" s="10"/>
      <c r="CT568" s="10"/>
      <c r="CU568" s="10"/>
      <c r="CV568" s="10"/>
      <c r="CW568" s="10"/>
      <c r="CX568" s="10"/>
      <c r="CY568" s="10"/>
      <c r="CZ568" s="10"/>
      <c r="DA568" s="10"/>
      <c r="DB568" s="10"/>
      <c r="DC568" s="10"/>
      <c r="DD568" s="10"/>
      <c r="DE568" s="10"/>
      <c r="DF568" s="10"/>
      <c r="DG568" s="10"/>
      <c r="DH568" s="10"/>
      <c r="DI568" s="10"/>
      <c r="DJ568" s="10"/>
      <c r="DK568" s="10"/>
      <c r="DL568" s="10"/>
      <c r="DM568" s="10"/>
      <c r="DN568" s="10"/>
      <c r="DO568" s="10"/>
      <c r="DP568" s="10"/>
      <c r="DQ568" s="10"/>
      <c r="DR568" s="10"/>
    </row>
    <row r="569" spans="1:122" x14ac:dyDescent="0.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0"/>
      <c r="BC569" s="10"/>
      <c r="BD569" s="10"/>
      <c r="BE569" s="10"/>
      <c r="BF569" s="10"/>
      <c r="BG569" s="10"/>
      <c r="BH569" s="10"/>
      <c r="BI569" s="10"/>
      <c r="BJ569" s="10"/>
      <c r="BK569" s="10"/>
      <c r="BL569" s="10"/>
      <c r="BM569" s="10"/>
      <c r="BN569" s="10"/>
      <c r="BO569" s="10"/>
      <c r="BP569" s="10"/>
      <c r="BQ569" s="10"/>
      <c r="BR569" s="10"/>
      <c r="BS569" s="10"/>
      <c r="BT569" s="10"/>
      <c r="BU569" s="10"/>
      <c r="BV569" s="10"/>
      <c r="BW569" s="10"/>
      <c r="BX569" s="10"/>
      <c r="BY569" s="10"/>
      <c r="BZ569" s="10"/>
      <c r="CA569" s="10"/>
      <c r="CB569" s="10"/>
      <c r="CC569" s="10"/>
      <c r="CD569" s="10"/>
      <c r="CE569" s="10"/>
      <c r="CF569" s="10"/>
      <c r="CG569" s="10"/>
      <c r="CH569" s="10"/>
      <c r="CI569" s="10"/>
      <c r="CJ569" s="10"/>
      <c r="CK569" s="10"/>
      <c r="CL569" s="10"/>
      <c r="CM569" s="10"/>
      <c r="CN569" s="10"/>
      <c r="CO569" s="10"/>
      <c r="CP569" s="10"/>
      <c r="CQ569" s="10"/>
      <c r="CR569" s="10"/>
      <c r="CS569" s="10"/>
      <c r="CT569" s="10"/>
      <c r="CU569" s="10"/>
      <c r="CV569" s="10"/>
      <c r="CW569" s="10"/>
      <c r="CX569" s="10"/>
      <c r="CY569" s="10"/>
      <c r="CZ569" s="10"/>
      <c r="DA569" s="10"/>
      <c r="DB569" s="10"/>
      <c r="DC569" s="10"/>
      <c r="DD569" s="10"/>
      <c r="DE569" s="10"/>
      <c r="DF569" s="10"/>
      <c r="DG569" s="10"/>
      <c r="DH569" s="10"/>
      <c r="DI569" s="10"/>
      <c r="DJ569" s="10"/>
      <c r="DK569" s="10"/>
      <c r="DL569" s="10"/>
      <c r="DM569" s="10"/>
      <c r="DN569" s="10"/>
      <c r="DO569" s="10"/>
      <c r="DP569" s="10"/>
      <c r="DQ569" s="10"/>
      <c r="DR569" s="10"/>
    </row>
    <row r="570" spans="1:122" x14ac:dyDescent="0.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0"/>
      <c r="BC570" s="10"/>
      <c r="BD570" s="10"/>
      <c r="BE570" s="10"/>
      <c r="BF570" s="10"/>
      <c r="BG570" s="10"/>
      <c r="BH570" s="10"/>
      <c r="BI570" s="10"/>
      <c r="BJ570" s="10"/>
      <c r="BK570" s="10"/>
      <c r="BL570" s="10"/>
      <c r="BM570" s="10"/>
      <c r="BN570" s="10"/>
      <c r="BO570" s="10"/>
      <c r="BP570" s="10"/>
      <c r="BQ570" s="10"/>
      <c r="BR570" s="10"/>
      <c r="BS570" s="10"/>
      <c r="BT570" s="10"/>
      <c r="BU570" s="10"/>
      <c r="BV570" s="10"/>
      <c r="BW570" s="10"/>
      <c r="BX570" s="10"/>
      <c r="BY570" s="10"/>
      <c r="BZ570" s="10"/>
      <c r="CA570" s="10"/>
      <c r="CB570" s="10"/>
      <c r="CC570" s="10"/>
      <c r="CD570" s="10"/>
      <c r="CE570" s="10"/>
      <c r="CF570" s="10"/>
      <c r="CG570" s="10"/>
      <c r="CH570" s="10"/>
      <c r="CI570" s="10"/>
      <c r="CJ570" s="10"/>
      <c r="CK570" s="10"/>
      <c r="CL570" s="10"/>
      <c r="CM570" s="10"/>
      <c r="CN570" s="10"/>
      <c r="CO570" s="10"/>
      <c r="CP570" s="10"/>
      <c r="CQ570" s="10"/>
      <c r="CR570" s="10"/>
      <c r="CS570" s="10"/>
      <c r="CT570" s="10"/>
      <c r="CU570" s="10"/>
      <c r="CV570" s="10"/>
      <c r="CW570" s="10"/>
      <c r="CX570" s="10"/>
      <c r="CY570" s="10"/>
      <c r="CZ570" s="10"/>
      <c r="DA570" s="10"/>
      <c r="DB570" s="10"/>
      <c r="DC570" s="10"/>
      <c r="DD570" s="10"/>
      <c r="DE570" s="10"/>
      <c r="DF570" s="10"/>
      <c r="DG570" s="10"/>
      <c r="DH570" s="10"/>
      <c r="DI570" s="10"/>
      <c r="DJ570" s="10"/>
      <c r="DK570" s="10"/>
      <c r="DL570" s="10"/>
      <c r="DM570" s="10"/>
      <c r="DN570" s="10"/>
      <c r="DO570" s="10"/>
      <c r="DP570" s="10"/>
      <c r="DQ570" s="10"/>
      <c r="DR570" s="10"/>
    </row>
    <row r="571" spans="1:122" x14ac:dyDescent="0.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0"/>
      <c r="BC571" s="10"/>
      <c r="BD571" s="10"/>
      <c r="BE571" s="10"/>
      <c r="BF571" s="10"/>
      <c r="BG571" s="10"/>
      <c r="BH571" s="10"/>
      <c r="BI571" s="10"/>
      <c r="BJ571" s="10"/>
      <c r="BK571" s="10"/>
      <c r="BL571" s="10"/>
      <c r="BM571" s="10"/>
      <c r="BN571" s="10"/>
      <c r="BO571" s="10"/>
      <c r="BP571" s="10"/>
      <c r="BQ571" s="10"/>
      <c r="BR571" s="10"/>
      <c r="BS571" s="10"/>
      <c r="BT571" s="10"/>
      <c r="BU571" s="10"/>
      <c r="BV571" s="10"/>
      <c r="BW571" s="10"/>
      <c r="BX571" s="10"/>
      <c r="BY571" s="10"/>
      <c r="BZ571" s="10"/>
      <c r="CA571" s="10"/>
      <c r="CB571" s="10"/>
      <c r="CC571" s="10"/>
      <c r="CD571" s="10"/>
      <c r="CE571" s="10"/>
      <c r="CF571" s="10"/>
      <c r="CG571" s="10"/>
      <c r="CH571" s="10"/>
      <c r="CI571" s="10"/>
      <c r="CJ571" s="10"/>
      <c r="CK571" s="10"/>
      <c r="CL571" s="10"/>
      <c r="CM571" s="10"/>
      <c r="CN571" s="10"/>
      <c r="CO571" s="10"/>
      <c r="CP571" s="10"/>
      <c r="CQ571" s="10"/>
      <c r="CR571" s="10"/>
      <c r="CS571" s="10"/>
      <c r="CT571" s="10"/>
      <c r="CU571" s="10"/>
      <c r="CV571" s="10"/>
      <c r="CW571" s="10"/>
      <c r="CX571" s="10"/>
      <c r="CY571" s="10"/>
      <c r="CZ571" s="10"/>
      <c r="DA571" s="10"/>
      <c r="DB571" s="10"/>
      <c r="DC571" s="10"/>
      <c r="DD571" s="10"/>
      <c r="DE571" s="10"/>
      <c r="DF571" s="10"/>
      <c r="DG571" s="10"/>
      <c r="DH571" s="10"/>
      <c r="DI571" s="10"/>
      <c r="DJ571" s="10"/>
      <c r="DK571" s="10"/>
      <c r="DL571" s="10"/>
      <c r="DM571" s="10"/>
      <c r="DN571" s="10"/>
      <c r="DO571" s="10"/>
      <c r="DP571" s="10"/>
      <c r="DQ571" s="10"/>
      <c r="DR571" s="10"/>
    </row>
    <row r="572" spans="1:122" x14ac:dyDescent="0.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0"/>
      <c r="BC572" s="10"/>
      <c r="BD572" s="10"/>
      <c r="BE572" s="10"/>
      <c r="BF572" s="10"/>
      <c r="BG572" s="10"/>
      <c r="BH572" s="10"/>
      <c r="BI572" s="10"/>
      <c r="BJ572" s="10"/>
      <c r="BK572" s="10"/>
      <c r="BL572" s="10"/>
      <c r="BM572" s="10"/>
      <c r="BN572" s="10"/>
      <c r="BO572" s="10"/>
      <c r="BP572" s="10"/>
      <c r="BQ572" s="10"/>
      <c r="BR572" s="10"/>
      <c r="BS572" s="10"/>
      <c r="BT572" s="10"/>
      <c r="BU572" s="10"/>
      <c r="BV572" s="10"/>
      <c r="BW572" s="10"/>
      <c r="BX572" s="10"/>
      <c r="BY572" s="10"/>
      <c r="BZ572" s="10"/>
      <c r="CA572" s="10"/>
      <c r="CB572" s="10"/>
      <c r="CC572" s="10"/>
      <c r="CD572" s="10"/>
      <c r="CE572" s="10"/>
      <c r="CF572" s="10"/>
      <c r="CG572" s="10"/>
      <c r="CH572" s="10"/>
      <c r="CI572" s="10"/>
      <c r="CJ572" s="10"/>
      <c r="CK572" s="10"/>
      <c r="CL572" s="10"/>
      <c r="CM572" s="10"/>
      <c r="CN572" s="10"/>
      <c r="CO572" s="10"/>
      <c r="CP572" s="10"/>
      <c r="CQ572" s="10"/>
      <c r="CR572" s="10"/>
      <c r="CS572" s="10"/>
      <c r="CT572" s="10"/>
      <c r="CU572" s="10"/>
      <c r="CV572" s="10"/>
      <c r="CW572" s="10"/>
      <c r="CX572" s="10"/>
      <c r="CY572" s="10"/>
      <c r="CZ572" s="10"/>
      <c r="DA572" s="10"/>
      <c r="DB572" s="10"/>
      <c r="DC572" s="10"/>
      <c r="DD572" s="10"/>
      <c r="DE572" s="10"/>
      <c r="DF572" s="10"/>
      <c r="DG572" s="10"/>
      <c r="DH572" s="10"/>
      <c r="DI572" s="10"/>
      <c r="DJ572" s="10"/>
      <c r="DK572" s="10"/>
      <c r="DL572" s="10"/>
      <c r="DM572" s="10"/>
      <c r="DN572" s="10"/>
      <c r="DO572" s="10"/>
      <c r="DP572" s="10"/>
      <c r="DQ572" s="10"/>
      <c r="DR572" s="10"/>
    </row>
    <row r="573" spans="1:122" x14ac:dyDescent="0.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0"/>
      <c r="BC573" s="10"/>
      <c r="BD573" s="10"/>
      <c r="BE573" s="10"/>
      <c r="BF573" s="10"/>
      <c r="BG573" s="10"/>
      <c r="BH573" s="10"/>
      <c r="BI573" s="10"/>
      <c r="BJ573" s="10"/>
      <c r="BK573" s="10"/>
      <c r="BL573" s="10"/>
      <c r="BM573" s="10"/>
      <c r="BN573" s="10"/>
      <c r="BO573" s="10"/>
      <c r="BP573" s="10"/>
      <c r="BQ573" s="10"/>
      <c r="BR573" s="10"/>
      <c r="BS573" s="10"/>
      <c r="BT573" s="10"/>
      <c r="BU573" s="10"/>
      <c r="BV573" s="10"/>
      <c r="BW573" s="10"/>
      <c r="BX573" s="10"/>
      <c r="BY573" s="10"/>
      <c r="BZ573" s="10"/>
      <c r="CA573" s="10"/>
      <c r="CB573" s="10"/>
      <c r="CC573" s="10"/>
      <c r="CD573" s="10"/>
      <c r="CE573" s="10"/>
      <c r="CF573" s="10"/>
      <c r="CG573" s="10"/>
      <c r="CH573" s="10"/>
      <c r="CI573" s="10"/>
      <c r="CJ573" s="10"/>
      <c r="CK573" s="10"/>
      <c r="CL573" s="10"/>
      <c r="CM573" s="10"/>
      <c r="CN573" s="10"/>
      <c r="CO573" s="10"/>
      <c r="CP573" s="10"/>
      <c r="CQ573" s="10"/>
      <c r="CR573" s="10"/>
      <c r="CS573" s="10"/>
      <c r="CT573" s="10"/>
      <c r="CU573" s="10"/>
      <c r="CV573" s="10"/>
      <c r="CW573" s="10"/>
      <c r="CX573" s="10"/>
      <c r="CY573" s="10"/>
      <c r="CZ573" s="10"/>
      <c r="DA573" s="10"/>
      <c r="DB573" s="10"/>
      <c r="DC573" s="10"/>
      <c r="DD573" s="10"/>
      <c r="DE573" s="10"/>
      <c r="DF573" s="10"/>
      <c r="DG573" s="10"/>
      <c r="DH573" s="10"/>
      <c r="DI573" s="10"/>
      <c r="DJ573" s="10"/>
      <c r="DK573" s="10"/>
      <c r="DL573" s="10"/>
      <c r="DM573" s="10"/>
      <c r="DN573" s="10"/>
      <c r="DO573" s="10"/>
      <c r="DP573" s="10"/>
      <c r="DQ573" s="10"/>
      <c r="DR573" s="10"/>
    </row>
    <row r="574" spans="1:122" x14ac:dyDescent="0.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0"/>
      <c r="BC574" s="10"/>
      <c r="BD574" s="10"/>
      <c r="BE574" s="10"/>
      <c r="BF574" s="10"/>
      <c r="BG574" s="10"/>
      <c r="BH574" s="10"/>
      <c r="BI574" s="10"/>
      <c r="BJ574" s="10"/>
      <c r="BK574" s="10"/>
      <c r="BL574" s="10"/>
      <c r="BM574" s="10"/>
      <c r="BN574" s="10"/>
      <c r="BO574" s="10"/>
      <c r="BP574" s="10"/>
      <c r="BQ574" s="10"/>
      <c r="BR574" s="10"/>
      <c r="BS574" s="10"/>
      <c r="BT574" s="10"/>
      <c r="BU574" s="10"/>
      <c r="BV574" s="10"/>
      <c r="BW574" s="10"/>
      <c r="BX574" s="10"/>
      <c r="BY574" s="10"/>
      <c r="BZ574" s="10"/>
      <c r="CA574" s="10"/>
      <c r="CB574" s="10"/>
      <c r="CC574" s="10"/>
      <c r="CD574" s="10"/>
      <c r="CE574" s="10"/>
      <c r="CF574" s="10"/>
      <c r="CG574" s="10"/>
      <c r="CH574" s="10"/>
      <c r="CI574" s="10"/>
      <c r="CJ574" s="10"/>
      <c r="CK574" s="10"/>
      <c r="CL574" s="10"/>
      <c r="CM574" s="10"/>
      <c r="CN574" s="10"/>
      <c r="CO574" s="10"/>
      <c r="CP574" s="10"/>
      <c r="CQ574" s="10"/>
      <c r="CR574" s="10"/>
      <c r="CS574" s="10"/>
      <c r="CT574" s="10"/>
      <c r="CU574" s="10"/>
      <c r="CV574" s="10"/>
      <c r="CW574" s="10"/>
      <c r="CX574" s="10"/>
      <c r="CY574" s="10"/>
      <c r="CZ574" s="10"/>
      <c r="DA574" s="10"/>
      <c r="DB574" s="10"/>
      <c r="DC574" s="10"/>
      <c r="DD574" s="10"/>
      <c r="DE574" s="10"/>
      <c r="DF574" s="10"/>
      <c r="DG574" s="10"/>
      <c r="DH574" s="10"/>
      <c r="DI574" s="10"/>
      <c r="DJ574" s="10"/>
      <c r="DK574" s="10"/>
      <c r="DL574" s="10"/>
      <c r="DM574" s="10"/>
      <c r="DN574" s="10"/>
      <c r="DO574" s="10"/>
      <c r="DP574" s="10"/>
      <c r="DQ574" s="10"/>
      <c r="DR574" s="10"/>
    </row>
    <row r="575" spans="1:122" x14ac:dyDescent="0.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0"/>
      <c r="BC575" s="10"/>
      <c r="BD575" s="10"/>
      <c r="BE575" s="10"/>
      <c r="BF575" s="10"/>
      <c r="BG575" s="10"/>
      <c r="BH575" s="10"/>
      <c r="BI575" s="10"/>
      <c r="BJ575" s="10"/>
      <c r="BK575" s="10"/>
      <c r="BL575" s="10"/>
      <c r="BM575" s="10"/>
      <c r="BN575" s="10"/>
      <c r="BO575" s="10"/>
      <c r="BP575" s="10"/>
      <c r="BQ575" s="10"/>
      <c r="BR575" s="10"/>
      <c r="BS575" s="10"/>
      <c r="BT575" s="10"/>
      <c r="BU575" s="10"/>
      <c r="BV575" s="10"/>
      <c r="BW575" s="10"/>
      <c r="BX575" s="10"/>
      <c r="BY575" s="10"/>
      <c r="BZ575" s="10"/>
      <c r="CA575" s="10"/>
      <c r="CB575" s="10"/>
      <c r="CC575" s="10"/>
      <c r="CD575" s="10"/>
      <c r="CE575" s="10"/>
      <c r="CF575" s="10"/>
      <c r="CG575" s="10"/>
      <c r="CH575" s="10"/>
      <c r="CI575" s="10"/>
      <c r="CJ575" s="10"/>
      <c r="CK575" s="10"/>
      <c r="CL575" s="10"/>
      <c r="CM575" s="10"/>
      <c r="CN575" s="10"/>
      <c r="CO575" s="10"/>
      <c r="CP575" s="10"/>
      <c r="CQ575" s="10"/>
      <c r="CR575" s="10"/>
      <c r="CS575" s="10"/>
      <c r="CT575" s="10"/>
      <c r="CU575" s="10"/>
      <c r="CV575" s="10"/>
      <c r="CW575" s="10"/>
      <c r="CX575" s="10"/>
      <c r="CY575" s="10"/>
      <c r="CZ575" s="10"/>
      <c r="DA575" s="10"/>
      <c r="DB575" s="10"/>
      <c r="DC575" s="10"/>
      <c r="DD575" s="10"/>
      <c r="DE575" s="10"/>
      <c r="DF575" s="10"/>
      <c r="DG575" s="10"/>
      <c r="DH575" s="10"/>
      <c r="DI575" s="10"/>
      <c r="DJ575" s="10"/>
      <c r="DK575" s="10"/>
      <c r="DL575" s="10"/>
      <c r="DM575" s="10"/>
      <c r="DN575" s="10"/>
      <c r="DO575" s="10"/>
      <c r="DP575" s="10"/>
      <c r="DQ575" s="10"/>
      <c r="DR575" s="10"/>
    </row>
    <row r="576" spans="1:122" x14ac:dyDescent="0.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0"/>
      <c r="BC576" s="10"/>
      <c r="BD576" s="10"/>
      <c r="BE576" s="10"/>
      <c r="BF576" s="10"/>
      <c r="BG576" s="10"/>
      <c r="BH576" s="10"/>
      <c r="BI576" s="10"/>
      <c r="BJ576" s="10"/>
      <c r="BK576" s="10"/>
      <c r="BL576" s="10"/>
      <c r="BM576" s="10"/>
      <c r="BN576" s="10"/>
      <c r="BO576" s="10"/>
      <c r="BP576" s="10"/>
      <c r="BQ576" s="10"/>
      <c r="BR576" s="10"/>
      <c r="BS576" s="10"/>
      <c r="BT576" s="10"/>
      <c r="BU576" s="10"/>
      <c r="BV576" s="10"/>
      <c r="BW576" s="10"/>
      <c r="BX576" s="10"/>
      <c r="BY576" s="10"/>
      <c r="BZ576" s="10"/>
      <c r="CA576" s="10"/>
      <c r="CB576" s="10"/>
      <c r="CC576" s="10"/>
      <c r="CD576" s="10"/>
      <c r="CE576" s="10"/>
      <c r="CF576" s="10"/>
      <c r="CG576" s="10"/>
      <c r="CH576" s="10"/>
      <c r="CI576" s="10"/>
      <c r="CJ576" s="10"/>
      <c r="CK576" s="10"/>
      <c r="CL576" s="10"/>
      <c r="CM576" s="10"/>
      <c r="CN576" s="10"/>
      <c r="CO576" s="10"/>
      <c r="CP576" s="10"/>
      <c r="CQ576" s="10"/>
      <c r="CR576" s="10"/>
      <c r="CS576" s="10"/>
      <c r="CT576" s="10"/>
      <c r="CU576" s="10"/>
      <c r="CV576" s="10"/>
      <c r="CW576" s="10"/>
      <c r="CX576" s="10"/>
      <c r="CY576" s="10"/>
      <c r="CZ576" s="10"/>
      <c r="DA576" s="10"/>
      <c r="DB576" s="10"/>
      <c r="DC576" s="10"/>
      <c r="DD576" s="10"/>
      <c r="DE576" s="10"/>
      <c r="DF576" s="10"/>
      <c r="DG576" s="10"/>
      <c r="DH576" s="10"/>
      <c r="DI576" s="10"/>
      <c r="DJ576" s="10"/>
      <c r="DK576" s="10"/>
      <c r="DL576" s="10"/>
      <c r="DM576" s="10"/>
      <c r="DN576" s="10"/>
      <c r="DO576" s="10"/>
      <c r="DP576" s="10"/>
      <c r="DQ576" s="10"/>
      <c r="DR576" s="10"/>
    </row>
    <row r="577" spans="1:122" x14ac:dyDescent="0.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0"/>
      <c r="BC577" s="10"/>
      <c r="BD577" s="10"/>
      <c r="BE577" s="10"/>
      <c r="BF577" s="10"/>
      <c r="BG577" s="10"/>
      <c r="BH577" s="10"/>
      <c r="BI577" s="10"/>
      <c r="BJ577" s="10"/>
      <c r="BK577" s="10"/>
      <c r="BL577" s="10"/>
      <c r="BM577" s="10"/>
      <c r="BN577" s="10"/>
      <c r="BO577" s="10"/>
      <c r="BP577" s="10"/>
      <c r="BQ577" s="10"/>
      <c r="BR577" s="10"/>
      <c r="BS577" s="10"/>
      <c r="BT577" s="10"/>
      <c r="BU577" s="10"/>
      <c r="BV577" s="10"/>
      <c r="BW577" s="10"/>
      <c r="BX577" s="10"/>
      <c r="BY577" s="10"/>
      <c r="BZ577" s="10"/>
      <c r="CA577" s="10"/>
      <c r="CB577" s="10"/>
      <c r="CC577" s="10"/>
      <c r="CD577" s="10"/>
      <c r="CE577" s="10"/>
      <c r="CF577" s="10"/>
      <c r="CG577" s="10"/>
      <c r="CH577" s="10"/>
      <c r="CI577" s="10"/>
      <c r="CJ577" s="10"/>
      <c r="CK577" s="10"/>
      <c r="CL577" s="10"/>
      <c r="CM577" s="10"/>
      <c r="CN577" s="10"/>
      <c r="CO577" s="10"/>
      <c r="CP577" s="10"/>
      <c r="CQ577" s="10"/>
      <c r="CR577" s="10"/>
      <c r="CS577" s="10"/>
      <c r="CT577" s="10"/>
      <c r="CU577" s="10"/>
      <c r="CV577" s="10"/>
      <c r="CW577" s="10"/>
      <c r="CX577" s="10"/>
      <c r="CY577" s="10"/>
      <c r="CZ577" s="10"/>
      <c r="DA577" s="10"/>
      <c r="DB577" s="10"/>
      <c r="DC577" s="10"/>
      <c r="DD577" s="10"/>
      <c r="DE577" s="10"/>
      <c r="DF577" s="10"/>
      <c r="DG577" s="10"/>
      <c r="DH577" s="10"/>
      <c r="DI577" s="10"/>
      <c r="DJ577" s="10"/>
      <c r="DK577" s="10"/>
      <c r="DL577" s="10"/>
      <c r="DM577" s="10"/>
      <c r="DN577" s="10"/>
      <c r="DO577" s="10"/>
      <c r="DP577" s="10"/>
      <c r="DQ577" s="10"/>
      <c r="DR577" s="10"/>
    </row>
    <row r="578" spans="1:122" x14ac:dyDescent="0.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0"/>
      <c r="BC578" s="10"/>
      <c r="BD578" s="10"/>
      <c r="BE578" s="10"/>
      <c r="BF578" s="10"/>
      <c r="BG578" s="10"/>
      <c r="BH578" s="10"/>
      <c r="BI578" s="10"/>
      <c r="BJ578" s="10"/>
      <c r="BK578" s="10"/>
      <c r="BL578" s="10"/>
      <c r="BM578" s="10"/>
      <c r="BN578" s="10"/>
      <c r="BO578" s="10"/>
      <c r="BP578" s="10"/>
      <c r="BQ578" s="10"/>
      <c r="BR578" s="10"/>
      <c r="BS578" s="10"/>
      <c r="BT578" s="10"/>
      <c r="BU578" s="10"/>
      <c r="BV578" s="10"/>
      <c r="BW578" s="10"/>
      <c r="BX578" s="10"/>
      <c r="BY578" s="10"/>
      <c r="BZ578" s="10"/>
      <c r="CA578" s="10"/>
      <c r="CB578" s="10"/>
      <c r="CC578" s="10"/>
      <c r="CD578" s="10"/>
      <c r="CE578" s="10"/>
      <c r="CF578" s="10"/>
      <c r="CG578" s="10"/>
      <c r="CH578" s="10"/>
      <c r="CI578" s="10"/>
      <c r="CJ578" s="10"/>
      <c r="CK578" s="10"/>
      <c r="CL578" s="10"/>
      <c r="CM578" s="10"/>
      <c r="CN578" s="10"/>
      <c r="CO578" s="10"/>
      <c r="CP578" s="10"/>
      <c r="CQ578" s="10"/>
      <c r="CR578" s="10"/>
      <c r="CS578" s="10"/>
      <c r="CT578" s="10"/>
      <c r="CU578" s="10"/>
      <c r="CV578" s="10"/>
      <c r="CW578" s="10"/>
      <c r="CX578" s="10"/>
      <c r="CY578" s="10"/>
      <c r="CZ578" s="10"/>
      <c r="DA578" s="10"/>
      <c r="DB578" s="10"/>
      <c r="DC578" s="10"/>
      <c r="DD578" s="10"/>
      <c r="DE578" s="10"/>
      <c r="DF578" s="10"/>
      <c r="DG578" s="10"/>
      <c r="DH578" s="10"/>
      <c r="DI578" s="10"/>
      <c r="DJ578" s="10"/>
      <c r="DK578" s="10"/>
      <c r="DL578" s="10"/>
      <c r="DM578" s="10"/>
      <c r="DN578" s="10"/>
      <c r="DO578" s="10"/>
      <c r="DP578" s="10"/>
      <c r="DQ578" s="10"/>
      <c r="DR578" s="10"/>
    </row>
    <row r="579" spans="1:122" x14ac:dyDescent="0.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0"/>
      <c r="BC579" s="10"/>
      <c r="BD579" s="10"/>
      <c r="BE579" s="10"/>
      <c r="BF579" s="10"/>
      <c r="BG579" s="10"/>
      <c r="BH579" s="10"/>
      <c r="BI579" s="10"/>
      <c r="BJ579" s="10"/>
      <c r="BK579" s="10"/>
      <c r="BL579" s="10"/>
      <c r="BM579" s="10"/>
      <c r="BN579" s="10"/>
      <c r="BO579" s="10"/>
      <c r="BP579" s="10"/>
      <c r="BQ579" s="10"/>
      <c r="BR579" s="10"/>
      <c r="BS579" s="10"/>
      <c r="BT579" s="10"/>
      <c r="BU579" s="10"/>
      <c r="BV579" s="10"/>
      <c r="BW579" s="10"/>
      <c r="BX579" s="10"/>
      <c r="BY579" s="10"/>
      <c r="BZ579" s="10"/>
      <c r="CA579" s="10"/>
      <c r="CB579" s="10"/>
      <c r="CC579" s="10"/>
      <c r="CD579" s="10"/>
      <c r="CE579" s="10"/>
      <c r="CF579" s="10"/>
      <c r="CG579" s="10"/>
      <c r="CH579" s="10"/>
      <c r="CI579" s="10"/>
      <c r="CJ579" s="10"/>
      <c r="CK579" s="10"/>
      <c r="CL579" s="10"/>
      <c r="CM579" s="10"/>
      <c r="CN579" s="10"/>
      <c r="CO579" s="10"/>
      <c r="CP579" s="10"/>
      <c r="CQ579" s="10"/>
      <c r="CR579" s="10"/>
      <c r="CS579" s="10"/>
      <c r="CT579" s="10"/>
      <c r="CU579" s="10"/>
      <c r="CV579" s="10"/>
      <c r="CW579" s="10"/>
      <c r="CX579" s="10"/>
      <c r="CY579" s="10"/>
      <c r="CZ579" s="10"/>
      <c r="DA579" s="10"/>
      <c r="DB579" s="10"/>
      <c r="DC579" s="10"/>
      <c r="DD579" s="10"/>
      <c r="DE579" s="10"/>
      <c r="DF579" s="10"/>
      <c r="DG579" s="10"/>
      <c r="DH579" s="10"/>
      <c r="DI579" s="10"/>
      <c r="DJ579" s="10"/>
      <c r="DK579" s="10"/>
      <c r="DL579" s="10"/>
      <c r="DM579" s="10"/>
      <c r="DN579" s="10"/>
      <c r="DO579" s="10"/>
      <c r="DP579" s="10"/>
      <c r="DQ579" s="10"/>
      <c r="DR579" s="10"/>
    </row>
    <row r="580" spans="1:122" x14ac:dyDescent="0.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0"/>
      <c r="BC580" s="10"/>
      <c r="BD580" s="10"/>
      <c r="BE580" s="10"/>
      <c r="BF580" s="10"/>
      <c r="BG580" s="10"/>
      <c r="BH580" s="10"/>
      <c r="BI580" s="10"/>
      <c r="BJ580" s="10"/>
      <c r="BK580" s="10"/>
      <c r="BL580" s="10"/>
      <c r="BM580" s="10"/>
      <c r="BN580" s="10"/>
      <c r="BO580" s="10"/>
      <c r="BP580" s="10"/>
      <c r="BQ580" s="10"/>
      <c r="BR580" s="10"/>
      <c r="BS580" s="10"/>
      <c r="BT580" s="10"/>
      <c r="BU580" s="10"/>
      <c r="BV580" s="10"/>
      <c r="BW580" s="10"/>
      <c r="BX580" s="10"/>
      <c r="BY580" s="10"/>
      <c r="BZ580" s="10"/>
      <c r="CA580" s="10"/>
      <c r="CB580" s="10"/>
      <c r="CC580" s="10"/>
      <c r="CD580" s="10"/>
      <c r="CE580" s="10"/>
      <c r="CF580" s="10"/>
      <c r="CG580" s="10"/>
      <c r="CH580" s="10"/>
      <c r="CI580" s="10"/>
      <c r="CJ580" s="10"/>
      <c r="CK580" s="10"/>
      <c r="CL580" s="10"/>
      <c r="CM580" s="10"/>
      <c r="CN580" s="10"/>
      <c r="CO580" s="10"/>
      <c r="CP580" s="10"/>
      <c r="CQ580" s="10"/>
      <c r="CR580" s="10"/>
      <c r="CS580" s="10"/>
      <c r="CT580" s="10"/>
      <c r="CU580" s="10"/>
      <c r="CV580" s="10"/>
      <c r="CW580" s="10"/>
      <c r="CX580" s="10"/>
      <c r="CY580" s="10"/>
      <c r="CZ580" s="10"/>
      <c r="DA580" s="10"/>
      <c r="DB580" s="10"/>
      <c r="DC580" s="10"/>
      <c r="DD580" s="10"/>
      <c r="DE580" s="10"/>
      <c r="DF580" s="10"/>
      <c r="DG580" s="10"/>
      <c r="DH580" s="10"/>
      <c r="DI580" s="10"/>
      <c r="DJ580" s="10"/>
      <c r="DK580" s="10"/>
      <c r="DL580" s="10"/>
      <c r="DM580" s="10"/>
      <c r="DN580" s="10"/>
      <c r="DO580" s="10"/>
      <c r="DP580" s="10"/>
      <c r="DQ580" s="10"/>
      <c r="DR580" s="10"/>
    </row>
    <row r="581" spans="1:122" x14ac:dyDescent="0.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0"/>
      <c r="BC581" s="10"/>
      <c r="BD581" s="10"/>
      <c r="BE581" s="10"/>
      <c r="BF581" s="10"/>
      <c r="BG581" s="10"/>
      <c r="BH581" s="10"/>
      <c r="BI581" s="10"/>
      <c r="BJ581" s="10"/>
      <c r="BK581" s="10"/>
      <c r="BL581" s="10"/>
      <c r="BM581" s="10"/>
      <c r="BN581" s="10"/>
      <c r="BO581" s="10"/>
      <c r="BP581" s="10"/>
      <c r="BQ581" s="10"/>
      <c r="BR581" s="10"/>
      <c r="BS581" s="10"/>
      <c r="BT581" s="10"/>
      <c r="BU581" s="10"/>
      <c r="BV581" s="10"/>
      <c r="BW581" s="10"/>
      <c r="BX581" s="10"/>
      <c r="BY581" s="10"/>
      <c r="BZ581" s="10"/>
      <c r="CA581" s="10"/>
      <c r="CB581" s="10"/>
      <c r="CC581" s="10"/>
      <c r="CD581" s="10"/>
      <c r="CE581" s="10"/>
      <c r="CF581" s="10"/>
      <c r="CG581" s="10"/>
      <c r="CH581" s="10"/>
      <c r="CI581" s="10"/>
      <c r="CJ581" s="10"/>
      <c r="CK581" s="10"/>
      <c r="CL581" s="10"/>
      <c r="CM581" s="10"/>
      <c r="CN581" s="10"/>
      <c r="CO581" s="10"/>
      <c r="CP581" s="10"/>
      <c r="CQ581" s="10"/>
      <c r="CR581" s="10"/>
      <c r="CS581" s="10"/>
      <c r="CT581" s="10"/>
      <c r="CU581" s="10"/>
      <c r="CV581" s="10"/>
      <c r="CW581" s="10"/>
      <c r="CX581" s="10"/>
      <c r="CY581" s="10"/>
      <c r="CZ581" s="10"/>
      <c r="DA581" s="10"/>
      <c r="DB581" s="10"/>
      <c r="DC581" s="10"/>
      <c r="DD581" s="10"/>
      <c r="DE581" s="10"/>
      <c r="DF581" s="10"/>
      <c r="DG581" s="10"/>
      <c r="DH581" s="10"/>
      <c r="DI581" s="10"/>
      <c r="DJ581" s="10"/>
      <c r="DK581" s="10"/>
      <c r="DL581" s="10"/>
      <c r="DM581" s="10"/>
      <c r="DN581" s="10"/>
      <c r="DO581" s="10"/>
      <c r="DP581" s="10"/>
      <c r="DQ581" s="10"/>
      <c r="DR581" s="10"/>
    </row>
    <row r="582" spans="1:122" x14ac:dyDescent="0.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0"/>
      <c r="BC582" s="10"/>
      <c r="BD582" s="10"/>
      <c r="BE582" s="10"/>
      <c r="BF582" s="10"/>
      <c r="BG582" s="10"/>
      <c r="BH582" s="10"/>
      <c r="BI582" s="10"/>
      <c r="BJ582" s="10"/>
      <c r="BK582" s="10"/>
      <c r="BL582" s="10"/>
      <c r="BM582" s="10"/>
      <c r="BN582" s="10"/>
      <c r="BO582" s="10"/>
      <c r="BP582" s="10"/>
      <c r="BQ582" s="10"/>
      <c r="BR582" s="10"/>
      <c r="BS582" s="10"/>
      <c r="BT582" s="10"/>
      <c r="BU582" s="10"/>
      <c r="BV582" s="10"/>
      <c r="BW582" s="10"/>
      <c r="BX582" s="10"/>
      <c r="BY582" s="10"/>
      <c r="BZ582" s="10"/>
      <c r="CA582" s="10"/>
      <c r="CB582" s="10"/>
      <c r="CC582" s="10"/>
      <c r="CD582" s="10"/>
      <c r="CE582" s="10"/>
      <c r="CF582" s="10"/>
      <c r="CG582" s="10"/>
      <c r="CH582" s="10"/>
      <c r="CI582" s="10"/>
      <c r="CJ582" s="10"/>
      <c r="CK582" s="10"/>
      <c r="CL582" s="10"/>
      <c r="CM582" s="10"/>
      <c r="CN582" s="10"/>
      <c r="CO582" s="10"/>
      <c r="CP582" s="10"/>
      <c r="CQ582" s="10"/>
      <c r="CR582" s="10"/>
      <c r="CS582" s="10"/>
      <c r="CT582" s="10"/>
      <c r="CU582" s="10"/>
      <c r="CV582" s="10"/>
      <c r="CW582" s="10"/>
      <c r="CX582" s="10"/>
      <c r="CY582" s="10"/>
      <c r="CZ582" s="10"/>
      <c r="DA582" s="10"/>
      <c r="DB582" s="10"/>
      <c r="DC582" s="10"/>
      <c r="DD582" s="10"/>
      <c r="DE582" s="10"/>
      <c r="DF582" s="10"/>
      <c r="DG582" s="10"/>
      <c r="DH582" s="10"/>
      <c r="DI582" s="10"/>
      <c r="DJ582" s="10"/>
      <c r="DK582" s="10"/>
      <c r="DL582" s="10"/>
      <c r="DM582" s="10"/>
      <c r="DN582" s="10"/>
      <c r="DO582" s="10"/>
      <c r="DP582" s="10"/>
      <c r="DQ582" s="10"/>
      <c r="DR582" s="10"/>
    </row>
    <row r="583" spans="1:122" x14ac:dyDescent="0.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0"/>
      <c r="BC583" s="10"/>
      <c r="BD583" s="10"/>
      <c r="BE583" s="10"/>
      <c r="BF583" s="10"/>
      <c r="BG583" s="10"/>
      <c r="BH583" s="10"/>
      <c r="BI583" s="10"/>
      <c r="BJ583" s="10"/>
      <c r="BK583" s="10"/>
      <c r="BL583" s="10"/>
      <c r="BM583" s="10"/>
      <c r="BN583" s="10"/>
      <c r="BO583" s="10"/>
      <c r="BP583" s="10"/>
      <c r="BQ583" s="10"/>
      <c r="BR583" s="10"/>
      <c r="BS583" s="10"/>
      <c r="BT583" s="10"/>
      <c r="BU583" s="10"/>
      <c r="BV583" s="10"/>
      <c r="BW583" s="10"/>
      <c r="BX583" s="10"/>
      <c r="BY583" s="10"/>
      <c r="BZ583" s="10"/>
      <c r="CA583" s="10"/>
      <c r="CB583" s="10"/>
      <c r="CC583" s="10"/>
      <c r="CD583" s="10"/>
      <c r="CE583" s="10"/>
      <c r="CF583" s="10"/>
      <c r="CG583" s="10"/>
      <c r="CH583" s="10"/>
      <c r="CI583" s="10"/>
      <c r="CJ583" s="10"/>
      <c r="CK583" s="10"/>
      <c r="CL583" s="10"/>
      <c r="CM583" s="10"/>
      <c r="CN583" s="10"/>
      <c r="CO583" s="10"/>
      <c r="CP583" s="10"/>
      <c r="CQ583" s="10"/>
      <c r="CR583" s="10"/>
      <c r="CS583" s="10"/>
      <c r="CT583" s="10"/>
      <c r="CU583" s="10"/>
      <c r="CV583" s="10"/>
      <c r="CW583" s="10"/>
      <c r="CX583" s="10"/>
      <c r="CY583" s="10"/>
      <c r="CZ583" s="10"/>
      <c r="DA583" s="10"/>
      <c r="DB583" s="10"/>
      <c r="DC583" s="10"/>
      <c r="DD583" s="10"/>
      <c r="DE583" s="10"/>
      <c r="DF583" s="10"/>
      <c r="DG583" s="10"/>
      <c r="DH583" s="10"/>
      <c r="DI583" s="10"/>
      <c r="DJ583" s="10"/>
      <c r="DK583" s="10"/>
      <c r="DL583" s="10"/>
      <c r="DM583" s="10"/>
      <c r="DN583" s="10"/>
      <c r="DO583" s="10"/>
      <c r="DP583" s="10"/>
      <c r="DQ583" s="10"/>
      <c r="DR583" s="10"/>
    </row>
    <row r="584" spans="1:122" x14ac:dyDescent="0.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0"/>
      <c r="BC584" s="10"/>
      <c r="BD584" s="10"/>
      <c r="BE584" s="10"/>
      <c r="BF584" s="10"/>
      <c r="BG584" s="10"/>
      <c r="BH584" s="10"/>
      <c r="BI584" s="10"/>
      <c r="BJ584" s="10"/>
      <c r="BK584" s="10"/>
      <c r="BL584" s="10"/>
      <c r="BM584" s="10"/>
      <c r="BN584" s="10"/>
      <c r="BO584" s="10"/>
      <c r="BP584" s="10"/>
      <c r="BQ584" s="10"/>
      <c r="BR584" s="10"/>
      <c r="BS584" s="10"/>
      <c r="BT584" s="10"/>
      <c r="BU584" s="10"/>
      <c r="BV584" s="10"/>
      <c r="BW584" s="10"/>
      <c r="BX584" s="10"/>
      <c r="BY584" s="10"/>
      <c r="BZ584" s="10"/>
      <c r="CA584" s="10"/>
      <c r="CB584" s="10"/>
      <c r="CC584" s="10"/>
      <c r="CD584" s="10"/>
      <c r="CE584" s="10"/>
      <c r="CF584" s="10"/>
      <c r="CG584" s="10"/>
      <c r="CH584" s="10"/>
      <c r="CI584" s="10"/>
      <c r="CJ584" s="10"/>
      <c r="CK584" s="10"/>
      <c r="CL584" s="10"/>
      <c r="CM584" s="10"/>
      <c r="CN584" s="10"/>
      <c r="CO584" s="10"/>
      <c r="CP584" s="10"/>
      <c r="CQ584" s="10"/>
      <c r="CR584" s="10"/>
      <c r="CS584" s="10"/>
      <c r="CT584" s="10"/>
      <c r="CU584" s="10"/>
      <c r="CV584" s="10"/>
      <c r="CW584" s="10"/>
      <c r="CX584" s="10"/>
      <c r="CY584" s="10"/>
      <c r="CZ584" s="10"/>
      <c r="DA584" s="10"/>
      <c r="DB584" s="10"/>
      <c r="DC584" s="10"/>
      <c r="DD584" s="10"/>
      <c r="DE584" s="10"/>
      <c r="DF584" s="10"/>
      <c r="DG584" s="10"/>
      <c r="DH584" s="10"/>
      <c r="DI584" s="10"/>
      <c r="DJ584" s="10"/>
      <c r="DK584" s="10"/>
      <c r="DL584" s="10"/>
      <c r="DM584" s="10"/>
      <c r="DN584" s="10"/>
      <c r="DO584" s="10"/>
      <c r="DP584" s="10"/>
      <c r="DQ584" s="10"/>
      <c r="DR584" s="10"/>
    </row>
    <row r="585" spans="1:122" x14ac:dyDescent="0.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0"/>
      <c r="BC585" s="10"/>
      <c r="BD585" s="10"/>
      <c r="BE585" s="10"/>
      <c r="BF585" s="10"/>
      <c r="BG585" s="10"/>
      <c r="BH585" s="10"/>
      <c r="BI585" s="10"/>
      <c r="BJ585" s="10"/>
      <c r="BK585" s="10"/>
      <c r="BL585" s="10"/>
      <c r="BM585" s="10"/>
      <c r="BN585" s="10"/>
      <c r="BO585" s="10"/>
      <c r="BP585" s="10"/>
      <c r="BQ585" s="10"/>
      <c r="BR585" s="10"/>
      <c r="BS585" s="10"/>
      <c r="BT585" s="10"/>
      <c r="BU585" s="10"/>
      <c r="BV585" s="10"/>
      <c r="BW585" s="10"/>
      <c r="BX585" s="10"/>
      <c r="BY585" s="10"/>
      <c r="BZ585" s="10"/>
      <c r="CA585" s="10"/>
      <c r="CB585" s="10"/>
      <c r="CC585" s="10"/>
      <c r="CD585" s="10"/>
      <c r="CE585" s="10"/>
      <c r="CF585" s="10"/>
      <c r="CG585" s="10"/>
      <c r="CH585" s="10"/>
      <c r="CI585" s="10"/>
      <c r="CJ585" s="10"/>
      <c r="CK585" s="10"/>
      <c r="CL585" s="10"/>
      <c r="CM585" s="10"/>
      <c r="CN585" s="10"/>
      <c r="CO585" s="10"/>
      <c r="CP585" s="10"/>
      <c r="CQ585" s="10"/>
      <c r="CR585" s="10"/>
      <c r="CS585" s="10"/>
      <c r="CT585" s="10"/>
      <c r="CU585" s="10"/>
      <c r="CV585" s="10"/>
      <c r="CW585" s="10"/>
      <c r="CX585" s="10"/>
      <c r="CY585" s="10"/>
      <c r="CZ585" s="10"/>
      <c r="DA585" s="10"/>
      <c r="DB585" s="10"/>
      <c r="DC585" s="10"/>
      <c r="DD585" s="10"/>
      <c r="DE585" s="10"/>
      <c r="DF585" s="10"/>
      <c r="DG585" s="10"/>
      <c r="DH585" s="10"/>
      <c r="DI585" s="10"/>
      <c r="DJ585" s="10"/>
      <c r="DK585" s="10"/>
      <c r="DL585" s="10"/>
      <c r="DM585" s="10"/>
      <c r="DN585" s="10"/>
      <c r="DO585" s="10"/>
      <c r="DP585" s="10"/>
      <c r="DQ585" s="10"/>
      <c r="DR585" s="10"/>
    </row>
    <row r="586" spans="1:122" x14ac:dyDescent="0.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0"/>
      <c r="BC586" s="10"/>
      <c r="BD586" s="10"/>
      <c r="BE586" s="10"/>
      <c r="BF586" s="10"/>
      <c r="BG586" s="10"/>
      <c r="BH586" s="10"/>
      <c r="BI586" s="10"/>
      <c r="BJ586" s="10"/>
      <c r="BK586" s="10"/>
      <c r="BL586" s="10"/>
      <c r="BM586" s="10"/>
      <c r="BN586" s="10"/>
      <c r="BO586" s="10"/>
      <c r="BP586" s="10"/>
      <c r="BQ586" s="10"/>
      <c r="BR586" s="10"/>
      <c r="BS586" s="10"/>
      <c r="BT586" s="10"/>
      <c r="BU586" s="10"/>
      <c r="BV586" s="10"/>
      <c r="BW586" s="10"/>
      <c r="BX586" s="10"/>
      <c r="BY586" s="10"/>
      <c r="BZ586" s="10"/>
      <c r="CA586" s="10"/>
      <c r="CB586" s="10"/>
      <c r="CC586" s="10"/>
      <c r="CD586" s="10"/>
      <c r="CE586" s="10"/>
      <c r="CF586" s="10"/>
      <c r="CG586" s="10"/>
      <c r="CH586" s="10"/>
      <c r="CI586" s="10"/>
      <c r="CJ586" s="10"/>
      <c r="CK586" s="10"/>
      <c r="CL586" s="10"/>
      <c r="CM586" s="10"/>
      <c r="CN586" s="10"/>
      <c r="CO586" s="10"/>
      <c r="CP586" s="10"/>
      <c r="CQ586" s="10"/>
      <c r="CR586" s="10"/>
      <c r="CS586" s="10"/>
      <c r="CT586" s="10"/>
      <c r="CU586" s="10"/>
      <c r="CV586" s="10"/>
      <c r="CW586" s="10"/>
      <c r="CX586" s="10"/>
      <c r="CY586" s="10"/>
      <c r="CZ586" s="10"/>
      <c r="DA586" s="10"/>
      <c r="DB586" s="10"/>
      <c r="DC586" s="10"/>
      <c r="DD586" s="10"/>
      <c r="DE586" s="10"/>
      <c r="DF586" s="10"/>
      <c r="DG586" s="10"/>
      <c r="DH586" s="10"/>
      <c r="DI586" s="10"/>
      <c r="DJ586" s="10"/>
      <c r="DK586" s="10"/>
      <c r="DL586" s="10"/>
      <c r="DM586" s="10"/>
      <c r="DN586" s="10"/>
      <c r="DO586" s="10"/>
      <c r="DP586" s="10"/>
      <c r="DQ586" s="10"/>
      <c r="DR586" s="10"/>
    </row>
    <row r="587" spans="1:122" x14ac:dyDescent="0.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0"/>
      <c r="BC587" s="10"/>
      <c r="BD587" s="10"/>
      <c r="BE587" s="10"/>
      <c r="BF587" s="10"/>
      <c r="BG587" s="10"/>
      <c r="BH587" s="10"/>
      <c r="BI587" s="10"/>
      <c r="BJ587" s="10"/>
      <c r="BK587" s="10"/>
      <c r="BL587" s="10"/>
      <c r="BM587" s="10"/>
      <c r="BN587" s="10"/>
      <c r="BO587" s="10"/>
      <c r="BP587" s="10"/>
      <c r="BQ587" s="10"/>
      <c r="BR587" s="10"/>
      <c r="BS587" s="10"/>
      <c r="BT587" s="10"/>
      <c r="BU587" s="10"/>
      <c r="BV587" s="10"/>
      <c r="BW587" s="10"/>
      <c r="BX587" s="10"/>
      <c r="BY587" s="10"/>
      <c r="BZ587" s="10"/>
      <c r="CA587" s="10"/>
      <c r="CB587" s="10"/>
      <c r="CC587" s="10"/>
      <c r="CD587" s="10"/>
      <c r="CE587" s="10"/>
      <c r="CF587" s="10"/>
      <c r="CG587" s="10"/>
      <c r="CH587" s="10"/>
      <c r="CI587" s="10"/>
      <c r="CJ587" s="10"/>
      <c r="CK587" s="10"/>
      <c r="CL587" s="10"/>
      <c r="CM587" s="10"/>
      <c r="CN587" s="10"/>
      <c r="CO587" s="10"/>
      <c r="CP587" s="10"/>
      <c r="CQ587" s="10"/>
      <c r="CR587" s="10"/>
      <c r="CS587" s="10"/>
      <c r="CT587" s="10"/>
      <c r="CU587" s="10"/>
      <c r="CV587" s="10"/>
      <c r="CW587" s="10"/>
      <c r="CX587" s="10"/>
      <c r="CY587" s="10"/>
      <c r="CZ587" s="10"/>
      <c r="DA587" s="10"/>
      <c r="DB587" s="10"/>
      <c r="DC587" s="10"/>
      <c r="DD587" s="10"/>
      <c r="DE587" s="10"/>
      <c r="DF587" s="10"/>
      <c r="DG587" s="10"/>
      <c r="DH587" s="10"/>
      <c r="DI587" s="10"/>
      <c r="DJ587" s="10"/>
      <c r="DK587" s="10"/>
      <c r="DL587" s="10"/>
      <c r="DM587" s="10"/>
      <c r="DN587" s="10"/>
      <c r="DO587" s="10"/>
      <c r="DP587" s="10"/>
      <c r="DQ587" s="10"/>
      <c r="DR587" s="10"/>
    </row>
    <row r="588" spans="1:122" x14ac:dyDescent="0.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0"/>
      <c r="BC588" s="10"/>
      <c r="BD588" s="10"/>
      <c r="BE588" s="10"/>
      <c r="BF588" s="10"/>
      <c r="BG588" s="10"/>
      <c r="BH588" s="10"/>
      <c r="BI588" s="10"/>
      <c r="BJ588" s="10"/>
      <c r="BK588" s="10"/>
      <c r="BL588" s="10"/>
      <c r="BM588" s="10"/>
      <c r="BN588" s="10"/>
      <c r="BO588" s="10"/>
      <c r="BP588" s="10"/>
      <c r="BQ588" s="10"/>
      <c r="BR588" s="10"/>
      <c r="BS588" s="10"/>
      <c r="BT588" s="10"/>
      <c r="BU588" s="10"/>
      <c r="BV588" s="10"/>
      <c r="BW588" s="10"/>
      <c r="BX588" s="10"/>
      <c r="BY588" s="10"/>
      <c r="BZ588" s="10"/>
      <c r="CA588" s="10"/>
      <c r="CB588" s="10"/>
      <c r="CC588" s="10"/>
      <c r="CD588" s="10"/>
      <c r="CE588" s="10"/>
      <c r="CF588" s="10"/>
      <c r="CG588" s="10"/>
      <c r="CH588" s="10"/>
      <c r="CI588" s="10"/>
      <c r="CJ588" s="10"/>
      <c r="CK588" s="10"/>
      <c r="CL588" s="10"/>
      <c r="CM588" s="10"/>
      <c r="CN588" s="10"/>
      <c r="CO588" s="10"/>
      <c r="CP588" s="10"/>
      <c r="CQ588" s="10"/>
      <c r="CR588" s="10"/>
      <c r="CS588" s="10"/>
      <c r="CT588" s="10"/>
      <c r="CU588" s="10"/>
      <c r="CV588" s="10"/>
      <c r="CW588" s="10"/>
      <c r="CX588" s="10"/>
      <c r="CY588" s="10"/>
      <c r="CZ588" s="10"/>
      <c r="DA588" s="10"/>
      <c r="DB588" s="10"/>
      <c r="DC588" s="10"/>
      <c r="DD588" s="10"/>
      <c r="DE588" s="10"/>
      <c r="DF588" s="10"/>
      <c r="DG588" s="10"/>
      <c r="DH588" s="10"/>
      <c r="DI588" s="10"/>
      <c r="DJ588" s="10"/>
      <c r="DK588" s="10"/>
      <c r="DL588" s="10"/>
      <c r="DM588" s="10"/>
      <c r="DN588" s="10"/>
      <c r="DO588" s="10"/>
      <c r="DP588" s="10"/>
      <c r="DQ588" s="10"/>
      <c r="DR588" s="10"/>
    </row>
    <row r="589" spans="1:122" x14ac:dyDescent="0.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0"/>
      <c r="BC589" s="10"/>
      <c r="BD589" s="10"/>
      <c r="BE589" s="10"/>
      <c r="BF589" s="10"/>
      <c r="BG589" s="10"/>
      <c r="BH589" s="10"/>
      <c r="BI589" s="10"/>
      <c r="BJ589" s="10"/>
      <c r="BK589" s="10"/>
      <c r="BL589" s="10"/>
      <c r="BM589" s="10"/>
      <c r="BN589" s="10"/>
      <c r="BO589" s="10"/>
      <c r="BP589" s="10"/>
      <c r="BQ589" s="10"/>
      <c r="BR589" s="10"/>
      <c r="BS589" s="10"/>
      <c r="BT589" s="10"/>
      <c r="BU589" s="10"/>
      <c r="BV589" s="10"/>
      <c r="BW589" s="10"/>
      <c r="BX589" s="10"/>
      <c r="BY589" s="10"/>
      <c r="BZ589" s="10"/>
      <c r="CA589" s="10"/>
      <c r="CB589" s="10"/>
      <c r="CC589" s="10"/>
      <c r="CD589" s="10"/>
      <c r="CE589" s="10"/>
      <c r="CF589" s="10"/>
      <c r="CG589" s="10"/>
      <c r="CH589" s="10"/>
      <c r="CI589" s="10"/>
      <c r="CJ589" s="10"/>
      <c r="CK589" s="10"/>
      <c r="CL589" s="10"/>
      <c r="CM589" s="10"/>
      <c r="CN589" s="10"/>
      <c r="CO589" s="10"/>
      <c r="CP589" s="10"/>
      <c r="CQ589" s="10"/>
      <c r="CR589" s="10"/>
      <c r="CS589" s="10"/>
      <c r="CT589" s="10"/>
      <c r="CU589" s="10"/>
      <c r="CV589" s="10"/>
      <c r="CW589" s="10"/>
      <c r="CX589" s="10"/>
      <c r="CY589" s="10"/>
      <c r="CZ589" s="10"/>
      <c r="DA589" s="10"/>
      <c r="DB589" s="10"/>
      <c r="DC589" s="10"/>
      <c r="DD589" s="10"/>
      <c r="DE589" s="10"/>
      <c r="DF589" s="10"/>
      <c r="DG589" s="10"/>
      <c r="DH589" s="10"/>
      <c r="DI589" s="10"/>
      <c r="DJ589" s="10"/>
      <c r="DK589" s="10"/>
      <c r="DL589" s="10"/>
      <c r="DM589" s="10"/>
      <c r="DN589" s="10"/>
      <c r="DO589" s="10"/>
      <c r="DP589" s="10"/>
      <c r="DQ589" s="10"/>
      <c r="DR589" s="10"/>
    </row>
    <row r="590" spans="1:122" x14ac:dyDescent="0.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0"/>
      <c r="BC590" s="10"/>
      <c r="BD590" s="10"/>
      <c r="BE590" s="10"/>
      <c r="BF590" s="10"/>
      <c r="BG590" s="10"/>
      <c r="BH590" s="10"/>
      <c r="BI590" s="10"/>
      <c r="BJ590" s="10"/>
      <c r="BK590" s="10"/>
      <c r="BL590" s="10"/>
      <c r="BM590" s="10"/>
      <c r="BN590" s="10"/>
      <c r="BO590" s="10"/>
      <c r="BP590" s="10"/>
      <c r="BQ590" s="10"/>
      <c r="BR590" s="10"/>
      <c r="BS590" s="10"/>
      <c r="BT590" s="10"/>
      <c r="BU590" s="10"/>
      <c r="BV590" s="10"/>
      <c r="BW590" s="10"/>
      <c r="BX590" s="10"/>
      <c r="BY590" s="10"/>
      <c r="BZ590" s="10"/>
      <c r="CA590" s="10"/>
      <c r="CB590" s="10"/>
      <c r="CC590" s="10"/>
      <c r="CD590" s="10"/>
      <c r="CE590" s="10"/>
      <c r="CF590" s="10"/>
      <c r="CG590" s="10"/>
      <c r="CH590" s="10"/>
      <c r="CI590" s="10"/>
      <c r="CJ590" s="10"/>
      <c r="CK590" s="10"/>
      <c r="CL590" s="10"/>
      <c r="CM590" s="10"/>
      <c r="CN590" s="10"/>
      <c r="CO590" s="10"/>
      <c r="CP590" s="10"/>
      <c r="CQ590" s="10"/>
      <c r="CR590" s="10"/>
      <c r="CS590" s="10"/>
      <c r="CT590" s="10"/>
      <c r="CU590" s="10"/>
      <c r="CV590" s="10"/>
      <c r="CW590" s="10"/>
      <c r="CX590" s="10"/>
      <c r="CY590" s="10"/>
      <c r="CZ590" s="10"/>
      <c r="DA590" s="10"/>
      <c r="DB590" s="10"/>
      <c r="DC590" s="10"/>
      <c r="DD590" s="10"/>
      <c r="DE590" s="10"/>
      <c r="DF590" s="10"/>
      <c r="DG590" s="10"/>
      <c r="DH590" s="10"/>
      <c r="DI590" s="10"/>
      <c r="DJ590" s="10"/>
      <c r="DK590" s="10"/>
      <c r="DL590" s="10"/>
      <c r="DM590" s="10"/>
      <c r="DN590" s="10"/>
      <c r="DO590" s="10"/>
      <c r="DP590" s="10"/>
      <c r="DQ590" s="10"/>
      <c r="DR590" s="10"/>
    </row>
    <row r="591" spans="1:122" x14ac:dyDescent="0.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0"/>
      <c r="BC591" s="10"/>
      <c r="BD591" s="10"/>
      <c r="BE591" s="10"/>
      <c r="BF591" s="10"/>
      <c r="BG591" s="10"/>
      <c r="BH591" s="10"/>
      <c r="BI591" s="10"/>
      <c r="BJ591" s="10"/>
      <c r="BK591" s="10"/>
      <c r="BL591" s="10"/>
      <c r="BM591" s="10"/>
      <c r="BN591" s="10"/>
      <c r="BO591" s="10"/>
      <c r="BP591" s="10"/>
      <c r="BQ591" s="10"/>
      <c r="BR591" s="10"/>
      <c r="BS591" s="10"/>
      <c r="BT591" s="10"/>
      <c r="BU591" s="10"/>
      <c r="BV591" s="10"/>
      <c r="BW591" s="10"/>
      <c r="BX591" s="10"/>
      <c r="BY591" s="10"/>
      <c r="BZ591" s="10"/>
      <c r="CA591" s="10"/>
      <c r="CB591" s="10"/>
      <c r="CC591" s="10"/>
      <c r="CD591" s="10"/>
      <c r="CE591" s="10"/>
      <c r="CF591" s="10"/>
      <c r="CG591" s="10"/>
      <c r="CH591" s="10"/>
      <c r="CI591" s="10"/>
      <c r="CJ591" s="10"/>
      <c r="CK591" s="10"/>
      <c r="CL591" s="10"/>
      <c r="CM591" s="10"/>
      <c r="CN591" s="10"/>
      <c r="CO591" s="10"/>
      <c r="CP591" s="10"/>
      <c r="CQ591" s="10"/>
      <c r="CR591" s="10"/>
      <c r="CS591" s="10"/>
      <c r="CT591" s="10"/>
      <c r="CU591" s="10"/>
      <c r="CV591" s="10"/>
      <c r="CW591" s="10"/>
      <c r="CX591" s="10"/>
      <c r="CY591" s="10"/>
      <c r="CZ591" s="10"/>
      <c r="DA591" s="10"/>
      <c r="DB591" s="10"/>
      <c r="DC591" s="10"/>
      <c r="DD591" s="10"/>
      <c r="DE591" s="10"/>
      <c r="DF591" s="10"/>
      <c r="DG591" s="10"/>
      <c r="DH591" s="10"/>
      <c r="DI591" s="10"/>
      <c r="DJ591" s="10"/>
      <c r="DK591" s="10"/>
      <c r="DL591" s="10"/>
      <c r="DM591" s="10"/>
      <c r="DN591" s="10"/>
      <c r="DO591" s="10"/>
      <c r="DP591" s="10"/>
      <c r="DQ591" s="10"/>
      <c r="DR591" s="10"/>
    </row>
    <row r="592" spans="1:122" x14ac:dyDescent="0.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0"/>
      <c r="BC592" s="10"/>
      <c r="BD592" s="10"/>
      <c r="BE592" s="10"/>
      <c r="BF592" s="10"/>
      <c r="BG592" s="10"/>
      <c r="BH592" s="10"/>
      <c r="BI592" s="10"/>
      <c r="BJ592" s="10"/>
      <c r="BK592" s="10"/>
      <c r="BL592" s="10"/>
      <c r="BM592" s="10"/>
      <c r="BN592" s="10"/>
      <c r="BO592" s="10"/>
      <c r="BP592" s="10"/>
      <c r="BQ592" s="10"/>
      <c r="BR592" s="10"/>
      <c r="BS592" s="10"/>
      <c r="BT592" s="10"/>
      <c r="BU592" s="10"/>
      <c r="BV592" s="10"/>
      <c r="BW592" s="10"/>
      <c r="BX592" s="10"/>
      <c r="BY592" s="10"/>
      <c r="BZ592" s="10"/>
      <c r="CA592" s="10"/>
      <c r="CB592" s="10"/>
      <c r="CC592" s="10"/>
      <c r="CD592" s="10"/>
      <c r="CE592" s="10"/>
      <c r="CF592" s="10"/>
      <c r="CG592" s="10"/>
      <c r="CH592" s="10"/>
      <c r="CI592" s="10"/>
      <c r="CJ592" s="10"/>
      <c r="CK592" s="10"/>
      <c r="CL592" s="10"/>
      <c r="CM592" s="10"/>
      <c r="CN592" s="10"/>
      <c r="CO592" s="10"/>
      <c r="CP592" s="10"/>
      <c r="CQ592" s="10"/>
      <c r="CR592" s="10"/>
      <c r="CS592" s="10"/>
      <c r="CT592" s="10"/>
      <c r="CU592" s="10"/>
      <c r="CV592" s="10"/>
      <c r="CW592" s="10"/>
      <c r="CX592" s="10"/>
      <c r="CY592" s="10"/>
      <c r="CZ592" s="10"/>
      <c r="DA592" s="10"/>
      <c r="DB592" s="10"/>
      <c r="DC592" s="10"/>
      <c r="DD592" s="10"/>
      <c r="DE592" s="10"/>
      <c r="DF592" s="10"/>
      <c r="DG592" s="10"/>
      <c r="DH592" s="10"/>
      <c r="DI592" s="10"/>
      <c r="DJ592" s="10"/>
      <c r="DK592" s="10"/>
      <c r="DL592" s="10"/>
      <c r="DM592" s="10"/>
      <c r="DN592" s="10"/>
      <c r="DO592" s="10"/>
      <c r="DP592" s="10"/>
      <c r="DQ592" s="10"/>
      <c r="DR592" s="10"/>
    </row>
    <row r="593" spans="1:122" x14ac:dyDescent="0.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0"/>
      <c r="BC593" s="10"/>
      <c r="BD593" s="10"/>
      <c r="BE593" s="10"/>
      <c r="BF593" s="10"/>
      <c r="BG593" s="10"/>
      <c r="BH593" s="10"/>
      <c r="BI593" s="10"/>
      <c r="BJ593" s="10"/>
      <c r="BK593" s="10"/>
      <c r="BL593" s="10"/>
      <c r="BM593" s="10"/>
      <c r="BN593" s="10"/>
      <c r="BO593" s="10"/>
      <c r="BP593" s="10"/>
      <c r="BQ593" s="10"/>
      <c r="BR593" s="10"/>
      <c r="BS593" s="10"/>
      <c r="BT593" s="10"/>
      <c r="BU593" s="10"/>
      <c r="BV593" s="10"/>
      <c r="BW593" s="10"/>
      <c r="BX593" s="10"/>
      <c r="BY593" s="10"/>
      <c r="BZ593" s="10"/>
      <c r="CA593" s="10"/>
      <c r="CB593" s="10"/>
      <c r="CC593" s="10"/>
      <c r="CD593" s="10"/>
      <c r="CE593" s="10"/>
      <c r="CF593" s="10"/>
      <c r="CG593" s="10"/>
      <c r="CH593" s="10"/>
      <c r="CI593" s="10"/>
      <c r="CJ593" s="10"/>
      <c r="CK593" s="10"/>
      <c r="CL593" s="10"/>
      <c r="CM593" s="10"/>
      <c r="CN593" s="10"/>
      <c r="CO593" s="10"/>
      <c r="CP593" s="10"/>
      <c r="CQ593" s="10"/>
      <c r="CR593" s="10"/>
      <c r="CS593" s="10"/>
      <c r="CT593" s="10"/>
      <c r="CU593" s="10"/>
      <c r="CV593" s="10"/>
      <c r="CW593" s="10"/>
      <c r="CX593" s="10"/>
      <c r="CY593" s="10"/>
      <c r="CZ593" s="10"/>
      <c r="DA593" s="10"/>
      <c r="DB593" s="10"/>
      <c r="DC593" s="10"/>
      <c r="DD593" s="10"/>
      <c r="DE593" s="10"/>
      <c r="DF593" s="10"/>
      <c r="DG593" s="10"/>
      <c r="DH593" s="10"/>
      <c r="DI593" s="10"/>
      <c r="DJ593" s="10"/>
      <c r="DK593" s="10"/>
      <c r="DL593" s="10"/>
      <c r="DM593" s="10"/>
      <c r="DN593" s="10"/>
      <c r="DO593" s="10"/>
      <c r="DP593" s="10"/>
      <c r="DQ593" s="10"/>
      <c r="DR593" s="10"/>
    </row>
    <row r="594" spans="1:122" x14ac:dyDescent="0.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0"/>
      <c r="BC594" s="10"/>
      <c r="BD594" s="10"/>
      <c r="BE594" s="10"/>
      <c r="BF594" s="10"/>
      <c r="BG594" s="10"/>
      <c r="BH594" s="10"/>
      <c r="BI594" s="10"/>
      <c r="BJ594" s="10"/>
      <c r="BK594" s="10"/>
      <c r="BL594" s="10"/>
      <c r="BM594" s="10"/>
      <c r="BN594" s="10"/>
      <c r="BO594" s="10"/>
      <c r="BP594" s="10"/>
      <c r="BQ594" s="10"/>
      <c r="BR594" s="10"/>
      <c r="BS594" s="10"/>
      <c r="BT594" s="10"/>
      <c r="BU594" s="10"/>
      <c r="BV594" s="10"/>
      <c r="BW594" s="10"/>
      <c r="BX594" s="10"/>
      <c r="BY594" s="10"/>
      <c r="BZ594" s="10"/>
      <c r="CA594" s="10"/>
      <c r="CB594" s="10"/>
      <c r="CC594" s="10"/>
      <c r="CD594" s="10"/>
      <c r="CE594" s="10"/>
      <c r="CF594" s="10"/>
      <c r="CG594" s="10"/>
      <c r="CH594" s="10"/>
      <c r="CI594" s="10"/>
      <c r="CJ594" s="10"/>
      <c r="CK594" s="10"/>
      <c r="CL594" s="10"/>
      <c r="CM594" s="10"/>
      <c r="CN594" s="10"/>
      <c r="CO594" s="10"/>
      <c r="CP594" s="10"/>
      <c r="CQ594" s="10"/>
      <c r="CR594" s="10"/>
      <c r="CS594" s="10"/>
      <c r="CT594" s="10"/>
      <c r="CU594" s="10"/>
      <c r="CV594" s="10"/>
      <c r="CW594" s="10"/>
      <c r="CX594" s="10"/>
      <c r="CY594" s="10"/>
      <c r="CZ594" s="10"/>
      <c r="DA594" s="10"/>
      <c r="DB594" s="10"/>
      <c r="DC594" s="10"/>
      <c r="DD594" s="10"/>
      <c r="DE594" s="10"/>
      <c r="DF594" s="10"/>
      <c r="DG594" s="10"/>
      <c r="DH594" s="10"/>
      <c r="DI594" s="10"/>
      <c r="DJ594" s="10"/>
      <c r="DK594" s="10"/>
      <c r="DL594" s="10"/>
      <c r="DM594" s="10"/>
      <c r="DN594" s="10"/>
      <c r="DO594" s="10"/>
      <c r="DP594" s="10"/>
      <c r="DQ594" s="10"/>
      <c r="DR594" s="10"/>
    </row>
    <row r="595" spans="1:122" x14ac:dyDescent="0.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0"/>
      <c r="BC595" s="10"/>
      <c r="BD595" s="10"/>
      <c r="BE595" s="10"/>
      <c r="BF595" s="10"/>
      <c r="BG595" s="10"/>
      <c r="BH595" s="10"/>
      <c r="BI595" s="10"/>
      <c r="BJ595" s="10"/>
      <c r="BK595" s="10"/>
      <c r="BL595" s="10"/>
      <c r="BM595" s="10"/>
      <c r="BN595" s="10"/>
      <c r="BO595" s="10"/>
      <c r="BP595" s="10"/>
      <c r="BQ595" s="10"/>
      <c r="BR595" s="10"/>
      <c r="BS595" s="10"/>
      <c r="BT595" s="10"/>
      <c r="BU595" s="10"/>
      <c r="BV595" s="10"/>
      <c r="BW595" s="10"/>
      <c r="BX595" s="10"/>
      <c r="BY595" s="10"/>
      <c r="BZ595" s="10"/>
      <c r="CA595" s="10"/>
      <c r="CB595" s="10"/>
      <c r="CC595" s="10"/>
      <c r="CD595" s="10"/>
      <c r="CE595" s="10"/>
      <c r="CF595" s="10"/>
      <c r="CG595" s="10"/>
      <c r="CH595" s="10"/>
      <c r="CI595" s="10"/>
      <c r="CJ595" s="10"/>
      <c r="CK595" s="10"/>
      <c r="CL595" s="10"/>
      <c r="CM595" s="10"/>
      <c r="CN595" s="10"/>
      <c r="CO595" s="10"/>
      <c r="CP595" s="10"/>
      <c r="CQ595" s="10"/>
      <c r="CR595" s="10"/>
      <c r="CS595" s="10"/>
      <c r="CT595" s="10"/>
      <c r="CU595" s="10"/>
      <c r="CV595" s="10"/>
      <c r="CW595" s="10"/>
      <c r="CX595" s="10"/>
      <c r="CY595" s="10"/>
      <c r="CZ595" s="10"/>
      <c r="DA595" s="10"/>
      <c r="DB595" s="10"/>
      <c r="DC595" s="10"/>
      <c r="DD595" s="10"/>
      <c r="DE595" s="10"/>
      <c r="DF595" s="10"/>
      <c r="DG595" s="10"/>
      <c r="DH595" s="10"/>
      <c r="DI595" s="10"/>
      <c r="DJ595" s="10"/>
      <c r="DK595" s="10"/>
      <c r="DL595" s="10"/>
      <c r="DM595" s="10"/>
      <c r="DN595" s="10"/>
      <c r="DO595" s="10"/>
      <c r="DP595" s="10"/>
      <c r="DQ595" s="10"/>
      <c r="DR595" s="10"/>
    </row>
    <row r="596" spans="1:122" x14ac:dyDescent="0.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0"/>
      <c r="BC596" s="10"/>
      <c r="BD596" s="10"/>
      <c r="BE596" s="10"/>
      <c r="BF596" s="10"/>
      <c r="BG596" s="10"/>
      <c r="BH596" s="10"/>
      <c r="BI596" s="10"/>
      <c r="BJ596" s="10"/>
      <c r="BK596" s="10"/>
      <c r="BL596" s="10"/>
      <c r="BM596" s="10"/>
      <c r="BN596" s="10"/>
      <c r="BO596" s="10"/>
      <c r="BP596" s="10"/>
      <c r="BQ596" s="10"/>
      <c r="BR596" s="10"/>
      <c r="BS596" s="10"/>
      <c r="BT596" s="10"/>
      <c r="BU596" s="10"/>
      <c r="BV596" s="10"/>
      <c r="BW596" s="10"/>
      <c r="BX596" s="10"/>
      <c r="BY596" s="10"/>
      <c r="BZ596" s="10"/>
      <c r="CA596" s="10"/>
      <c r="CB596" s="10"/>
      <c r="CC596" s="10"/>
      <c r="CD596" s="10"/>
      <c r="CE596" s="10"/>
      <c r="CF596" s="10"/>
      <c r="CG596" s="10"/>
      <c r="CH596" s="10"/>
      <c r="CI596" s="10"/>
      <c r="CJ596" s="10"/>
      <c r="CK596" s="10"/>
      <c r="CL596" s="10"/>
      <c r="CM596" s="10"/>
      <c r="CN596" s="10"/>
      <c r="CO596" s="10"/>
      <c r="CP596" s="10"/>
      <c r="CQ596" s="10"/>
      <c r="CR596" s="10"/>
      <c r="CS596" s="10"/>
      <c r="CT596" s="10"/>
      <c r="CU596" s="10"/>
      <c r="CV596" s="10"/>
      <c r="CW596" s="10"/>
      <c r="CX596" s="10"/>
      <c r="CY596" s="10"/>
      <c r="CZ596" s="10"/>
      <c r="DA596" s="10"/>
      <c r="DB596" s="10"/>
      <c r="DC596" s="10"/>
      <c r="DD596" s="10"/>
      <c r="DE596" s="10"/>
      <c r="DF596" s="10"/>
      <c r="DG596" s="10"/>
      <c r="DH596" s="10"/>
      <c r="DI596" s="10"/>
      <c r="DJ596" s="10"/>
      <c r="DK596" s="10"/>
      <c r="DL596" s="10"/>
      <c r="DM596" s="10"/>
      <c r="DN596" s="10"/>
      <c r="DO596" s="10"/>
      <c r="DP596" s="10"/>
      <c r="DQ596" s="10"/>
      <c r="DR596" s="10"/>
    </row>
    <row r="597" spans="1:122" x14ac:dyDescent="0.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0"/>
      <c r="BC597" s="10"/>
      <c r="BD597" s="10"/>
      <c r="BE597" s="10"/>
      <c r="BF597" s="10"/>
      <c r="BG597" s="10"/>
      <c r="BH597" s="10"/>
      <c r="BI597" s="10"/>
      <c r="BJ597" s="10"/>
      <c r="BK597" s="10"/>
      <c r="BL597" s="10"/>
      <c r="BM597" s="10"/>
      <c r="BN597" s="10"/>
      <c r="BO597" s="10"/>
      <c r="BP597" s="10"/>
      <c r="BQ597" s="10"/>
      <c r="BR597" s="10"/>
      <c r="BS597" s="10"/>
      <c r="BT597" s="10"/>
      <c r="BU597" s="10"/>
      <c r="BV597" s="10"/>
      <c r="BW597" s="10"/>
      <c r="BX597" s="10"/>
      <c r="BY597" s="10"/>
      <c r="BZ597" s="10"/>
      <c r="CA597" s="10"/>
      <c r="CB597" s="10"/>
      <c r="CC597" s="10"/>
      <c r="CD597" s="10"/>
      <c r="CE597" s="10"/>
      <c r="CF597" s="10"/>
      <c r="CG597" s="10"/>
      <c r="CH597" s="10"/>
      <c r="CI597" s="10"/>
      <c r="CJ597" s="10"/>
      <c r="CK597" s="10"/>
      <c r="CL597" s="10"/>
      <c r="CM597" s="10"/>
      <c r="CN597" s="10"/>
      <c r="CO597" s="10"/>
      <c r="CP597" s="10"/>
      <c r="CQ597" s="10"/>
      <c r="CR597" s="10"/>
      <c r="CS597" s="10"/>
      <c r="CT597" s="10"/>
      <c r="CU597" s="10"/>
      <c r="CV597" s="10"/>
      <c r="CW597" s="10"/>
      <c r="CX597" s="10"/>
      <c r="CY597" s="10"/>
      <c r="CZ597" s="10"/>
      <c r="DA597" s="10"/>
      <c r="DB597" s="10"/>
      <c r="DC597" s="10"/>
      <c r="DD597" s="10"/>
      <c r="DE597" s="10"/>
      <c r="DF597" s="10"/>
      <c r="DG597" s="10"/>
      <c r="DH597" s="10"/>
      <c r="DI597" s="10"/>
      <c r="DJ597" s="10"/>
      <c r="DK597" s="10"/>
      <c r="DL597" s="10"/>
      <c r="DM597" s="10"/>
      <c r="DN597" s="10"/>
      <c r="DO597" s="10"/>
      <c r="DP597" s="10"/>
      <c r="DQ597" s="10"/>
      <c r="DR597" s="10"/>
    </row>
    <row r="598" spans="1:122" x14ac:dyDescent="0.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0"/>
      <c r="BC598" s="10"/>
      <c r="BD598" s="10"/>
      <c r="BE598" s="10"/>
      <c r="BF598" s="10"/>
      <c r="BG598" s="10"/>
      <c r="BH598" s="10"/>
      <c r="BI598" s="10"/>
      <c r="BJ598" s="10"/>
      <c r="BK598" s="10"/>
      <c r="BL598" s="10"/>
      <c r="BM598" s="10"/>
      <c r="BN598" s="10"/>
      <c r="BO598" s="10"/>
      <c r="BP598" s="10"/>
      <c r="BQ598" s="10"/>
      <c r="BR598" s="10"/>
      <c r="BS598" s="10"/>
      <c r="BT598" s="10"/>
      <c r="BU598" s="10"/>
      <c r="BV598" s="10"/>
      <c r="BW598" s="10"/>
      <c r="BX598" s="10"/>
      <c r="BY598" s="10"/>
      <c r="BZ598" s="10"/>
      <c r="CA598" s="10"/>
      <c r="CB598" s="10"/>
      <c r="CC598" s="10"/>
      <c r="CD598" s="10"/>
      <c r="CE598" s="10"/>
      <c r="CF598" s="10"/>
      <c r="CG598" s="10"/>
      <c r="CH598" s="10"/>
      <c r="CI598" s="10"/>
      <c r="CJ598" s="10"/>
      <c r="CK598" s="10"/>
      <c r="CL598" s="10"/>
      <c r="CM598" s="10"/>
      <c r="CN598" s="10"/>
      <c r="CO598" s="10"/>
      <c r="CP598" s="10"/>
      <c r="CQ598" s="10"/>
      <c r="CR598" s="10"/>
      <c r="CS598" s="10"/>
      <c r="CT598" s="10"/>
      <c r="CU598" s="10"/>
      <c r="CV598" s="10"/>
      <c r="CW598" s="10"/>
      <c r="CX598" s="10"/>
      <c r="CY598" s="10"/>
      <c r="CZ598" s="10"/>
      <c r="DA598" s="10"/>
      <c r="DB598" s="10"/>
      <c r="DC598" s="10"/>
      <c r="DD598" s="10"/>
      <c r="DE598" s="10"/>
      <c r="DF598" s="10"/>
      <c r="DG598" s="10"/>
      <c r="DH598" s="10"/>
      <c r="DI598" s="10"/>
      <c r="DJ598" s="10"/>
      <c r="DK598" s="10"/>
      <c r="DL598" s="10"/>
      <c r="DM598" s="10"/>
      <c r="DN598" s="10"/>
      <c r="DO598" s="10"/>
      <c r="DP598" s="10"/>
      <c r="DQ598" s="10"/>
      <c r="DR598" s="10"/>
    </row>
    <row r="599" spans="1:122" x14ac:dyDescent="0.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0"/>
      <c r="BC599" s="10"/>
      <c r="BD599" s="10"/>
      <c r="BE599" s="10"/>
      <c r="BF599" s="10"/>
      <c r="BG599" s="10"/>
      <c r="BH599" s="10"/>
      <c r="BI599" s="10"/>
      <c r="BJ599" s="10"/>
      <c r="BK599" s="10"/>
      <c r="BL599" s="10"/>
      <c r="BM599" s="10"/>
      <c r="BN599" s="10"/>
      <c r="BO599" s="10"/>
      <c r="BP599" s="10"/>
      <c r="BQ599" s="10"/>
      <c r="BR599" s="10"/>
      <c r="BS599" s="10"/>
      <c r="BT599" s="10"/>
      <c r="BU599" s="10"/>
      <c r="BV599" s="10"/>
      <c r="BW599" s="10"/>
      <c r="BX599" s="10"/>
      <c r="BY599" s="10"/>
      <c r="BZ599" s="10"/>
      <c r="CA599" s="10"/>
      <c r="CB599" s="10"/>
      <c r="CC599" s="10"/>
      <c r="CD599" s="10"/>
      <c r="CE599" s="10"/>
      <c r="CF599" s="10"/>
      <c r="CG599" s="10"/>
      <c r="CH599" s="10"/>
      <c r="CI599" s="10"/>
      <c r="CJ599" s="10"/>
      <c r="CK599" s="10"/>
      <c r="CL599" s="10"/>
      <c r="CM599" s="10"/>
      <c r="CN599" s="10"/>
      <c r="CO599" s="10"/>
      <c r="CP599" s="10"/>
      <c r="CQ599" s="10"/>
      <c r="CR599" s="10"/>
      <c r="CS599" s="10"/>
      <c r="CT599" s="10"/>
      <c r="CU599" s="10"/>
      <c r="CV599" s="10"/>
      <c r="CW599" s="10"/>
      <c r="CX599" s="10"/>
      <c r="CY599" s="10"/>
      <c r="CZ599" s="10"/>
      <c r="DA599" s="10"/>
      <c r="DB599" s="10"/>
      <c r="DC599" s="10"/>
      <c r="DD599" s="10"/>
      <c r="DE599" s="10"/>
      <c r="DF599" s="10"/>
      <c r="DG599" s="10"/>
      <c r="DH599" s="10"/>
      <c r="DI599" s="10"/>
      <c r="DJ599" s="10"/>
      <c r="DK599" s="10"/>
      <c r="DL599" s="10"/>
      <c r="DM599" s="10"/>
      <c r="DN599" s="10"/>
      <c r="DO599" s="10"/>
      <c r="DP599" s="10"/>
      <c r="DQ599" s="10"/>
      <c r="DR599" s="10"/>
    </row>
    <row r="600" spans="1:122" x14ac:dyDescent="0.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0"/>
      <c r="BC600" s="10"/>
      <c r="BD600" s="10"/>
      <c r="BE600" s="10"/>
      <c r="BF600" s="10"/>
      <c r="BG600" s="10"/>
      <c r="BH600" s="10"/>
      <c r="BI600" s="10"/>
      <c r="BJ600" s="10"/>
      <c r="BK600" s="10"/>
      <c r="BL600" s="10"/>
      <c r="BM600" s="10"/>
      <c r="BN600" s="10"/>
      <c r="BO600" s="10"/>
      <c r="BP600" s="10"/>
      <c r="BQ600" s="10"/>
      <c r="BR600" s="10"/>
      <c r="BS600" s="10"/>
      <c r="BT600" s="10"/>
      <c r="BU600" s="10"/>
      <c r="BV600" s="10"/>
      <c r="BW600" s="10"/>
      <c r="BX600" s="10"/>
      <c r="BY600" s="10"/>
      <c r="BZ600" s="10"/>
      <c r="CA600" s="10"/>
      <c r="CB600" s="10"/>
      <c r="CC600" s="10"/>
      <c r="CD600" s="10"/>
      <c r="CE600" s="10"/>
      <c r="CF600" s="10"/>
      <c r="CG600" s="10"/>
      <c r="CH600" s="10"/>
      <c r="CI600" s="10"/>
      <c r="CJ600" s="10"/>
      <c r="CK600" s="10"/>
      <c r="CL600" s="10"/>
      <c r="CM600" s="10"/>
      <c r="CN600" s="10"/>
      <c r="CO600" s="10"/>
      <c r="CP600" s="10"/>
      <c r="CQ600" s="10"/>
      <c r="CR600" s="10"/>
      <c r="CS600" s="10"/>
      <c r="CT600" s="10"/>
      <c r="CU600" s="10"/>
      <c r="CV600" s="10"/>
      <c r="CW600" s="10"/>
      <c r="CX600" s="10"/>
      <c r="CY600" s="10"/>
      <c r="CZ600" s="10"/>
      <c r="DA600" s="10"/>
      <c r="DB600" s="10"/>
      <c r="DC600" s="10"/>
      <c r="DD600" s="10"/>
      <c r="DE600" s="10"/>
      <c r="DF600" s="10"/>
      <c r="DG600" s="10"/>
      <c r="DH600" s="10"/>
      <c r="DI600" s="10"/>
      <c r="DJ600" s="10"/>
      <c r="DK600" s="10"/>
      <c r="DL600" s="10"/>
      <c r="DM600" s="10"/>
      <c r="DN600" s="10"/>
      <c r="DO600" s="10"/>
      <c r="DP600" s="10"/>
      <c r="DQ600" s="10"/>
      <c r="DR600" s="10"/>
    </row>
    <row r="601" spans="1:122" x14ac:dyDescent="0.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0"/>
      <c r="BC601" s="10"/>
      <c r="BD601" s="10"/>
      <c r="BE601" s="10"/>
      <c r="BF601" s="10"/>
      <c r="BG601" s="10"/>
      <c r="BH601" s="10"/>
      <c r="BI601" s="10"/>
      <c r="BJ601" s="10"/>
      <c r="BK601" s="10"/>
      <c r="BL601" s="10"/>
      <c r="BM601" s="10"/>
      <c r="BN601" s="10"/>
      <c r="BO601" s="10"/>
      <c r="BP601" s="10"/>
      <c r="BQ601" s="10"/>
      <c r="BR601" s="10"/>
      <c r="BS601" s="10"/>
      <c r="BT601" s="10"/>
      <c r="BU601" s="10"/>
      <c r="BV601" s="10"/>
      <c r="BW601" s="10"/>
      <c r="BX601" s="10"/>
      <c r="BY601" s="10"/>
      <c r="BZ601" s="10"/>
      <c r="CA601" s="10"/>
      <c r="CB601" s="10"/>
      <c r="CC601" s="10"/>
      <c r="CD601" s="10"/>
      <c r="CE601" s="10"/>
      <c r="CF601" s="10"/>
      <c r="CG601" s="10"/>
      <c r="CH601" s="10"/>
      <c r="CI601" s="10"/>
      <c r="CJ601" s="10"/>
      <c r="CK601" s="10"/>
      <c r="CL601" s="10"/>
      <c r="CM601" s="10"/>
      <c r="CN601" s="10"/>
      <c r="CO601" s="10"/>
      <c r="CP601" s="10"/>
      <c r="CQ601" s="10"/>
      <c r="CR601" s="10"/>
      <c r="CS601" s="10"/>
      <c r="CT601" s="10"/>
      <c r="CU601" s="10"/>
      <c r="CV601" s="10"/>
      <c r="CW601" s="10"/>
      <c r="CX601" s="10"/>
      <c r="CY601" s="10"/>
      <c r="CZ601" s="10"/>
      <c r="DA601" s="10"/>
      <c r="DB601" s="10"/>
      <c r="DC601" s="10"/>
      <c r="DD601" s="10"/>
      <c r="DE601" s="10"/>
      <c r="DF601" s="10"/>
      <c r="DG601" s="10"/>
      <c r="DH601" s="10"/>
      <c r="DI601" s="10"/>
      <c r="DJ601" s="10"/>
      <c r="DK601" s="10"/>
      <c r="DL601" s="10"/>
      <c r="DM601" s="10"/>
      <c r="DN601" s="10"/>
      <c r="DO601" s="10"/>
      <c r="DP601" s="10"/>
      <c r="DQ601" s="10"/>
      <c r="DR601" s="10"/>
    </row>
    <row r="602" spans="1:122" x14ac:dyDescent="0.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0"/>
      <c r="BC602" s="10"/>
      <c r="BD602" s="10"/>
      <c r="BE602" s="10"/>
      <c r="BF602" s="10"/>
      <c r="BG602" s="10"/>
      <c r="BH602" s="10"/>
      <c r="BI602" s="10"/>
      <c r="BJ602" s="10"/>
      <c r="BK602" s="10"/>
      <c r="BL602" s="10"/>
      <c r="BM602" s="10"/>
      <c r="BN602" s="10"/>
      <c r="BO602" s="10"/>
      <c r="BP602" s="10"/>
      <c r="BQ602" s="10"/>
      <c r="BR602" s="10"/>
      <c r="BS602" s="10"/>
      <c r="BT602" s="10"/>
      <c r="BU602" s="10"/>
      <c r="BV602" s="10"/>
      <c r="BW602" s="10"/>
      <c r="BX602" s="10"/>
      <c r="BY602" s="10"/>
      <c r="BZ602" s="10"/>
      <c r="CA602" s="10"/>
      <c r="CB602" s="10"/>
      <c r="CC602" s="10"/>
      <c r="CD602" s="10"/>
      <c r="CE602" s="10"/>
      <c r="CF602" s="10"/>
      <c r="CG602" s="10"/>
      <c r="CH602" s="10"/>
      <c r="CI602" s="10"/>
      <c r="CJ602" s="10"/>
      <c r="CK602" s="10"/>
      <c r="CL602" s="10"/>
      <c r="CM602" s="10"/>
      <c r="CN602" s="10"/>
      <c r="CO602" s="10"/>
      <c r="CP602" s="10"/>
      <c r="CQ602" s="10"/>
      <c r="CR602" s="10"/>
      <c r="CS602" s="10"/>
      <c r="CT602" s="10"/>
      <c r="CU602" s="10"/>
      <c r="CV602" s="10"/>
      <c r="CW602" s="10"/>
      <c r="CX602" s="10"/>
      <c r="CY602" s="10"/>
      <c r="CZ602" s="10"/>
      <c r="DA602" s="10"/>
      <c r="DB602" s="10"/>
      <c r="DC602" s="10"/>
      <c r="DD602" s="10"/>
      <c r="DE602" s="10"/>
      <c r="DF602" s="10"/>
      <c r="DG602" s="10"/>
      <c r="DH602" s="10"/>
      <c r="DI602" s="10"/>
      <c r="DJ602" s="10"/>
      <c r="DK602" s="10"/>
      <c r="DL602" s="10"/>
      <c r="DM602" s="10"/>
      <c r="DN602" s="10"/>
      <c r="DO602" s="10"/>
      <c r="DP602" s="10"/>
      <c r="DQ602" s="10"/>
      <c r="DR602" s="10"/>
    </row>
    <row r="603" spans="1:122" x14ac:dyDescent="0.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0"/>
      <c r="BC603" s="10"/>
      <c r="BD603" s="10"/>
      <c r="BE603" s="10"/>
      <c r="BF603" s="10"/>
      <c r="BG603" s="10"/>
      <c r="BH603" s="10"/>
      <c r="BI603" s="10"/>
      <c r="BJ603" s="10"/>
      <c r="BK603" s="10"/>
      <c r="BL603" s="10"/>
      <c r="BM603" s="10"/>
      <c r="BN603" s="10"/>
      <c r="BO603" s="10"/>
      <c r="BP603" s="10"/>
      <c r="BQ603" s="10"/>
      <c r="BR603" s="10"/>
      <c r="BS603" s="10"/>
      <c r="BT603" s="10"/>
      <c r="BU603" s="10"/>
      <c r="BV603" s="10"/>
      <c r="BW603" s="10"/>
      <c r="BX603" s="10"/>
      <c r="BY603" s="10"/>
      <c r="BZ603" s="10"/>
      <c r="CA603" s="10"/>
      <c r="CB603" s="10"/>
      <c r="CC603" s="10"/>
      <c r="CD603" s="10"/>
      <c r="CE603" s="10"/>
      <c r="CF603" s="10"/>
      <c r="CG603" s="10"/>
      <c r="CH603" s="10"/>
      <c r="CI603" s="10"/>
      <c r="CJ603" s="10"/>
      <c r="CK603" s="10"/>
      <c r="CL603" s="10"/>
      <c r="CM603" s="10"/>
      <c r="CN603" s="10"/>
      <c r="CO603" s="10"/>
      <c r="CP603" s="10"/>
      <c r="CQ603" s="10"/>
      <c r="CR603" s="10"/>
      <c r="CS603" s="10"/>
      <c r="CT603" s="10"/>
      <c r="CU603" s="10"/>
      <c r="CV603" s="10"/>
      <c r="CW603" s="10"/>
      <c r="CX603" s="10"/>
      <c r="CY603" s="10"/>
      <c r="CZ603" s="10"/>
      <c r="DA603" s="10"/>
      <c r="DB603" s="10"/>
      <c r="DC603" s="10"/>
      <c r="DD603" s="10"/>
      <c r="DE603" s="10"/>
      <c r="DF603" s="10"/>
      <c r="DG603" s="10"/>
      <c r="DH603" s="10"/>
      <c r="DI603" s="10"/>
      <c r="DJ603" s="10"/>
      <c r="DK603" s="10"/>
      <c r="DL603" s="10"/>
      <c r="DM603" s="10"/>
      <c r="DN603" s="10"/>
      <c r="DO603" s="10"/>
      <c r="DP603" s="10"/>
      <c r="DQ603" s="10"/>
      <c r="DR603" s="10"/>
    </row>
    <row r="604" spans="1:122" x14ac:dyDescent="0.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0"/>
      <c r="BC604" s="10"/>
      <c r="BD604" s="10"/>
      <c r="BE604" s="10"/>
      <c r="BF604" s="10"/>
      <c r="BG604" s="10"/>
      <c r="BH604" s="10"/>
      <c r="BI604" s="10"/>
      <c r="BJ604" s="10"/>
      <c r="BK604" s="10"/>
      <c r="BL604" s="10"/>
      <c r="BM604" s="10"/>
      <c r="BN604" s="10"/>
      <c r="BO604" s="10"/>
      <c r="BP604" s="10"/>
      <c r="BQ604" s="10"/>
      <c r="BR604" s="10"/>
      <c r="BS604" s="10"/>
      <c r="BT604" s="10"/>
      <c r="BU604" s="10"/>
      <c r="BV604" s="10"/>
      <c r="BW604" s="10"/>
      <c r="BX604" s="10"/>
      <c r="BY604" s="10"/>
      <c r="BZ604" s="10"/>
      <c r="CA604" s="10"/>
      <c r="CB604" s="10"/>
      <c r="CC604" s="10"/>
      <c r="CD604" s="10"/>
      <c r="CE604" s="10"/>
      <c r="CF604" s="10"/>
      <c r="CG604" s="10"/>
      <c r="CH604" s="10"/>
      <c r="CI604" s="10"/>
      <c r="CJ604" s="10"/>
      <c r="CK604" s="10"/>
      <c r="CL604" s="10"/>
      <c r="CM604" s="10"/>
      <c r="CN604" s="10"/>
      <c r="CO604" s="10"/>
      <c r="CP604" s="10"/>
      <c r="CQ604" s="10"/>
      <c r="CR604" s="10"/>
      <c r="CS604" s="10"/>
      <c r="CT604" s="10"/>
      <c r="CU604" s="10"/>
      <c r="CV604" s="10"/>
      <c r="CW604" s="10"/>
      <c r="CX604" s="10"/>
      <c r="CY604" s="10"/>
      <c r="CZ604" s="10"/>
      <c r="DA604" s="10"/>
      <c r="DB604" s="10"/>
      <c r="DC604" s="10"/>
      <c r="DD604" s="10"/>
      <c r="DE604" s="10"/>
      <c r="DF604" s="10"/>
      <c r="DG604" s="10"/>
      <c r="DH604" s="10"/>
      <c r="DI604" s="10"/>
      <c r="DJ604" s="10"/>
      <c r="DK604" s="10"/>
      <c r="DL604" s="10"/>
      <c r="DM604" s="10"/>
      <c r="DN604" s="10"/>
      <c r="DO604" s="10"/>
      <c r="DP604" s="10"/>
      <c r="DQ604" s="10"/>
      <c r="DR604" s="10"/>
    </row>
    <row r="605" spans="1:122" x14ac:dyDescent="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0"/>
      <c r="BC605" s="10"/>
      <c r="BD605" s="10"/>
      <c r="BE605" s="10"/>
      <c r="BF605" s="10"/>
      <c r="BG605" s="10"/>
      <c r="BH605" s="10"/>
      <c r="BI605" s="10"/>
      <c r="BJ605" s="10"/>
      <c r="BK605" s="10"/>
      <c r="BL605" s="10"/>
      <c r="BM605" s="10"/>
      <c r="BN605" s="10"/>
      <c r="BO605" s="10"/>
      <c r="BP605" s="10"/>
      <c r="BQ605" s="10"/>
      <c r="BR605" s="10"/>
      <c r="BS605" s="10"/>
      <c r="BT605" s="10"/>
      <c r="BU605" s="10"/>
      <c r="BV605" s="10"/>
      <c r="BW605" s="10"/>
      <c r="BX605" s="10"/>
      <c r="BY605" s="10"/>
      <c r="BZ605" s="10"/>
      <c r="CA605" s="10"/>
      <c r="CB605" s="10"/>
      <c r="CC605" s="10"/>
      <c r="CD605" s="10"/>
      <c r="CE605" s="10"/>
      <c r="CF605" s="10"/>
      <c r="CG605" s="10"/>
      <c r="CH605" s="10"/>
      <c r="CI605" s="10"/>
      <c r="CJ605" s="10"/>
      <c r="CK605" s="10"/>
      <c r="CL605" s="10"/>
      <c r="CM605" s="10"/>
      <c r="CN605" s="10"/>
      <c r="CO605" s="10"/>
      <c r="CP605" s="10"/>
      <c r="CQ605" s="10"/>
      <c r="CR605" s="10"/>
      <c r="CS605" s="10"/>
      <c r="CT605" s="10"/>
      <c r="CU605" s="10"/>
      <c r="CV605" s="10"/>
      <c r="CW605" s="10"/>
      <c r="CX605" s="10"/>
      <c r="CY605" s="10"/>
      <c r="CZ605" s="10"/>
      <c r="DA605" s="10"/>
      <c r="DB605" s="10"/>
      <c r="DC605" s="10"/>
      <c r="DD605" s="10"/>
      <c r="DE605" s="10"/>
      <c r="DF605" s="10"/>
      <c r="DG605" s="10"/>
      <c r="DH605" s="10"/>
      <c r="DI605" s="10"/>
      <c r="DJ605" s="10"/>
      <c r="DK605" s="10"/>
      <c r="DL605" s="10"/>
      <c r="DM605" s="10"/>
      <c r="DN605" s="10"/>
      <c r="DO605" s="10"/>
      <c r="DP605" s="10"/>
      <c r="DQ605" s="10"/>
      <c r="DR605" s="10"/>
    </row>
    <row r="606" spans="1:122" x14ac:dyDescent="0.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0"/>
      <c r="BC606" s="10"/>
      <c r="BD606" s="10"/>
      <c r="BE606" s="10"/>
      <c r="BF606" s="10"/>
      <c r="BG606" s="10"/>
      <c r="BH606" s="10"/>
      <c r="BI606" s="10"/>
      <c r="BJ606" s="10"/>
      <c r="BK606" s="10"/>
      <c r="BL606" s="10"/>
      <c r="BM606" s="10"/>
      <c r="BN606" s="10"/>
      <c r="BO606" s="10"/>
      <c r="BP606" s="10"/>
      <c r="BQ606" s="10"/>
      <c r="BR606" s="10"/>
      <c r="BS606" s="10"/>
      <c r="BT606" s="10"/>
      <c r="BU606" s="10"/>
      <c r="BV606" s="10"/>
      <c r="BW606" s="10"/>
      <c r="BX606" s="10"/>
      <c r="BY606" s="10"/>
      <c r="BZ606" s="10"/>
      <c r="CA606" s="10"/>
      <c r="CB606" s="10"/>
      <c r="CC606" s="10"/>
      <c r="CD606" s="10"/>
      <c r="CE606" s="10"/>
      <c r="CF606" s="10"/>
      <c r="CG606" s="10"/>
      <c r="CH606" s="10"/>
      <c r="CI606" s="10"/>
      <c r="CJ606" s="10"/>
      <c r="CK606" s="10"/>
      <c r="CL606" s="10"/>
      <c r="CM606" s="10"/>
      <c r="CN606" s="10"/>
      <c r="CO606" s="10"/>
      <c r="CP606" s="10"/>
      <c r="CQ606" s="10"/>
      <c r="CR606" s="10"/>
      <c r="CS606" s="10"/>
      <c r="CT606" s="10"/>
      <c r="CU606" s="10"/>
      <c r="CV606" s="10"/>
      <c r="CW606" s="10"/>
      <c r="CX606" s="10"/>
      <c r="CY606" s="10"/>
      <c r="CZ606" s="10"/>
      <c r="DA606" s="10"/>
      <c r="DB606" s="10"/>
      <c r="DC606" s="10"/>
      <c r="DD606" s="10"/>
      <c r="DE606" s="10"/>
      <c r="DF606" s="10"/>
      <c r="DG606" s="10"/>
      <c r="DH606" s="10"/>
      <c r="DI606" s="10"/>
      <c r="DJ606" s="10"/>
      <c r="DK606" s="10"/>
      <c r="DL606" s="10"/>
      <c r="DM606" s="10"/>
      <c r="DN606" s="10"/>
      <c r="DO606" s="10"/>
      <c r="DP606" s="10"/>
      <c r="DQ606" s="10"/>
      <c r="DR606" s="10"/>
    </row>
    <row r="607" spans="1:122" x14ac:dyDescent="0.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0"/>
      <c r="BC607" s="10"/>
      <c r="BD607" s="10"/>
      <c r="BE607" s="10"/>
      <c r="BF607" s="10"/>
      <c r="BG607" s="10"/>
      <c r="BH607" s="10"/>
      <c r="BI607" s="10"/>
      <c r="BJ607" s="10"/>
      <c r="BK607" s="10"/>
      <c r="BL607" s="10"/>
      <c r="BM607" s="10"/>
      <c r="BN607" s="10"/>
      <c r="BO607" s="10"/>
      <c r="BP607" s="10"/>
      <c r="BQ607" s="10"/>
      <c r="BR607" s="10"/>
      <c r="BS607" s="10"/>
      <c r="BT607" s="10"/>
      <c r="BU607" s="10"/>
      <c r="BV607" s="10"/>
      <c r="BW607" s="10"/>
      <c r="BX607" s="10"/>
      <c r="BY607" s="10"/>
      <c r="BZ607" s="10"/>
      <c r="CA607" s="10"/>
      <c r="CB607" s="10"/>
      <c r="CC607" s="10"/>
      <c r="CD607" s="10"/>
      <c r="CE607" s="10"/>
      <c r="CF607" s="10"/>
      <c r="CG607" s="10"/>
      <c r="CH607" s="10"/>
      <c r="CI607" s="10"/>
      <c r="CJ607" s="10"/>
      <c r="CK607" s="10"/>
      <c r="CL607" s="10"/>
      <c r="CM607" s="10"/>
      <c r="CN607" s="10"/>
      <c r="CO607" s="10"/>
      <c r="CP607" s="10"/>
      <c r="CQ607" s="10"/>
      <c r="CR607" s="10"/>
      <c r="CS607" s="10"/>
      <c r="CT607" s="10"/>
      <c r="CU607" s="10"/>
      <c r="CV607" s="10"/>
      <c r="CW607" s="10"/>
      <c r="CX607" s="10"/>
      <c r="CY607" s="10"/>
      <c r="CZ607" s="10"/>
      <c r="DA607" s="10"/>
      <c r="DB607" s="10"/>
      <c r="DC607" s="10"/>
      <c r="DD607" s="10"/>
      <c r="DE607" s="10"/>
      <c r="DF607" s="10"/>
      <c r="DG607" s="10"/>
      <c r="DH607" s="10"/>
      <c r="DI607" s="10"/>
      <c r="DJ607" s="10"/>
      <c r="DK607" s="10"/>
      <c r="DL607" s="10"/>
      <c r="DM607" s="10"/>
      <c r="DN607" s="10"/>
      <c r="DO607" s="10"/>
      <c r="DP607" s="10"/>
      <c r="DQ607" s="10"/>
      <c r="DR607" s="10"/>
    </row>
    <row r="608" spans="1:122" x14ac:dyDescent="0.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0"/>
      <c r="BC608" s="10"/>
      <c r="BD608" s="10"/>
      <c r="BE608" s="10"/>
      <c r="BF608" s="10"/>
      <c r="BG608" s="10"/>
      <c r="BH608" s="10"/>
      <c r="BI608" s="10"/>
      <c r="BJ608" s="10"/>
      <c r="BK608" s="10"/>
      <c r="BL608" s="10"/>
      <c r="BM608" s="10"/>
      <c r="BN608" s="10"/>
      <c r="BO608" s="10"/>
      <c r="BP608" s="10"/>
      <c r="BQ608" s="10"/>
      <c r="BR608" s="10"/>
      <c r="BS608" s="10"/>
      <c r="BT608" s="10"/>
      <c r="BU608" s="10"/>
      <c r="BV608" s="10"/>
      <c r="BW608" s="10"/>
      <c r="BX608" s="10"/>
      <c r="BY608" s="10"/>
      <c r="BZ608" s="10"/>
      <c r="CA608" s="10"/>
      <c r="CB608" s="10"/>
      <c r="CC608" s="10"/>
      <c r="CD608" s="10"/>
      <c r="CE608" s="10"/>
      <c r="CF608" s="10"/>
      <c r="CG608" s="10"/>
      <c r="CH608" s="10"/>
      <c r="CI608" s="10"/>
      <c r="CJ608" s="10"/>
      <c r="CK608" s="10"/>
      <c r="CL608" s="10"/>
      <c r="CM608" s="10"/>
      <c r="CN608" s="10"/>
      <c r="CO608" s="10"/>
      <c r="CP608" s="10"/>
      <c r="CQ608" s="10"/>
      <c r="CR608" s="10"/>
      <c r="CS608" s="10"/>
      <c r="CT608" s="10"/>
      <c r="CU608" s="10"/>
      <c r="CV608" s="10"/>
      <c r="CW608" s="10"/>
      <c r="CX608" s="10"/>
      <c r="CY608" s="10"/>
      <c r="CZ608" s="10"/>
      <c r="DA608" s="10"/>
      <c r="DB608" s="10"/>
      <c r="DC608" s="10"/>
      <c r="DD608" s="10"/>
      <c r="DE608" s="10"/>
      <c r="DF608" s="10"/>
      <c r="DG608" s="10"/>
      <c r="DH608" s="10"/>
      <c r="DI608" s="10"/>
      <c r="DJ608" s="10"/>
      <c r="DK608" s="10"/>
      <c r="DL608" s="10"/>
      <c r="DM608" s="10"/>
      <c r="DN608" s="10"/>
      <c r="DO608" s="10"/>
      <c r="DP608" s="10"/>
      <c r="DQ608" s="10"/>
      <c r="DR608"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E2138-D4E2-453F-9413-CBAD67A54810}">
  <sheetPr>
    <tabColor rgb="FFFF0000"/>
  </sheetPr>
  <dimension ref="A1:CX55"/>
  <sheetViews>
    <sheetView showGridLines="0" zoomScale="36" zoomScaleNormal="119" workbookViewId="0">
      <selection activeCell="AM57" sqref="AM57"/>
    </sheetView>
  </sheetViews>
  <sheetFormatPr defaultRowHeight="15.75" x14ac:dyDescent="0.5"/>
  <cols>
    <col min="1" max="1" width="15" bestFit="1" customWidth="1"/>
    <col min="3" max="3" width="9" style="12"/>
    <col min="4" max="4" width="14.0625" bestFit="1" customWidth="1"/>
    <col min="5" max="5" width="18" bestFit="1" customWidth="1"/>
    <col min="7" max="7" width="9" style="15"/>
    <col min="8" max="8" width="14.0625" bestFit="1" customWidth="1"/>
    <col min="9" max="9" width="15" bestFit="1" customWidth="1"/>
    <col min="12" max="12" width="13.3125" bestFit="1" customWidth="1"/>
    <col min="14" max="14" width="9" style="15"/>
    <col min="15" max="15" width="14.0625" bestFit="1" customWidth="1"/>
    <col min="16" max="16" width="15" bestFit="1" customWidth="1"/>
    <col min="17" max="17" width="16.0625" bestFit="1" customWidth="1"/>
    <col min="20" max="20" width="9" style="15"/>
    <col min="21" max="21" width="14.0625" bestFit="1" customWidth="1"/>
    <col min="22" max="22" width="18" bestFit="1" customWidth="1"/>
    <col min="23" max="23" width="9.75" customWidth="1"/>
    <col min="24" max="24" width="9.75" style="15" customWidth="1"/>
    <col min="25" max="25" width="14.0625" bestFit="1" customWidth="1"/>
    <col min="26" max="26" width="21" bestFit="1" customWidth="1"/>
    <col min="28" max="28" width="21" bestFit="1" customWidth="1"/>
    <col min="29" max="29" width="9" style="15"/>
    <col min="30" max="30" width="14.0625" bestFit="1" customWidth="1"/>
    <col min="31" max="31" width="16.9375" bestFit="1" customWidth="1"/>
    <col min="33" max="33" width="9" style="15"/>
    <col min="34" max="34" width="14.0625" bestFit="1" customWidth="1"/>
    <col min="35" max="35" width="15" bestFit="1" customWidth="1"/>
    <col min="37" max="37" width="9" style="15"/>
    <col min="38" max="38" width="14.0625" bestFit="1" customWidth="1"/>
    <col min="39" max="39" width="15" bestFit="1" customWidth="1"/>
    <col min="42" max="42" width="14.0625" bestFit="1" customWidth="1"/>
    <col min="43" max="43" width="21" bestFit="1" customWidth="1"/>
    <col min="45" max="45" width="9" style="15"/>
    <col min="46" max="46" width="14.0625" bestFit="1" customWidth="1"/>
    <col min="47" max="47" width="15" bestFit="1" customWidth="1"/>
    <col min="49" max="49" width="9" style="15"/>
    <col min="50" max="50" width="14.0625" bestFit="1" customWidth="1"/>
    <col min="51" max="51" width="27.9375" bestFit="1" customWidth="1"/>
    <col min="54" max="54" width="9" style="15"/>
    <col min="55" max="55" width="14.0625" bestFit="1" customWidth="1"/>
    <col min="56" max="56" width="15" bestFit="1" customWidth="1"/>
    <col min="57" max="57" width="16.1875" bestFit="1" customWidth="1"/>
    <col min="59" max="59" width="9" style="15"/>
    <col min="60" max="60" width="14.0625" bestFit="1" customWidth="1"/>
    <col min="61" max="61" width="15" bestFit="1" customWidth="1"/>
    <col min="65" max="65" width="9" style="15"/>
    <col min="66" max="66" width="15.8125" bestFit="1" customWidth="1"/>
    <col min="67" max="67" width="12.8125" bestFit="1" customWidth="1"/>
    <col min="68" max="68" width="9.25" bestFit="1" customWidth="1"/>
    <col min="69" max="69" width="15.625" bestFit="1" customWidth="1"/>
    <col min="70" max="70" width="13" bestFit="1" customWidth="1"/>
    <col min="73" max="73" width="9" style="15"/>
    <col min="74" max="75" width="14.0625" bestFit="1" customWidth="1"/>
    <col min="76" max="76" width="15.125" bestFit="1" customWidth="1"/>
    <col min="80" max="80" width="9" style="15"/>
    <col min="81" max="81" width="14.0625" bestFit="1" customWidth="1"/>
    <col min="82" max="82" width="16.625" bestFit="1" customWidth="1"/>
    <col min="83" max="86" width="10.25" bestFit="1" customWidth="1"/>
    <col min="87" max="87" width="10.5" bestFit="1" customWidth="1"/>
    <col min="89" max="89" width="9" style="15"/>
    <col min="90" max="90" width="14.0625" bestFit="1" customWidth="1"/>
    <col min="91" max="91" width="15" bestFit="1" customWidth="1"/>
    <col min="92" max="94" width="17.75" bestFit="1" customWidth="1"/>
    <col min="95" max="95" width="10.6875" bestFit="1" customWidth="1"/>
    <col min="96" max="96" width="10.6875" style="15" bestFit="1" customWidth="1"/>
    <col min="97" max="97" width="15" bestFit="1" customWidth="1"/>
    <col min="98" max="98" width="16.625" bestFit="1" customWidth="1"/>
    <col min="99" max="99" width="7.375" bestFit="1" customWidth="1"/>
    <col min="100" max="100" width="7.5" bestFit="1" customWidth="1"/>
    <col min="101" max="101" width="7.375" bestFit="1" customWidth="1"/>
    <col min="102" max="102" width="10.5" bestFit="1" customWidth="1"/>
  </cols>
  <sheetData>
    <row r="1" spans="1:102" x14ac:dyDescent="0.5">
      <c r="D1" t="s">
        <v>84</v>
      </c>
      <c r="O1" t="s">
        <v>91</v>
      </c>
    </row>
    <row r="2" spans="1:102" x14ac:dyDescent="0.5">
      <c r="A2" t="s">
        <v>83</v>
      </c>
      <c r="D2" s="13" t="s">
        <v>80</v>
      </c>
      <c r="E2" t="s">
        <v>82</v>
      </c>
      <c r="H2" t="s">
        <v>85</v>
      </c>
      <c r="U2" t="s">
        <v>90</v>
      </c>
      <c r="Y2" t="s">
        <v>92</v>
      </c>
      <c r="AD2" t="s">
        <v>11</v>
      </c>
      <c r="AH2" t="s">
        <v>9</v>
      </c>
      <c r="AL2" s="7" t="s">
        <v>96</v>
      </c>
      <c r="AP2" s="7" t="s">
        <v>100</v>
      </c>
      <c r="CL2" s="7" t="s">
        <v>116</v>
      </c>
      <c r="CS2" s="7" t="s">
        <v>117</v>
      </c>
    </row>
    <row r="3" spans="1:102" x14ac:dyDescent="0.5">
      <c r="D3" s="14" t="s">
        <v>70</v>
      </c>
      <c r="E3">
        <v>311</v>
      </c>
      <c r="O3" s="13" t="s">
        <v>80</v>
      </c>
      <c r="P3" t="s">
        <v>79</v>
      </c>
      <c r="Q3" t="s">
        <v>86</v>
      </c>
      <c r="AT3" s="7" t="s">
        <v>102</v>
      </c>
      <c r="AX3" s="7" t="s">
        <v>101</v>
      </c>
      <c r="BC3" s="7" t="s">
        <v>103</v>
      </c>
      <c r="BH3" s="7" t="s">
        <v>104</v>
      </c>
      <c r="BN3" s="7" t="s">
        <v>109</v>
      </c>
      <c r="BV3" s="7" t="s">
        <v>112</v>
      </c>
      <c r="CC3" s="7" t="s">
        <v>115</v>
      </c>
    </row>
    <row r="4" spans="1:102" x14ac:dyDescent="0.5">
      <c r="D4" s="14" t="s">
        <v>14</v>
      </c>
      <c r="E4">
        <v>926</v>
      </c>
      <c r="H4" s="13" t="s">
        <v>80</v>
      </c>
      <c r="I4" t="s">
        <v>79</v>
      </c>
      <c r="O4" s="14" t="s">
        <v>55</v>
      </c>
      <c r="P4" s="16">
        <v>984000000</v>
      </c>
      <c r="Q4" s="11">
        <v>984000000</v>
      </c>
      <c r="Y4" s="13" t="s">
        <v>80</v>
      </c>
      <c r="Z4" t="s">
        <v>93</v>
      </c>
      <c r="AB4" t="s">
        <v>94</v>
      </c>
      <c r="AD4" s="13" t="s">
        <v>80</v>
      </c>
      <c r="AE4" t="s">
        <v>95</v>
      </c>
    </row>
    <row r="5" spans="1:102" x14ac:dyDescent="0.5">
      <c r="D5" s="14" t="s">
        <v>81</v>
      </c>
      <c r="E5">
        <v>1237</v>
      </c>
      <c r="H5" s="14" t="s">
        <v>52</v>
      </c>
      <c r="I5" s="11">
        <v>1727000000</v>
      </c>
      <c r="K5" t="str">
        <f>IFERROR(H5,"-")</f>
        <v>Mohmed</v>
      </c>
      <c r="L5" s="11">
        <f>IFERROR(I5,"-")</f>
        <v>1727000000</v>
      </c>
      <c r="O5" s="14" t="s">
        <v>57</v>
      </c>
      <c r="P5" s="16">
        <v>1040000000</v>
      </c>
      <c r="Q5" s="11">
        <v>1040000000</v>
      </c>
      <c r="U5" s="17" t="s">
        <v>80</v>
      </c>
      <c r="V5" s="18" t="s">
        <v>82</v>
      </c>
      <c r="Y5" s="14" t="s">
        <v>55</v>
      </c>
      <c r="Z5" s="11">
        <v>170</v>
      </c>
      <c r="AB5" s="11">
        <v>2.1366208569118834</v>
      </c>
      <c r="AD5" s="14" t="s">
        <v>30</v>
      </c>
      <c r="AE5">
        <v>219</v>
      </c>
      <c r="AH5" s="13" t="s">
        <v>0</v>
      </c>
      <c r="AI5" t="s">
        <v>14</v>
      </c>
      <c r="AL5" s="13" t="s">
        <v>0</v>
      </c>
      <c r="AM5" t="s">
        <v>14</v>
      </c>
      <c r="AP5" s="13" t="s">
        <v>0</v>
      </c>
      <c r="AQ5" t="s">
        <v>14</v>
      </c>
      <c r="AT5" s="13" t="s">
        <v>0</v>
      </c>
      <c r="AU5" t="s">
        <v>14</v>
      </c>
      <c r="CL5" s="13" t="s">
        <v>0</v>
      </c>
      <c r="CM5" t="s">
        <v>14</v>
      </c>
    </row>
    <row r="6" spans="1:102" x14ac:dyDescent="0.5">
      <c r="A6" t="s">
        <v>79</v>
      </c>
      <c r="H6" s="14" t="s">
        <v>31</v>
      </c>
      <c r="I6" s="11">
        <v>1638000000</v>
      </c>
      <c r="K6" t="str">
        <f t="shared" ref="K6:L9" si="0">IFERROR(H6,"-")</f>
        <v>Rony</v>
      </c>
      <c r="L6" s="11">
        <f t="shared" si="0"/>
        <v>1638000000</v>
      </c>
      <c r="O6" s="14" t="s">
        <v>58</v>
      </c>
      <c r="P6" s="16">
        <v>116000000</v>
      </c>
      <c r="Q6" s="11">
        <v>116000000</v>
      </c>
      <c r="U6" s="19" t="s">
        <v>14</v>
      </c>
      <c r="V6" s="18">
        <v>926</v>
      </c>
      <c r="Y6" s="14" t="s">
        <v>57</v>
      </c>
      <c r="Z6" s="11">
        <v>162</v>
      </c>
      <c r="AD6" s="14" t="s">
        <v>33</v>
      </c>
      <c r="AE6">
        <v>185</v>
      </c>
      <c r="AX6" s="13" t="s">
        <v>0</v>
      </c>
      <c r="AY6" t="s">
        <v>14</v>
      </c>
      <c r="BC6" s="13" t="s">
        <v>0</v>
      </c>
      <c r="BD6" t="s">
        <v>14</v>
      </c>
      <c r="BH6" s="13" t="s">
        <v>0</v>
      </c>
      <c r="BI6" t="s">
        <v>14</v>
      </c>
      <c r="BN6" s="13" t="s">
        <v>0</v>
      </c>
      <c r="BO6" t="s">
        <v>14</v>
      </c>
      <c r="CS6" s="13" t="s">
        <v>0</v>
      </c>
      <c r="CT6" t="s">
        <v>14</v>
      </c>
    </row>
    <row r="7" spans="1:102" x14ac:dyDescent="0.5">
      <c r="A7" s="11">
        <v>15990000000</v>
      </c>
      <c r="H7" s="14" t="s">
        <v>67</v>
      </c>
      <c r="I7" s="11">
        <v>1534000000</v>
      </c>
      <c r="K7" t="str">
        <f t="shared" si="0"/>
        <v>Hany</v>
      </c>
      <c r="L7" s="11">
        <f t="shared" si="0"/>
        <v>1534000000</v>
      </c>
      <c r="O7" s="14" t="s">
        <v>15</v>
      </c>
      <c r="P7" s="16">
        <v>538000000</v>
      </c>
      <c r="Q7" s="11">
        <v>538000000</v>
      </c>
      <c r="U7" s="19" t="s">
        <v>70</v>
      </c>
      <c r="V7" s="18">
        <v>311</v>
      </c>
      <c r="Y7" s="14" t="s">
        <v>58</v>
      </c>
      <c r="Z7" s="11">
        <v>12</v>
      </c>
      <c r="AD7" s="14" t="s">
        <v>40</v>
      </c>
      <c r="AE7">
        <v>97</v>
      </c>
      <c r="AH7" s="13" t="s">
        <v>80</v>
      </c>
      <c r="AI7" t="s">
        <v>79</v>
      </c>
      <c r="AL7" s="13" t="s">
        <v>80</v>
      </c>
      <c r="AM7" t="s">
        <v>79</v>
      </c>
      <c r="AP7" s="13" t="s">
        <v>80</v>
      </c>
      <c r="AQ7" t="s">
        <v>93</v>
      </c>
      <c r="AT7" s="13" t="s">
        <v>80</v>
      </c>
      <c r="AU7" t="s">
        <v>79</v>
      </c>
      <c r="BV7" s="13" t="s">
        <v>80</v>
      </c>
      <c r="BW7" t="s">
        <v>108</v>
      </c>
      <c r="BX7" t="s">
        <v>111</v>
      </c>
      <c r="CC7" s="13" t="s">
        <v>79</v>
      </c>
      <c r="CD7" s="13" t="s">
        <v>113</v>
      </c>
      <c r="CL7" s="13" t="s">
        <v>80</v>
      </c>
      <c r="CM7" t="s">
        <v>79</v>
      </c>
    </row>
    <row r="8" spans="1:102" x14ac:dyDescent="0.5">
      <c r="D8" s="14" t="s">
        <v>70</v>
      </c>
      <c r="E8">
        <f>IFERROR(VLOOKUP(D8,D2:E5,2,0),"-")</f>
        <v>311</v>
      </c>
      <c r="H8" s="14" t="s">
        <v>53</v>
      </c>
      <c r="I8" s="11">
        <v>1360000000</v>
      </c>
      <c r="K8" t="str">
        <f t="shared" si="0"/>
        <v>Dary</v>
      </c>
      <c r="L8" s="11">
        <f t="shared" si="0"/>
        <v>1360000000</v>
      </c>
      <c r="O8" s="14" t="s">
        <v>59</v>
      </c>
      <c r="P8" s="16">
        <v>1158000000</v>
      </c>
      <c r="Q8" s="11">
        <v>1158000000</v>
      </c>
      <c r="U8" s="19" t="s">
        <v>81</v>
      </c>
      <c r="V8" s="18">
        <v>1237</v>
      </c>
      <c r="Y8" s="14" t="s">
        <v>15</v>
      </c>
      <c r="Z8" s="11">
        <v>102</v>
      </c>
      <c r="AB8" t="s">
        <v>93</v>
      </c>
      <c r="AD8" s="14" t="s">
        <v>20</v>
      </c>
      <c r="AE8">
        <v>100</v>
      </c>
      <c r="AH8" s="14" t="s">
        <v>46</v>
      </c>
      <c r="AI8" s="16">
        <v>3895000000</v>
      </c>
      <c r="AL8" s="14" t="s">
        <v>39</v>
      </c>
      <c r="AM8" s="16">
        <v>2320000000</v>
      </c>
      <c r="AP8" s="14" t="s">
        <v>39</v>
      </c>
      <c r="AQ8" s="11">
        <v>374</v>
      </c>
      <c r="AT8" s="14" t="s">
        <v>19</v>
      </c>
      <c r="AU8" s="11">
        <v>3337000000</v>
      </c>
      <c r="AX8" s="13" t="s">
        <v>80</v>
      </c>
      <c r="AY8" t="s">
        <v>97</v>
      </c>
      <c r="BC8" s="13" t="s">
        <v>80</v>
      </c>
      <c r="BD8" t="s">
        <v>79</v>
      </c>
      <c r="BE8" t="s">
        <v>86</v>
      </c>
      <c r="BH8" s="13" t="s">
        <v>80</v>
      </c>
      <c r="BI8" t="s">
        <v>79</v>
      </c>
      <c r="BN8" s="13" t="s">
        <v>80</v>
      </c>
      <c r="BO8" t="s">
        <v>105</v>
      </c>
      <c r="BV8" s="14" t="s">
        <v>55</v>
      </c>
      <c r="BW8">
        <v>68</v>
      </c>
      <c r="BX8">
        <v>68</v>
      </c>
      <c r="CC8" s="13" t="s">
        <v>80</v>
      </c>
      <c r="CD8" t="s">
        <v>23</v>
      </c>
      <c r="CE8" t="s">
        <v>42</v>
      </c>
      <c r="CF8" t="s">
        <v>45</v>
      </c>
      <c r="CG8" t="s">
        <v>17</v>
      </c>
      <c r="CH8" t="s">
        <v>68</v>
      </c>
      <c r="CI8" t="s">
        <v>81</v>
      </c>
      <c r="CL8" s="14" t="s">
        <v>77</v>
      </c>
      <c r="CM8" s="16">
        <v>2579000000</v>
      </c>
      <c r="CS8" s="13" t="s">
        <v>79</v>
      </c>
      <c r="CT8" s="13" t="s">
        <v>113</v>
      </c>
    </row>
    <row r="9" spans="1:102" x14ac:dyDescent="0.5">
      <c r="D9" s="14" t="s">
        <v>14</v>
      </c>
      <c r="E9">
        <f>IFERROR(VLOOKUP(D9,D3:E6,2,0),"-")</f>
        <v>926</v>
      </c>
      <c r="H9" s="14" t="s">
        <v>26</v>
      </c>
      <c r="I9" s="11">
        <v>1288000000</v>
      </c>
      <c r="K9" t="str">
        <f t="shared" si="0"/>
        <v>Kisho</v>
      </c>
      <c r="L9" s="11">
        <f t="shared" si="0"/>
        <v>1288000000</v>
      </c>
      <c r="O9" s="14" t="s">
        <v>60</v>
      </c>
      <c r="P9" s="16">
        <v>512000000</v>
      </c>
      <c r="Q9" s="11">
        <v>512000000</v>
      </c>
      <c r="Y9" s="14" t="s">
        <v>59</v>
      </c>
      <c r="Z9" s="11">
        <v>174</v>
      </c>
      <c r="AB9" s="11">
        <v>2643</v>
      </c>
      <c r="AD9" s="14" t="s">
        <v>43</v>
      </c>
      <c r="AE9">
        <v>178</v>
      </c>
      <c r="AH9" s="14" t="s">
        <v>61</v>
      </c>
      <c r="AI9" s="16">
        <v>1257000000</v>
      </c>
      <c r="AL9" s="14" t="s">
        <v>35</v>
      </c>
      <c r="AM9" s="16">
        <v>1159000000</v>
      </c>
      <c r="AP9" s="14" t="s">
        <v>35</v>
      </c>
      <c r="AQ9" s="11">
        <v>189</v>
      </c>
      <c r="AT9" s="14" t="s">
        <v>29</v>
      </c>
      <c r="AU9" s="11">
        <v>2892000000</v>
      </c>
      <c r="AX9" s="14" t="s">
        <v>55</v>
      </c>
      <c r="AY9" s="22">
        <v>3.0161179698216726E-3</v>
      </c>
      <c r="BC9" s="14" t="s">
        <v>77</v>
      </c>
      <c r="BD9" s="16">
        <v>2579000000</v>
      </c>
      <c r="BE9" s="11">
        <v>2579000000</v>
      </c>
      <c r="BH9" s="14" t="s">
        <v>34</v>
      </c>
      <c r="BI9" s="16">
        <v>379000000</v>
      </c>
      <c r="BN9" s="14" t="s">
        <v>28</v>
      </c>
      <c r="BO9" s="16">
        <v>2749000000</v>
      </c>
      <c r="BV9" s="14" t="s">
        <v>57</v>
      </c>
      <c r="BW9">
        <v>66</v>
      </c>
      <c r="BX9">
        <v>66</v>
      </c>
      <c r="CC9" s="14" t="s">
        <v>55</v>
      </c>
      <c r="CD9" s="16">
        <v>262000000</v>
      </c>
      <c r="CE9" s="16">
        <v>472000000</v>
      </c>
      <c r="CF9" s="16">
        <v>0</v>
      </c>
      <c r="CG9" s="16">
        <v>190000000</v>
      </c>
      <c r="CH9" s="16">
        <v>60000000</v>
      </c>
      <c r="CI9" s="16">
        <v>984000000</v>
      </c>
      <c r="CL9" s="27" t="s">
        <v>46</v>
      </c>
      <c r="CM9" s="16">
        <v>513000000</v>
      </c>
      <c r="CS9" s="13" t="s">
        <v>80</v>
      </c>
      <c r="CT9" t="s">
        <v>46</v>
      </c>
      <c r="CU9" t="s">
        <v>61</v>
      </c>
      <c r="CV9" t="s">
        <v>74</v>
      </c>
      <c r="CW9" t="s">
        <v>18</v>
      </c>
      <c r="CX9" t="s">
        <v>81</v>
      </c>
    </row>
    <row r="10" spans="1:102" x14ac:dyDescent="0.5">
      <c r="H10" s="14" t="s">
        <v>54</v>
      </c>
      <c r="I10" s="11">
        <v>1243000000</v>
      </c>
      <c r="O10" s="14" t="s">
        <v>72</v>
      </c>
      <c r="P10" s="16">
        <v>442000000</v>
      </c>
      <c r="Q10" s="11">
        <v>442000000</v>
      </c>
      <c r="Y10" s="14" t="s">
        <v>60</v>
      </c>
      <c r="Z10" s="11">
        <v>96</v>
      </c>
      <c r="AD10" s="14" t="s">
        <v>25</v>
      </c>
      <c r="AE10">
        <v>104</v>
      </c>
      <c r="AH10" s="14" t="s">
        <v>74</v>
      </c>
      <c r="AI10" s="16">
        <v>247000000</v>
      </c>
      <c r="AL10" s="14" t="s">
        <v>29</v>
      </c>
      <c r="AM10" s="16">
        <v>2892000000</v>
      </c>
      <c r="AP10" s="14" t="s">
        <v>47</v>
      </c>
      <c r="AQ10" s="11">
        <v>211</v>
      </c>
      <c r="AT10" s="14" t="s">
        <v>56</v>
      </c>
      <c r="AU10" s="11">
        <v>2324000000</v>
      </c>
      <c r="AX10" s="14" t="s">
        <v>57</v>
      </c>
      <c r="AY10" s="22">
        <v>2.8763440860215049E-3</v>
      </c>
      <c r="BC10" s="14" t="s">
        <v>66</v>
      </c>
      <c r="BD10" s="16">
        <v>2751000000</v>
      </c>
      <c r="BE10" s="11">
        <v>2751000000</v>
      </c>
      <c r="BH10" s="14" t="s">
        <v>66</v>
      </c>
      <c r="BI10" s="16">
        <v>650000000</v>
      </c>
      <c r="BN10" s="14" t="s">
        <v>32</v>
      </c>
      <c r="BO10" s="16">
        <v>3546000000</v>
      </c>
      <c r="BV10" s="14" t="s">
        <v>58</v>
      </c>
      <c r="BW10">
        <v>30</v>
      </c>
      <c r="BX10">
        <v>30</v>
      </c>
      <c r="CC10" s="14" t="s">
        <v>57</v>
      </c>
      <c r="CD10" s="16">
        <v>306000000</v>
      </c>
      <c r="CE10" s="16">
        <v>408000000</v>
      </c>
      <c r="CF10" s="16">
        <v>48000000</v>
      </c>
      <c r="CG10" s="16">
        <v>248000000</v>
      </c>
      <c r="CH10" s="16">
        <v>30000000</v>
      </c>
      <c r="CI10" s="16">
        <v>1040000000</v>
      </c>
      <c r="CL10" s="27" t="s">
        <v>61</v>
      </c>
      <c r="CM10" s="16">
        <v>146000000</v>
      </c>
      <c r="CS10" s="14" t="s">
        <v>21</v>
      </c>
      <c r="CT10" s="16">
        <v>95000000</v>
      </c>
      <c r="CU10" s="16">
        <v>22000000</v>
      </c>
      <c r="CV10" s="16"/>
      <c r="CW10" s="16">
        <v>212000000</v>
      </c>
      <c r="CX10" s="16">
        <v>329000000</v>
      </c>
    </row>
    <row r="11" spans="1:102" x14ac:dyDescent="0.5">
      <c r="H11" s="14" t="s">
        <v>36</v>
      </c>
      <c r="I11" s="11">
        <v>1177000000</v>
      </c>
      <c r="O11" s="14" t="s">
        <v>22</v>
      </c>
      <c r="P11" s="16">
        <v>1152000000</v>
      </c>
      <c r="Q11" s="11">
        <v>1152000000</v>
      </c>
      <c r="Y11" s="14" t="s">
        <v>72</v>
      </c>
      <c r="Z11" s="11">
        <v>60</v>
      </c>
      <c r="AD11" s="14" t="s">
        <v>48</v>
      </c>
      <c r="AE11">
        <v>178</v>
      </c>
      <c r="AH11" s="14" t="s">
        <v>18</v>
      </c>
      <c r="AI11" s="16">
        <v>10591000000</v>
      </c>
      <c r="AL11" s="14" t="s">
        <v>50</v>
      </c>
      <c r="AM11" s="16">
        <v>574000000</v>
      </c>
      <c r="AP11" s="14" t="s">
        <v>29</v>
      </c>
      <c r="AQ11" s="11">
        <v>472</v>
      </c>
      <c r="AT11" s="14" t="s">
        <v>39</v>
      </c>
      <c r="AU11" s="11">
        <v>2320000000</v>
      </c>
      <c r="AX11" s="14" t="s">
        <v>58</v>
      </c>
      <c r="AY11" s="22">
        <v>1.3888888888888889E-3</v>
      </c>
      <c r="BC11" s="14" t="s">
        <v>76</v>
      </c>
      <c r="BD11" s="16">
        <v>5372000000</v>
      </c>
      <c r="BE11" s="11">
        <v>5372000000</v>
      </c>
      <c r="BH11" s="14" t="s">
        <v>53</v>
      </c>
      <c r="BI11" s="16">
        <v>1360000000</v>
      </c>
      <c r="BN11" s="14" t="s">
        <v>49</v>
      </c>
      <c r="BO11" s="16">
        <v>1823000000</v>
      </c>
      <c r="BV11" s="14" t="s">
        <v>15</v>
      </c>
      <c r="BW11">
        <v>38</v>
      </c>
      <c r="BX11">
        <v>38</v>
      </c>
      <c r="CC11" s="14" t="s">
        <v>58</v>
      </c>
      <c r="CD11" s="16">
        <v>0</v>
      </c>
      <c r="CE11" s="16">
        <v>116000000</v>
      </c>
      <c r="CF11" s="16"/>
      <c r="CG11" s="16">
        <v>0</v>
      </c>
      <c r="CH11" s="16">
        <v>0</v>
      </c>
      <c r="CI11" s="16">
        <v>116000000</v>
      </c>
      <c r="CL11" s="27" t="s">
        <v>18</v>
      </c>
      <c r="CM11" s="16">
        <v>1920000000</v>
      </c>
      <c r="CS11" s="14" t="s">
        <v>75</v>
      </c>
      <c r="CT11" s="16">
        <v>38000000</v>
      </c>
      <c r="CU11" s="16">
        <v>11000000</v>
      </c>
      <c r="CV11" s="16">
        <v>38000000</v>
      </c>
      <c r="CW11" s="16">
        <v>245000000</v>
      </c>
      <c r="CX11" s="16">
        <v>332000000</v>
      </c>
    </row>
    <row r="12" spans="1:102" x14ac:dyDescent="0.5">
      <c r="H12" s="14" t="s">
        <v>41</v>
      </c>
      <c r="I12" s="11">
        <v>1066000000</v>
      </c>
      <c r="O12" s="14" t="s">
        <v>27</v>
      </c>
      <c r="P12" s="16">
        <v>2178000000</v>
      </c>
      <c r="Q12" s="11">
        <v>2178000000</v>
      </c>
      <c r="U12" t="s">
        <v>14</v>
      </c>
      <c r="V12">
        <f>IFERROR(VLOOKUP(U12,U5:V7,2,FALSE),"-")</f>
        <v>926</v>
      </c>
      <c r="W12" s="20">
        <f>V12/GETPIVOTDATA("Fees Status",$U$5)</f>
        <v>0.74858528698464022</v>
      </c>
      <c r="Y12" s="14" t="s">
        <v>22</v>
      </c>
      <c r="Z12" s="11">
        <v>189</v>
      </c>
      <c r="AD12" s="14" t="s">
        <v>51</v>
      </c>
      <c r="AE12">
        <v>176</v>
      </c>
      <c r="AH12" s="14" t="s">
        <v>81</v>
      </c>
      <c r="AI12" s="16">
        <v>15990000000</v>
      </c>
      <c r="AL12" s="14" t="s">
        <v>19</v>
      </c>
      <c r="AM12" s="16">
        <v>3337000000</v>
      </c>
      <c r="AP12" s="14" t="s">
        <v>19</v>
      </c>
      <c r="AQ12" s="11">
        <v>562</v>
      </c>
      <c r="AT12" s="14" t="s">
        <v>47</v>
      </c>
      <c r="AU12" s="11">
        <v>1309000000</v>
      </c>
      <c r="AX12" s="14" t="s">
        <v>15</v>
      </c>
      <c r="AY12" s="22">
        <v>3.4975405092592571E-3</v>
      </c>
      <c r="BC12" s="14" t="s">
        <v>78</v>
      </c>
      <c r="BD12" s="16">
        <v>5288000000</v>
      </c>
      <c r="BE12" s="11">
        <v>5288000000</v>
      </c>
      <c r="BH12" s="14" t="s">
        <v>62</v>
      </c>
      <c r="BI12" s="16">
        <v>832000000</v>
      </c>
      <c r="BN12" s="14" t="s">
        <v>16</v>
      </c>
      <c r="BO12" s="16">
        <v>4572000000</v>
      </c>
      <c r="BV12" s="14" t="s">
        <v>59</v>
      </c>
      <c r="BW12">
        <v>86</v>
      </c>
      <c r="BX12">
        <v>86</v>
      </c>
      <c r="CC12" s="14" t="s">
        <v>15</v>
      </c>
      <c r="CD12" s="16">
        <v>144000000</v>
      </c>
      <c r="CE12" s="16">
        <v>264000000</v>
      </c>
      <c r="CF12" s="16">
        <v>24000000</v>
      </c>
      <c r="CG12" s="16">
        <v>82000000</v>
      </c>
      <c r="CH12" s="16">
        <v>24000000</v>
      </c>
      <c r="CI12" s="16">
        <v>538000000</v>
      </c>
      <c r="CL12" s="14" t="s">
        <v>66</v>
      </c>
      <c r="CM12" s="16">
        <v>2751000000</v>
      </c>
      <c r="CS12" s="14" t="s">
        <v>34</v>
      </c>
      <c r="CT12" s="16">
        <v>152000000</v>
      </c>
      <c r="CU12" s="16">
        <v>11000000</v>
      </c>
      <c r="CV12" s="16"/>
      <c r="CW12" s="16">
        <v>216000000</v>
      </c>
      <c r="CX12" s="16">
        <v>379000000</v>
      </c>
    </row>
    <row r="13" spans="1:102" x14ac:dyDescent="0.5">
      <c r="H13" s="14" t="s">
        <v>63</v>
      </c>
      <c r="I13" s="11">
        <v>1029000000</v>
      </c>
      <c r="O13" s="14" t="s">
        <v>37</v>
      </c>
      <c r="P13" s="16">
        <v>3809000000</v>
      </c>
      <c r="Q13" s="11">
        <v>3809000000</v>
      </c>
      <c r="U13" t="s">
        <v>70</v>
      </c>
      <c r="V13">
        <f>IFERROR(VLOOKUP(U13,U6:V8,2,FALSE),"-")</f>
        <v>311</v>
      </c>
      <c r="W13" s="20">
        <f>V13/GETPIVOTDATA("Fees Status",$U$5)</f>
        <v>0.25141471301535973</v>
      </c>
      <c r="Y13" s="14" t="s">
        <v>27</v>
      </c>
      <c r="Z13" s="11">
        <v>387</v>
      </c>
      <c r="AD13" s="14" t="s">
        <v>81</v>
      </c>
      <c r="AE13">
        <v>1237</v>
      </c>
      <c r="AL13" s="14" t="s">
        <v>47</v>
      </c>
      <c r="AM13" s="16">
        <v>1309000000</v>
      </c>
      <c r="AP13" s="14" t="s">
        <v>56</v>
      </c>
      <c r="AQ13" s="11">
        <v>376</v>
      </c>
      <c r="AT13" s="14" t="s">
        <v>35</v>
      </c>
      <c r="AU13" s="11">
        <v>1159000000</v>
      </c>
      <c r="AX13" s="14" t="s">
        <v>59</v>
      </c>
      <c r="AY13" s="22">
        <v>3.0488351254480289E-3</v>
      </c>
      <c r="BH13" s="14" t="s">
        <v>75</v>
      </c>
      <c r="BI13" s="16">
        <v>332000000</v>
      </c>
      <c r="BN13" s="14" t="s">
        <v>38</v>
      </c>
      <c r="BO13" s="16">
        <v>2494000000</v>
      </c>
      <c r="BV13" s="14" t="s">
        <v>60</v>
      </c>
      <c r="BW13">
        <v>42</v>
      </c>
      <c r="BX13">
        <v>42</v>
      </c>
      <c r="CC13" s="14" t="s">
        <v>59</v>
      </c>
      <c r="CD13" s="16">
        <v>294000000</v>
      </c>
      <c r="CE13" s="16">
        <v>546000000</v>
      </c>
      <c r="CF13" s="16">
        <v>68000000</v>
      </c>
      <c r="CG13" s="16">
        <v>226000000</v>
      </c>
      <c r="CH13" s="16">
        <v>24000000</v>
      </c>
      <c r="CI13" s="16">
        <v>1158000000</v>
      </c>
      <c r="CL13" s="27" t="s">
        <v>46</v>
      </c>
      <c r="CM13" s="16">
        <v>703000000</v>
      </c>
      <c r="CS13" s="14" t="s">
        <v>71</v>
      </c>
      <c r="CT13" s="16">
        <v>171000000</v>
      </c>
      <c r="CU13" s="16">
        <v>100000000</v>
      </c>
      <c r="CV13" s="16"/>
      <c r="CW13" s="16">
        <v>140000000</v>
      </c>
      <c r="CX13" s="16">
        <v>411000000</v>
      </c>
    </row>
    <row r="14" spans="1:102" x14ac:dyDescent="0.5">
      <c r="H14" s="14" t="s">
        <v>65</v>
      </c>
      <c r="I14" s="11">
        <v>995000000</v>
      </c>
      <c r="O14" s="14" t="s">
        <v>44</v>
      </c>
      <c r="P14" s="16">
        <v>2814000000</v>
      </c>
      <c r="Q14" s="11">
        <v>2814000000</v>
      </c>
      <c r="Y14" s="14" t="s">
        <v>37</v>
      </c>
      <c r="Z14" s="11">
        <v>617</v>
      </c>
      <c r="AL14" s="14" t="s">
        <v>56</v>
      </c>
      <c r="AM14" s="16">
        <v>2324000000</v>
      </c>
      <c r="AP14" s="14" t="s">
        <v>64</v>
      </c>
      <c r="AQ14" s="11">
        <v>185</v>
      </c>
      <c r="AT14" s="14" t="s">
        <v>24</v>
      </c>
      <c r="AU14" s="11">
        <v>1043000000</v>
      </c>
      <c r="AX14" s="14" t="s">
        <v>60</v>
      </c>
      <c r="AY14" s="22">
        <v>2.9208002645502639E-3</v>
      </c>
      <c r="BH14" s="14" t="s">
        <v>67</v>
      </c>
      <c r="BI14" s="16">
        <v>1534000000</v>
      </c>
      <c r="BN14" s="14" t="s">
        <v>73</v>
      </c>
      <c r="BO14" s="16">
        <v>806000000</v>
      </c>
      <c r="BV14" s="14" t="s">
        <v>72</v>
      </c>
      <c r="BW14">
        <v>38</v>
      </c>
      <c r="BX14">
        <v>38</v>
      </c>
      <c r="CC14" s="14" t="s">
        <v>60</v>
      </c>
      <c r="CD14" s="16">
        <v>212000000</v>
      </c>
      <c r="CE14" s="16">
        <v>146000000</v>
      </c>
      <c r="CF14" s="16">
        <v>24000000</v>
      </c>
      <c r="CG14" s="16">
        <v>130000000</v>
      </c>
      <c r="CH14" s="16">
        <v>0</v>
      </c>
      <c r="CI14" s="16">
        <v>512000000</v>
      </c>
      <c r="CL14" s="27" t="s">
        <v>61</v>
      </c>
      <c r="CM14" s="16">
        <v>284000000</v>
      </c>
      <c r="CS14" s="14" t="s">
        <v>66</v>
      </c>
      <c r="CT14" s="16">
        <v>114000000</v>
      </c>
      <c r="CU14" s="16">
        <v>100000000</v>
      </c>
      <c r="CV14" s="16"/>
      <c r="CW14" s="16">
        <v>436000000</v>
      </c>
      <c r="CX14" s="16">
        <v>650000000</v>
      </c>
    </row>
    <row r="15" spans="1:102" x14ac:dyDescent="0.5">
      <c r="H15" s="14" t="s">
        <v>62</v>
      </c>
      <c r="I15" s="11">
        <v>832000000</v>
      </c>
      <c r="O15" s="14" t="s">
        <v>69</v>
      </c>
      <c r="P15" s="16">
        <v>1247000000</v>
      </c>
      <c r="Q15" s="11">
        <v>1247000000</v>
      </c>
      <c r="Y15" s="14" t="s">
        <v>44</v>
      </c>
      <c r="Z15" s="11">
        <v>468</v>
      </c>
      <c r="AL15" s="14" t="s">
        <v>64</v>
      </c>
      <c r="AM15" s="16">
        <v>1032000000</v>
      </c>
      <c r="AP15" s="14" t="s">
        <v>24</v>
      </c>
      <c r="AQ15" s="11">
        <v>184</v>
      </c>
      <c r="AT15" s="14" t="s">
        <v>64</v>
      </c>
      <c r="AU15" s="11">
        <v>1032000000</v>
      </c>
      <c r="AX15" s="14" t="s">
        <v>72</v>
      </c>
      <c r="AY15" s="22">
        <v>2.9407051282051289E-3</v>
      </c>
      <c r="BH15" s="14" t="s">
        <v>65</v>
      </c>
      <c r="BI15" s="16">
        <v>995000000</v>
      </c>
      <c r="BN15" s="14" t="s">
        <v>81</v>
      </c>
      <c r="BO15" s="16">
        <v>15990000000</v>
      </c>
      <c r="BV15" s="14" t="s">
        <v>22</v>
      </c>
      <c r="BW15">
        <v>79</v>
      </c>
      <c r="BX15">
        <v>79</v>
      </c>
      <c r="CC15" s="14" t="s">
        <v>72</v>
      </c>
      <c r="CD15" s="16">
        <v>180000000</v>
      </c>
      <c r="CE15" s="16">
        <v>262000000</v>
      </c>
      <c r="CF15" s="16"/>
      <c r="CG15" s="16">
        <v>0</v>
      </c>
      <c r="CH15" s="16"/>
      <c r="CI15" s="16">
        <v>442000000</v>
      </c>
      <c r="CL15" s="27" t="s">
        <v>74</v>
      </c>
      <c r="CM15" s="16">
        <v>95000000</v>
      </c>
      <c r="CS15" s="14" t="s">
        <v>62</v>
      </c>
      <c r="CT15" s="16">
        <v>247000000</v>
      </c>
      <c r="CU15" s="16">
        <v>60000000</v>
      </c>
      <c r="CV15" s="16"/>
      <c r="CW15" s="16">
        <v>525000000</v>
      </c>
      <c r="CX15" s="16">
        <v>832000000</v>
      </c>
    </row>
    <row r="16" spans="1:102" x14ac:dyDescent="0.5">
      <c r="H16" s="14" t="s">
        <v>66</v>
      </c>
      <c r="I16" s="11">
        <v>650000000</v>
      </c>
      <c r="O16" s="14" t="s">
        <v>81</v>
      </c>
      <c r="P16" s="16">
        <v>15990000000</v>
      </c>
      <c r="Q16" s="11">
        <v>15990000000</v>
      </c>
      <c r="Y16" s="14" t="s">
        <v>69</v>
      </c>
      <c r="Z16" s="11">
        <v>206</v>
      </c>
      <c r="AL16" s="14" t="s">
        <v>24</v>
      </c>
      <c r="AM16" s="16">
        <v>1043000000</v>
      </c>
      <c r="AP16" s="14" t="s">
        <v>50</v>
      </c>
      <c r="AQ16" s="11">
        <v>90</v>
      </c>
      <c r="AT16" s="14" t="s">
        <v>50</v>
      </c>
      <c r="AU16" s="11">
        <v>574000000</v>
      </c>
      <c r="AX16" s="14" t="s">
        <v>22</v>
      </c>
      <c r="AY16" s="22">
        <v>3.0726650563607082E-3</v>
      </c>
      <c r="BH16" s="14" t="s">
        <v>63</v>
      </c>
      <c r="BI16" s="16">
        <v>1029000000</v>
      </c>
      <c r="BV16" s="14" t="s">
        <v>27</v>
      </c>
      <c r="BW16">
        <v>173</v>
      </c>
      <c r="BX16">
        <v>173</v>
      </c>
      <c r="CC16" s="14" t="s">
        <v>22</v>
      </c>
      <c r="CD16" s="16">
        <v>372000000</v>
      </c>
      <c r="CE16" s="16">
        <v>443000000</v>
      </c>
      <c r="CF16" s="16">
        <v>38000000</v>
      </c>
      <c r="CG16" s="16">
        <v>225000000</v>
      </c>
      <c r="CH16" s="16">
        <v>74000000</v>
      </c>
      <c r="CI16" s="16">
        <v>1152000000</v>
      </c>
      <c r="CL16" s="27" t="s">
        <v>18</v>
      </c>
      <c r="CM16" s="16">
        <v>1669000000</v>
      </c>
      <c r="CS16" s="14" t="s">
        <v>65</v>
      </c>
      <c r="CT16" s="16">
        <v>171000000</v>
      </c>
      <c r="CU16" s="16">
        <v>20000000</v>
      </c>
      <c r="CV16" s="16"/>
      <c r="CW16" s="16">
        <v>804000000</v>
      </c>
      <c r="CX16" s="16">
        <v>995000000</v>
      </c>
    </row>
    <row r="17" spans="8:102" ht="31.5" x14ac:dyDescent="0.5">
      <c r="H17" s="14" t="s">
        <v>71</v>
      </c>
      <c r="I17" s="11">
        <v>411000000</v>
      </c>
      <c r="Y17" s="14" t="s">
        <v>81</v>
      </c>
      <c r="Z17" s="11">
        <v>2643</v>
      </c>
      <c r="AL17" s="14" t="s">
        <v>81</v>
      </c>
      <c r="AM17" s="16">
        <v>15990000000</v>
      </c>
      <c r="AP17" s="14" t="s">
        <v>81</v>
      </c>
      <c r="AQ17" s="11">
        <v>2643</v>
      </c>
      <c r="AT17" s="14" t="s">
        <v>81</v>
      </c>
      <c r="AU17" s="11">
        <v>15990000000</v>
      </c>
      <c r="AX17" s="14" t="s">
        <v>27</v>
      </c>
      <c r="AY17" s="22">
        <v>3.1521213377556654E-3</v>
      </c>
      <c r="BH17" s="14" t="s">
        <v>21</v>
      </c>
      <c r="BI17" s="16">
        <v>329000000</v>
      </c>
      <c r="BN17" s="24" t="str">
        <f>IFERROR(BN14,"-")</f>
        <v>Youtube Channel</v>
      </c>
      <c r="BO17" s="24" t="str">
        <f>IFERROR(BN11,"-")</f>
        <v>Google Ad</v>
      </c>
      <c r="BP17" s="24" t="str">
        <f>IFERROR(BN13,"-")</f>
        <v>WhatsApp</v>
      </c>
      <c r="BQ17" s="24" t="str">
        <f>IFERROR(BN9,"-")</f>
        <v>Company Website</v>
      </c>
      <c r="BR17" s="24" t="str">
        <f>IFERROR(BN10,"-")</f>
        <v>Facebook Page</v>
      </c>
      <c r="BS17" s="24" t="str">
        <f>IFERROR(BN12,"-")</f>
        <v>Television Ad</v>
      </c>
      <c r="BV17" s="14" t="s">
        <v>37</v>
      </c>
      <c r="BW17">
        <v>278</v>
      </c>
      <c r="BX17">
        <v>278</v>
      </c>
      <c r="CC17" s="14" t="s">
        <v>27</v>
      </c>
      <c r="CD17" s="16">
        <v>652000000</v>
      </c>
      <c r="CE17" s="16">
        <v>858000000</v>
      </c>
      <c r="CF17" s="16">
        <v>142000000</v>
      </c>
      <c r="CG17" s="16">
        <v>413000000</v>
      </c>
      <c r="CH17" s="16">
        <v>113000000</v>
      </c>
      <c r="CI17" s="16">
        <v>2178000000</v>
      </c>
      <c r="CL17" s="14" t="s">
        <v>76</v>
      </c>
      <c r="CM17" s="16">
        <v>5372000000</v>
      </c>
      <c r="CS17" s="14" t="s">
        <v>63</v>
      </c>
      <c r="CT17" s="16">
        <v>171000000</v>
      </c>
      <c r="CU17" s="16">
        <v>113000000</v>
      </c>
      <c r="CV17" s="16">
        <v>38000000</v>
      </c>
      <c r="CW17" s="16">
        <v>707000000</v>
      </c>
      <c r="CX17" s="16">
        <v>1029000000</v>
      </c>
    </row>
    <row r="18" spans="8:102" x14ac:dyDescent="0.5">
      <c r="H18" s="14" t="s">
        <v>34</v>
      </c>
      <c r="I18" s="11">
        <v>379000000</v>
      </c>
      <c r="AX18" s="14" t="s">
        <v>37</v>
      </c>
      <c r="AY18" s="22">
        <v>3.276282366437237E-3</v>
      </c>
      <c r="BH18" s="14" t="s">
        <v>71</v>
      </c>
      <c r="BI18" s="16">
        <v>411000000</v>
      </c>
      <c r="BM18" s="15" t="s">
        <v>106</v>
      </c>
      <c r="BN18" s="25">
        <f>VLOOKUP(BN17,$BN$8:$BO$14,2,FALSE)</f>
        <v>806000000</v>
      </c>
      <c r="BO18" s="25">
        <f t="shared" ref="BO18:BS18" si="1">VLOOKUP(BO17,$BN$8:$BO$14,2,FALSE)</f>
        <v>1823000000</v>
      </c>
      <c r="BP18" s="25">
        <f t="shared" si="1"/>
        <v>2494000000</v>
      </c>
      <c r="BQ18" s="25">
        <f t="shared" si="1"/>
        <v>2749000000</v>
      </c>
      <c r="BR18" s="25">
        <f t="shared" si="1"/>
        <v>3546000000</v>
      </c>
      <c r="BS18" s="25">
        <f t="shared" si="1"/>
        <v>4572000000</v>
      </c>
      <c r="BV18" s="14" t="s">
        <v>44</v>
      </c>
      <c r="BW18">
        <v>212</v>
      </c>
      <c r="BX18">
        <v>212</v>
      </c>
      <c r="CC18" s="14" t="s">
        <v>37</v>
      </c>
      <c r="CD18" s="16">
        <v>1179000000</v>
      </c>
      <c r="CE18" s="16">
        <v>1448000000</v>
      </c>
      <c r="CF18" s="16">
        <v>242000000</v>
      </c>
      <c r="CG18" s="16">
        <v>752000000</v>
      </c>
      <c r="CH18" s="16">
        <v>188000000</v>
      </c>
      <c r="CI18" s="16">
        <v>3809000000</v>
      </c>
      <c r="CL18" s="27" t="s">
        <v>46</v>
      </c>
      <c r="CM18" s="16">
        <v>1254000000</v>
      </c>
      <c r="CS18" s="14" t="s">
        <v>41</v>
      </c>
      <c r="CT18" s="16">
        <v>285000000</v>
      </c>
      <c r="CU18" s="16">
        <v>40000000</v>
      </c>
      <c r="CV18" s="16"/>
      <c r="CW18" s="16">
        <v>741000000</v>
      </c>
      <c r="CX18" s="16">
        <v>1066000000</v>
      </c>
    </row>
    <row r="19" spans="8:102" x14ac:dyDescent="0.5">
      <c r="H19" s="14" t="s">
        <v>75</v>
      </c>
      <c r="I19" s="11">
        <v>332000000</v>
      </c>
      <c r="AX19" s="14" t="s">
        <v>44</v>
      </c>
      <c r="AY19" s="22">
        <v>3.1209710501640875E-3</v>
      </c>
      <c r="BH19" s="14" t="s">
        <v>36</v>
      </c>
      <c r="BI19" s="16">
        <v>1177000000</v>
      </c>
      <c r="BN19" s="25">
        <f>MAX($BO$9:$BO$14)-VLOOKUP(BN17,$BN$8:$BO$14,2,FALSE)</f>
        <v>3766000000</v>
      </c>
      <c r="BO19" s="25">
        <f t="shared" ref="BO19:BR19" si="2">MAX($BO$9:$BO$14)-VLOOKUP(BO17,$BN$8:$BO$14,2,FALSE)</f>
        <v>2749000000</v>
      </c>
      <c r="BP19" s="25">
        <f t="shared" si="2"/>
        <v>2078000000</v>
      </c>
      <c r="BQ19" s="25">
        <f t="shared" si="2"/>
        <v>1823000000</v>
      </c>
      <c r="BR19" s="25">
        <f t="shared" si="2"/>
        <v>1026000000</v>
      </c>
      <c r="BS19" s="25">
        <f>MAX($BO$9:$BO$14)-VLOOKUP(BS17,$BN$8:$BO$14,2,FALSE)+1000000000</f>
        <v>1000000000</v>
      </c>
      <c r="BV19" s="14" t="s">
        <v>69</v>
      </c>
      <c r="BW19">
        <v>127</v>
      </c>
      <c r="BX19">
        <v>127</v>
      </c>
      <c r="CC19" s="14" t="s">
        <v>44</v>
      </c>
      <c r="CD19" s="16">
        <v>789000000</v>
      </c>
      <c r="CE19" s="16">
        <v>1078000000</v>
      </c>
      <c r="CF19" s="16">
        <v>239000000</v>
      </c>
      <c r="CG19" s="16">
        <v>545000000</v>
      </c>
      <c r="CH19" s="16">
        <v>163000000</v>
      </c>
      <c r="CI19" s="16">
        <v>2814000000</v>
      </c>
      <c r="CL19" s="27" t="s">
        <v>61</v>
      </c>
      <c r="CM19" s="16">
        <v>410000000</v>
      </c>
      <c r="CS19" s="14" t="s">
        <v>36</v>
      </c>
      <c r="CT19" s="16">
        <v>114000000</v>
      </c>
      <c r="CU19" s="16">
        <v>122000000</v>
      </c>
      <c r="CV19" s="16">
        <v>19000000</v>
      </c>
      <c r="CW19" s="16">
        <v>922000000</v>
      </c>
      <c r="CX19" s="16">
        <v>1177000000</v>
      </c>
    </row>
    <row r="20" spans="8:102" x14ac:dyDescent="0.5">
      <c r="H20" s="14" t="s">
        <v>21</v>
      </c>
      <c r="I20" s="11">
        <v>329000000</v>
      </c>
      <c r="AT20" s="18" t="str">
        <f>IFERROR(AT8,"_")</f>
        <v>KJI. L4</v>
      </c>
      <c r="AU20" s="21">
        <f>IFERROR(AU8,"_")</f>
        <v>3337000000</v>
      </c>
      <c r="AX20" s="14" t="s">
        <v>69</v>
      </c>
      <c r="AY20" s="22">
        <v>3.2518257694314021E-3</v>
      </c>
      <c r="BH20" s="14" t="s">
        <v>26</v>
      </c>
      <c r="BI20" s="16">
        <v>1288000000</v>
      </c>
      <c r="BN20" s="18"/>
      <c r="BO20" s="18"/>
      <c r="BP20" s="18"/>
      <c r="BQ20" s="18"/>
      <c r="BR20" s="18"/>
      <c r="BS20" s="18"/>
      <c r="BV20" s="14" t="s">
        <v>81</v>
      </c>
      <c r="BW20">
        <v>1237</v>
      </c>
      <c r="BX20">
        <v>1237</v>
      </c>
      <c r="CC20" s="14" t="s">
        <v>69</v>
      </c>
      <c r="CD20" s="16">
        <v>445000000</v>
      </c>
      <c r="CE20" s="16">
        <v>444000000</v>
      </c>
      <c r="CF20" s="16">
        <v>75000000</v>
      </c>
      <c r="CG20" s="16">
        <v>200000000</v>
      </c>
      <c r="CH20" s="16">
        <v>83000000</v>
      </c>
      <c r="CI20" s="16">
        <v>1247000000</v>
      </c>
      <c r="CL20" s="27" t="s">
        <v>74</v>
      </c>
      <c r="CM20" s="16">
        <v>114000000</v>
      </c>
      <c r="CS20" s="14" t="s">
        <v>54</v>
      </c>
      <c r="CT20" s="16">
        <v>228000000</v>
      </c>
      <c r="CU20" s="16">
        <v>115000000</v>
      </c>
      <c r="CV20" s="16"/>
      <c r="CW20" s="16">
        <v>900000000</v>
      </c>
      <c r="CX20" s="16">
        <v>1243000000</v>
      </c>
    </row>
    <row r="21" spans="8:102" x14ac:dyDescent="0.5">
      <c r="H21" s="14" t="s">
        <v>81</v>
      </c>
      <c r="I21" s="11">
        <v>15990000000</v>
      </c>
      <c r="AT21" s="18" t="str">
        <f t="shared" ref="AT21:AU24" si="3">IFERROR(AT9,"_")</f>
        <v>Fndn. L5</v>
      </c>
      <c r="AU21" s="21">
        <f t="shared" si="3"/>
        <v>2892000000</v>
      </c>
      <c r="AX21" s="14" t="s">
        <v>81</v>
      </c>
      <c r="AY21" s="22">
        <v>3.1369115470762459E-3</v>
      </c>
      <c r="BH21" s="14" t="s">
        <v>52</v>
      </c>
      <c r="BI21" s="16">
        <v>1727000000</v>
      </c>
      <c r="CC21" s="14" t="s">
        <v>81</v>
      </c>
      <c r="CD21" s="16">
        <v>4835000000</v>
      </c>
      <c r="CE21" s="16">
        <v>6485000000</v>
      </c>
      <c r="CF21" s="16">
        <v>900000000</v>
      </c>
      <c r="CG21" s="16">
        <v>3011000000</v>
      </c>
      <c r="CH21" s="16">
        <v>759000000</v>
      </c>
      <c r="CI21" s="16">
        <v>15990000000</v>
      </c>
      <c r="CL21" s="27" t="s">
        <v>18</v>
      </c>
      <c r="CM21" s="16">
        <v>3594000000</v>
      </c>
      <c r="CS21" s="14" t="s">
        <v>26</v>
      </c>
      <c r="CT21" s="16">
        <v>247000000</v>
      </c>
      <c r="CU21" s="16">
        <v>97000000</v>
      </c>
      <c r="CV21" s="16"/>
      <c r="CW21" s="16">
        <v>944000000</v>
      </c>
      <c r="CX21" s="16">
        <v>1288000000</v>
      </c>
    </row>
    <row r="22" spans="8:102" x14ac:dyDescent="0.5">
      <c r="AT22" s="18" t="str">
        <f t="shared" si="3"/>
        <v>Pre. L3</v>
      </c>
      <c r="AU22" s="21">
        <f t="shared" si="3"/>
        <v>2324000000</v>
      </c>
      <c r="BH22" s="14" t="s">
        <v>54</v>
      </c>
      <c r="BI22" s="16">
        <v>1243000000</v>
      </c>
      <c r="CL22" s="14" t="s">
        <v>78</v>
      </c>
      <c r="CM22" s="16">
        <v>5288000000</v>
      </c>
      <c r="CS22" s="14" t="s">
        <v>53</v>
      </c>
      <c r="CT22" s="16">
        <v>475000000</v>
      </c>
      <c r="CU22" s="16">
        <v>82000000</v>
      </c>
      <c r="CV22" s="16"/>
      <c r="CW22" s="16">
        <v>803000000</v>
      </c>
      <c r="CX22" s="16">
        <v>1360000000</v>
      </c>
    </row>
    <row r="23" spans="8:102" x14ac:dyDescent="0.5">
      <c r="AT23" s="18" t="str">
        <f t="shared" si="3"/>
        <v>Fndn. L1</v>
      </c>
      <c r="AU23" s="21">
        <f t="shared" si="3"/>
        <v>2320000000</v>
      </c>
      <c r="BH23" s="14" t="s">
        <v>31</v>
      </c>
      <c r="BI23" s="16">
        <v>1638000000</v>
      </c>
      <c r="BV23" s="14" t="s">
        <v>110</v>
      </c>
      <c r="CL23" s="27" t="s">
        <v>46</v>
      </c>
      <c r="CM23" s="16">
        <v>1425000000</v>
      </c>
      <c r="CS23" s="14" t="s">
        <v>67</v>
      </c>
      <c r="CT23" s="16">
        <v>589000000</v>
      </c>
      <c r="CU23" s="16">
        <v>162000000</v>
      </c>
      <c r="CV23" s="16">
        <v>76000000</v>
      </c>
      <c r="CW23" s="16">
        <v>707000000</v>
      </c>
      <c r="CX23" s="16">
        <v>1534000000</v>
      </c>
    </row>
    <row r="24" spans="8:102" x14ac:dyDescent="0.5">
      <c r="AT24" s="18" t="str">
        <f t="shared" si="3"/>
        <v>Pre. L2</v>
      </c>
      <c r="AU24" s="21">
        <f t="shared" si="3"/>
        <v>1309000000</v>
      </c>
      <c r="BH24" s="14" t="s">
        <v>41</v>
      </c>
      <c r="BI24" s="16">
        <v>1066000000</v>
      </c>
      <c r="BV24" s="26">
        <f>IFERROR(AVERAGE(BW8:BW19),"-")</f>
        <v>103.08333333333333</v>
      </c>
      <c r="CL24" s="27" t="s">
        <v>61</v>
      </c>
      <c r="CM24" s="16">
        <v>417000000</v>
      </c>
      <c r="CS24" s="14" t="s">
        <v>31</v>
      </c>
      <c r="CT24" s="16">
        <v>551000000</v>
      </c>
      <c r="CU24" s="16">
        <v>60000000</v>
      </c>
      <c r="CV24" s="16"/>
      <c r="CW24" s="16">
        <v>1027000000</v>
      </c>
      <c r="CX24" s="16">
        <v>1638000000</v>
      </c>
    </row>
    <row r="25" spans="8:102" x14ac:dyDescent="0.5">
      <c r="AX25" s="18" t="s">
        <v>98</v>
      </c>
      <c r="AY25" s="18" t="s">
        <v>99</v>
      </c>
      <c r="BH25" s="14" t="s">
        <v>81</v>
      </c>
      <c r="BI25" s="16">
        <v>15990000000</v>
      </c>
      <c r="CL25" s="27" t="s">
        <v>74</v>
      </c>
      <c r="CM25" s="16">
        <v>38000000</v>
      </c>
      <c r="CS25" s="14" t="s">
        <v>52</v>
      </c>
      <c r="CT25" s="16">
        <v>247000000</v>
      </c>
      <c r="CU25" s="16">
        <v>142000000</v>
      </c>
      <c r="CV25" s="16">
        <v>76000000</v>
      </c>
      <c r="CW25" s="16">
        <v>1262000000</v>
      </c>
      <c r="CX25" s="16">
        <v>1727000000</v>
      </c>
    </row>
    <row r="26" spans="8:102" x14ac:dyDescent="0.5">
      <c r="AX26" s="18">
        <f>MONTH(DATEVALUE(AX9&amp;"1"))</f>
        <v>1</v>
      </c>
      <c r="AY26" s="23">
        <f>IFERROR(AY9,0)</f>
        <v>3.0161179698216726E-3</v>
      </c>
      <c r="BR26" t="s">
        <v>107</v>
      </c>
      <c r="CL26" s="27" t="s">
        <v>18</v>
      </c>
      <c r="CM26" s="16">
        <v>3408000000</v>
      </c>
      <c r="CS26" s="14" t="s">
        <v>81</v>
      </c>
      <c r="CT26" s="16">
        <v>3895000000</v>
      </c>
      <c r="CU26" s="16">
        <v>1257000000</v>
      </c>
      <c r="CV26" s="16">
        <v>247000000</v>
      </c>
      <c r="CW26" s="16">
        <v>10591000000</v>
      </c>
      <c r="CX26" s="16">
        <v>15990000000</v>
      </c>
    </row>
    <row r="27" spans="8:102" x14ac:dyDescent="0.5">
      <c r="AX27" s="18">
        <f t="shared" ref="AX27:AX37" si="4">MONTH(DATEVALUE(AX10&amp;"1"))</f>
        <v>2</v>
      </c>
      <c r="AY27" s="23">
        <f t="shared" ref="AY27" si="5">IFERROR(AY10,0)</f>
        <v>2.8763440860215049E-3</v>
      </c>
      <c r="BR27" s="16">
        <f>SUM(BN18:BS18)</f>
        <v>15990000000</v>
      </c>
      <c r="CL27" s="14" t="s">
        <v>81</v>
      </c>
      <c r="CM27" s="16">
        <v>15990000000</v>
      </c>
    </row>
    <row r="28" spans="8:102" x14ac:dyDescent="0.5">
      <c r="AX28" s="18">
        <f t="shared" si="4"/>
        <v>3</v>
      </c>
      <c r="AY28" s="23">
        <f t="shared" ref="AY28" si="6">IFERROR(AY11,0)</f>
        <v>1.3888888888888889E-3</v>
      </c>
    </row>
    <row r="29" spans="8:102" x14ac:dyDescent="0.5">
      <c r="AX29" s="18">
        <f t="shared" si="4"/>
        <v>4</v>
      </c>
      <c r="AY29" s="23">
        <f t="shared" ref="AY29" si="7">IFERROR(AY12,0)</f>
        <v>3.4975405092592571E-3</v>
      </c>
    </row>
    <row r="30" spans="8:102" x14ac:dyDescent="0.5">
      <c r="O30" t="s">
        <v>87</v>
      </c>
      <c r="P30" s="11">
        <f>MAX(Q4:Q15)</f>
        <v>3809000000</v>
      </c>
      <c r="AX30" s="18">
        <f t="shared" si="4"/>
        <v>5</v>
      </c>
      <c r="AY30" s="23">
        <f t="shared" ref="AY30" si="8">IFERROR(AY13,0)</f>
        <v>3.0488351254480289E-3</v>
      </c>
      <c r="BC30" s="13" t="s">
        <v>0</v>
      </c>
      <c r="BD30" t="s">
        <v>14</v>
      </c>
    </row>
    <row r="31" spans="8:102" x14ac:dyDescent="0.5">
      <c r="O31" t="s">
        <v>88</v>
      </c>
      <c r="P31" s="11">
        <f>AVERAGE(Q4:R15)</f>
        <v>1332500000</v>
      </c>
      <c r="AX31" s="18">
        <f t="shared" si="4"/>
        <v>6</v>
      </c>
      <c r="AY31" s="23">
        <f t="shared" ref="AY31" si="9">IFERROR(AY14,0)</f>
        <v>2.9208002645502639E-3</v>
      </c>
    </row>
    <row r="32" spans="8:102" x14ac:dyDescent="0.5">
      <c r="O32" t="s">
        <v>89</v>
      </c>
      <c r="P32" s="11">
        <f>MIN(Q4:Q15)</f>
        <v>116000000</v>
      </c>
      <c r="AX32" s="18">
        <f t="shared" si="4"/>
        <v>7</v>
      </c>
      <c r="AY32" s="23">
        <f t="shared" ref="AY32" si="10">IFERROR(AY15,0)</f>
        <v>2.9407051282051289E-3</v>
      </c>
      <c r="BC32" s="13" t="s">
        <v>80</v>
      </c>
      <c r="BD32" t="s">
        <v>79</v>
      </c>
    </row>
    <row r="33" spans="50:82" x14ac:dyDescent="0.5">
      <c r="AX33" s="18">
        <f t="shared" si="4"/>
        <v>8</v>
      </c>
      <c r="AY33" s="23">
        <f t="shared" ref="AY33" si="11">IFERROR(AY16,0)</f>
        <v>3.0726650563607082E-3</v>
      </c>
      <c r="BC33" s="14" t="s">
        <v>76</v>
      </c>
      <c r="BD33" s="16">
        <v>5372000000</v>
      </c>
    </row>
    <row r="34" spans="50:82" x14ac:dyDescent="0.5">
      <c r="AX34" s="18">
        <f t="shared" si="4"/>
        <v>9</v>
      </c>
      <c r="AY34" s="23">
        <f t="shared" ref="AY34" si="12">IFERROR(AY17,0)</f>
        <v>3.1521213377556654E-3</v>
      </c>
      <c r="BC34" s="14" t="s">
        <v>78</v>
      </c>
      <c r="BD34" s="16">
        <v>5288000000</v>
      </c>
    </row>
    <row r="35" spans="50:82" x14ac:dyDescent="0.5">
      <c r="AX35" s="18">
        <f t="shared" si="4"/>
        <v>10</v>
      </c>
      <c r="AY35" s="23">
        <f t="shared" ref="AY35" si="13">IFERROR(AY18,0)</f>
        <v>3.276282366437237E-3</v>
      </c>
      <c r="BC35" s="14" t="s">
        <v>66</v>
      </c>
      <c r="BD35" s="16">
        <v>2751000000</v>
      </c>
    </row>
    <row r="36" spans="50:82" x14ac:dyDescent="0.5">
      <c r="AX36" s="18">
        <f t="shared" si="4"/>
        <v>11</v>
      </c>
      <c r="AY36" s="23">
        <f t="shared" ref="AY36" si="14">IFERROR(AY19,0)</f>
        <v>3.1209710501640875E-3</v>
      </c>
      <c r="BC36" s="14" t="s">
        <v>77</v>
      </c>
      <c r="BD36" s="16">
        <v>2579000000</v>
      </c>
    </row>
    <row r="37" spans="50:82" x14ac:dyDescent="0.5">
      <c r="AX37" s="18">
        <f t="shared" si="4"/>
        <v>12</v>
      </c>
      <c r="AY37" s="23">
        <f t="shared" ref="AY37" si="15">IFERROR(AY20,0)</f>
        <v>3.2518257694314021E-3</v>
      </c>
    </row>
    <row r="39" spans="50:82" x14ac:dyDescent="0.5">
      <c r="BC39" t="str">
        <f>IFERROR(BC33,"-")</f>
        <v>Mohammed</v>
      </c>
      <c r="BD39" s="16">
        <f>IFERROR(BD33,"-")</f>
        <v>5372000000</v>
      </c>
    </row>
    <row r="48" spans="50:82" x14ac:dyDescent="0.5">
      <c r="CC48" s="13" t="s">
        <v>80</v>
      </c>
      <c r="CD48" t="s">
        <v>114</v>
      </c>
    </row>
    <row r="49" spans="50:82" x14ac:dyDescent="0.5">
      <c r="CC49" s="14" t="s">
        <v>23</v>
      </c>
      <c r="CD49">
        <f>COUNTA(CC49:CC53)</f>
        <v>5</v>
      </c>
    </row>
    <row r="50" spans="50:82" x14ac:dyDescent="0.5">
      <c r="CC50" s="14" t="s">
        <v>42</v>
      </c>
    </row>
    <row r="51" spans="50:82" x14ac:dyDescent="0.5">
      <c r="CC51" s="14" t="s">
        <v>45</v>
      </c>
    </row>
    <row r="52" spans="50:82" x14ac:dyDescent="0.5">
      <c r="CC52" s="14" t="s">
        <v>17</v>
      </c>
    </row>
    <row r="53" spans="50:82" x14ac:dyDescent="0.5">
      <c r="AX53" t="s">
        <v>87</v>
      </c>
      <c r="AY53" s="22">
        <f>MAX(AY9:AY20)</f>
        <v>3.4975405092592571E-3</v>
      </c>
      <c r="CC53" s="14" t="s">
        <v>68</v>
      </c>
    </row>
    <row r="54" spans="50:82" x14ac:dyDescent="0.5">
      <c r="AX54" t="s">
        <v>88</v>
      </c>
      <c r="AY54" s="22">
        <f>AVERAGE(AY9:AY20)</f>
        <v>2.9635914626953198E-3</v>
      </c>
      <c r="CC54" s="14" t="s">
        <v>81</v>
      </c>
    </row>
    <row r="55" spans="50:82" x14ac:dyDescent="0.5">
      <c r="AX55" t="s">
        <v>89</v>
      </c>
      <c r="AY55" s="22">
        <f>MIN(AY9:AY20)</f>
        <v>1.3888888888888889E-3</v>
      </c>
    </row>
  </sheetData>
  <pageMargins left="0.7" right="0.7" top="0.75" bottom="0.75" header="0.3" footer="0.3"/>
  <drawing r:id="rId24"/>
  <extLst>
    <ext xmlns:x14="http://schemas.microsoft.com/office/spreadsheetml/2009/9/main" uri="{A8765BA9-456A-4dab-B4F3-ACF838C121DE}">
      <x14:slicerList>
        <x14:slicer r:id="rId2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E43BF-7AEB-4850-A48D-424A7EF46310}">
  <dimension ref="B3:H6"/>
  <sheetViews>
    <sheetView topLeftCell="A8" workbookViewId="0">
      <selection activeCell="D8" sqref="D8"/>
    </sheetView>
  </sheetViews>
  <sheetFormatPr defaultRowHeight="15.75" x14ac:dyDescent="0.5"/>
  <sheetData>
    <row r="3" spans="2:8" x14ac:dyDescent="0.5">
      <c r="B3" t="s">
        <v>119</v>
      </c>
      <c r="C3">
        <v>101</v>
      </c>
      <c r="D3">
        <v>102</v>
      </c>
      <c r="E3">
        <v>103</v>
      </c>
      <c r="F3">
        <v>104</v>
      </c>
      <c r="G3">
        <v>105</v>
      </c>
      <c r="H3">
        <v>106</v>
      </c>
    </row>
    <row r="4" spans="2:8" x14ac:dyDescent="0.5">
      <c r="B4" t="s">
        <v>120</v>
      </c>
      <c r="C4">
        <v>14</v>
      </c>
      <c r="D4">
        <v>97</v>
      </c>
      <c r="E4">
        <v>18</v>
      </c>
      <c r="F4">
        <v>68</v>
      </c>
      <c r="G4">
        <v>41</v>
      </c>
      <c r="H4">
        <v>6</v>
      </c>
    </row>
    <row r="5" spans="2:8" x14ac:dyDescent="0.5">
      <c r="B5" t="s">
        <v>121</v>
      </c>
      <c r="C5">
        <v>99</v>
      </c>
      <c r="D5">
        <v>49</v>
      </c>
      <c r="E5">
        <v>74</v>
      </c>
      <c r="F5">
        <v>46</v>
      </c>
      <c r="G5">
        <v>9</v>
      </c>
      <c r="H5">
        <v>2</v>
      </c>
    </row>
    <row r="6" spans="2:8" x14ac:dyDescent="0.5">
      <c r="B6" t="s">
        <v>122</v>
      </c>
      <c r="C6">
        <v>92</v>
      </c>
      <c r="D6">
        <v>15</v>
      </c>
      <c r="E6">
        <v>76</v>
      </c>
      <c r="F6">
        <v>34</v>
      </c>
      <c r="G6">
        <v>69</v>
      </c>
      <c r="H6">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Dashboard</vt:lpstr>
      <vt:lpstr>Pivot Tables</vt:lpstr>
      <vt:lpstr>Sheet1</vt:lpstr>
    </vt:vector>
  </TitlesOfParts>
  <Manager/>
  <Company>www.other-levels.com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www.other-levels.com</dc:title>
  <dc:subject/>
  <dc:creator>www.other-levels.com</dc:creator>
  <cp:keywords/>
  <dc:description>Copyright © 2022 Other Level's. All rights reserved
"Any illegal reproduction of this content in any form will result in immediate action against the person concerned."</dc:description>
  <cp:lastModifiedBy>omkar shikhare</cp:lastModifiedBy>
  <dcterms:created xsi:type="dcterms:W3CDTF">2021-12-05T19:04:34Z</dcterms:created>
  <dcterms:modified xsi:type="dcterms:W3CDTF">2025-08-09T09:19:15Z</dcterms:modified>
  <cp:category/>
</cp:coreProperties>
</file>